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2.xml" ContentType="application/vnd.openxmlformats-officedocument.spreadsheetml.chart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ctrlProps/ctrlProp8.xml" ContentType="application/vnd.ms-excel.controlproperties+xml"/>
  <Override PartName="/xl/comments5.xml" ContentType="application/vnd.openxmlformats-officedocument.spreadsheetml.comments+xml"/>
  <Override PartName="/xl/drawings/drawing10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f_jordan-stagiaire_axisalternatives_com/Documents/Bureau/github environnement/Valo/common/"/>
    </mc:Choice>
  </mc:AlternateContent>
  <xr:revisionPtr revIDLastSave="386" documentId="13_ncr:1_{A2FA8FAE-01D5-4A76-89B9-02441FA56CFF}" xr6:coauthVersionLast="47" xr6:coauthVersionMax="47" xr10:uidLastSave="{81B79A41-A669-4819-8B0C-FF858C7C5C61}"/>
  <bookViews>
    <workbookView xWindow="0" yWindow="50" windowWidth="19200" windowHeight="11230" firstSheet="1" activeTab="9" xr2:uid="{71AFAE33-16CD-4F47-AB4E-C8D72A89D700}"/>
  </bookViews>
  <sheets>
    <sheet name="Parametres" sheetId="3" r:id="rId1"/>
    <sheet name="Option" sheetId="2" r:id="rId2"/>
    <sheet name="IRS Strip" sheetId="4" r:id="rId3"/>
    <sheet name="Chart1" sheetId="14" state="hidden" r:id="rId4"/>
    <sheet name="CDS Strip" sheetId="6" r:id="rId5"/>
    <sheet name="Fwd Intensity" sheetId="7" r:id="rId6"/>
    <sheet name="CDS" sheetId="8" r:id="rId7"/>
    <sheet name="CDO Bespoke" sheetId="11" r:id="rId8"/>
    <sheet name="Chart2" sheetId="17" state="hidden" r:id="rId9"/>
    <sheet name="FRTB" sheetId="16" r:id="rId10"/>
    <sheet name="CDO2" sheetId="13" state="hidden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9" hidden="1">FRTB!$B$24:$K$399</definedName>
    <definedName name="BeSpokeStrike" localSheetId="7">#REF!</definedName>
    <definedName name="BeSpokeStrike">#REF!</definedName>
    <definedName name="CDSRollDate" localSheetId="7">'[1]CDS Strip'!$C$6</definedName>
    <definedName name="CDSRollDate">'CDS Strip'!$C$7</definedName>
    <definedName name="CDXStrike" localSheetId="7">#REF!</definedName>
    <definedName name="CDXStrike">#REF!</definedName>
    <definedName name="CorrelResult" localSheetId="7">#REF!</definedName>
    <definedName name="CorrelResult">#REF!</definedName>
    <definedName name="CorrelStart" localSheetId="7">#REF!</definedName>
    <definedName name="CorrelStart">#REF!</definedName>
    <definedName name="Currency" localSheetId="7">'[1]CDS Strip'!$D$11:$D$310</definedName>
    <definedName name="Currency">'[2]CDS Strip'!$D$11:$D$310</definedName>
    <definedName name="Currency2" localSheetId="7">'CDO Bespoke'!$B$8</definedName>
    <definedName name="Currency2">#REF!</definedName>
    <definedName name="CurrencyName">#REF!</definedName>
    <definedName name="CurvePointsList">Parametres!$D$15:$D$16</definedName>
    <definedName name="Expected_Recovery" localSheetId="7">[1]CDO2!$C$8</definedName>
    <definedName name="Expected_Recovery">#REF!</definedName>
    <definedName name="ExpLossResult" localSheetId="7">#REF!</definedName>
    <definedName name="ExpLossResult">#REF!</definedName>
    <definedName name="ExpLossStart" localSheetId="7">#REF!</definedName>
    <definedName name="ExpLossStart">#REF!</definedName>
    <definedName name="FXSpot">#REF!</definedName>
    <definedName name="iTraxxStrike" localSheetId="7">#REF!</definedName>
    <definedName name="iTraxxStrike">#REF!</definedName>
    <definedName name="kCDXStart" localSheetId="7">#REF!</definedName>
    <definedName name="kCDXStart">#REF!</definedName>
    <definedName name="kiTraxxStart" localSheetId="7">#REF!</definedName>
    <definedName name="kiTraxxStart">#REF!</definedName>
    <definedName name="MappingMethodo" localSheetId="7">#REF!</definedName>
    <definedName name="MappingMethodo">#REF!</definedName>
    <definedName name="NextCDXStrike" localSheetId="7">#REF!</definedName>
    <definedName name="NextCDXStrike">#REF!</definedName>
    <definedName name="optionFlag">Parametres!$B$3:$B$4</definedName>
    <definedName name="optionPosition">Parametres!$D$3:$D$4</definedName>
    <definedName name="Parameter_Date" localSheetId="7">'[1]IRS Strip'!$C$11</definedName>
    <definedName name="Parameter_Date">Parametres!$E$7</definedName>
    <definedName name="PM_Correl" localSheetId="7">#REF!</definedName>
    <definedName name="PM_Correl">#REF!</definedName>
    <definedName name="PM_Current" localSheetId="7">#REF!</definedName>
    <definedName name="PM_Current">#REF!</definedName>
    <definedName name="PM_Error" localSheetId="7">#REF!</definedName>
    <definedName name="PM_Error">#REF!</definedName>
    <definedName name="PM_kCDX" localSheetId="7">#REF!</definedName>
    <definedName name="PM_kCDX">#REF!</definedName>
    <definedName name="PM_kiTraxx" localSheetId="7">#REF!</definedName>
    <definedName name="PM_kiTraxx">#REF!</definedName>
    <definedName name="PM_Next" localSheetId="7">#REF!</definedName>
    <definedName name="PM_Next">#REF!</definedName>
    <definedName name="poids" localSheetId="7">'CDO Bespoke'!$M$17</definedName>
    <definedName name="poids">#REF!</definedName>
    <definedName name="_xlnm.Print_Area" localSheetId="7">'CDO Bespoke'!$A$4:$S$37</definedName>
    <definedName name="ProbaMatchBespokeStrike" localSheetId="7">#REF!</definedName>
    <definedName name="ProbaMatchBespokeStrike">#REF!</definedName>
    <definedName name="ProjectionCalculation" localSheetId="7">#REF!</definedName>
    <definedName name="ProjectionCalculation">#REF!</definedName>
    <definedName name="RatioDifference" localSheetId="7">#REF!</definedName>
    <definedName name="RatioDifference">#REF!</definedName>
    <definedName name="SpreadCurveMaturities" localSheetId="7">'[1]CDS Strip'!$E$9:$M$9</definedName>
    <definedName name="SpreadCurveMaturities">'CDS Strip'!$E$10:$M$10</definedName>
    <definedName name="StrikeStart" localSheetId="7">#REF!</definedName>
    <definedName name="StrikeStart">#REF!</definedName>
    <definedName name="StrippedDefaultProb" localSheetId="7">'[1]CDS Strip'!$N$11:$AE$310</definedName>
    <definedName name="StrippedDefaultProb">'[2]CDS Strip'!$N$11:$AE$310</definedName>
    <definedName name="sumpoi" localSheetId="7">'CDO Bespoke'!$M$17</definedName>
    <definedName name="sumpoi">#REF!</definedName>
    <definedName name="sumpoids" localSheetId="7">'CDO Bespoke'!$N$15</definedName>
    <definedName name="sumpoids">#REF!</definedName>
    <definedName name="SumWeights" localSheetId="7">'CDO Bespoke'!$B$18</definedName>
    <definedName name="SumWeights">#REF!</definedName>
    <definedName name="Swap_Convention">Parametres!$B$7:$B$11</definedName>
    <definedName name="SwapConventions" localSheetId="7">[1]Conventions!$H$16:$H$20</definedName>
    <definedName name="SwapConventions">#REF!</definedName>
    <definedName name="test" localSheetId="7">'CDO Bespoke'!#REF!</definedName>
    <definedName name="test">#REF!</definedName>
    <definedName name="TrueFalse">Parametres!$B$15:$B$16</definedName>
    <definedName name="TrueFalseList" localSheetId="7">[1]Conventions!$H$25:$H$26</definedName>
    <definedName name="TrueFalseList">Parametres!$B$15:$B$16</definedName>
    <definedName name="TrueFalseTab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4" i="16" l="1" a="1"/>
  <c r="AR14" i="16"/>
  <c r="AU14" i="16" a="1"/>
  <c r="AU14" i="16"/>
  <c r="F15" i="8" a="1"/>
  <c r="F15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N362" i="6" a="1"/>
  <c r="N362" i="6"/>
  <c r="N363" i="6" a="1"/>
  <c r="N363" i="6"/>
  <c r="N364" i="6" a="1"/>
  <c r="N364" i="6"/>
  <c r="N365" i="6" a="1"/>
  <c r="N365" i="6"/>
  <c r="AN365" i="6"/>
  <c r="AR365" i="6"/>
  <c r="AV365" i="6"/>
  <c r="N366" i="6" a="1"/>
  <c r="N366" i="6"/>
  <c r="AN366" i="6"/>
  <c r="AR366" i="6"/>
  <c r="AV366" i="6"/>
  <c r="N367" i="6" a="1"/>
  <c r="N367" i="6"/>
  <c r="AN367" i="6"/>
  <c r="AR367" i="6"/>
  <c r="AV367" i="6"/>
  <c r="N368" i="6" a="1"/>
  <c r="N368" i="6"/>
  <c r="N369" i="6" a="1"/>
  <c r="N369" i="6"/>
  <c r="N370" i="6" a="1"/>
  <c r="N370" i="6"/>
  <c r="N371" i="6" a="1"/>
  <c r="N371" i="6"/>
  <c r="N372" i="6" a="1"/>
  <c r="N372" i="6"/>
  <c r="AL372" i="6"/>
  <c r="AM372" i="6"/>
  <c r="AN372" i="6"/>
  <c r="AP372" i="6"/>
  <c r="AQ372" i="6"/>
  <c r="AR372" i="6"/>
  <c r="AT372" i="6"/>
  <c r="AU372" i="6"/>
  <c r="AV372" i="6"/>
  <c r="N373" i="6" a="1"/>
  <c r="N373" i="6"/>
  <c r="AL373" i="6"/>
  <c r="AM373" i="6"/>
  <c r="AN373" i="6"/>
  <c r="AP373" i="6"/>
  <c r="AQ373" i="6"/>
  <c r="AR373" i="6"/>
  <c r="AT373" i="6"/>
  <c r="AU373" i="6"/>
  <c r="AV373" i="6"/>
  <c r="N374" i="6" a="1"/>
  <c r="N374" i="6"/>
  <c r="AL374" i="6"/>
  <c r="AM374" i="6"/>
  <c r="AN374" i="6"/>
  <c r="AP374" i="6"/>
  <c r="AQ374" i="6"/>
  <c r="AR374" i="6"/>
  <c r="AT374" i="6"/>
  <c r="AU374" i="6"/>
  <c r="AV374" i="6"/>
  <c r="N375" i="6" a="1"/>
  <c r="N375" i="6"/>
  <c r="AL375" i="6"/>
  <c r="AM375" i="6"/>
  <c r="AN375" i="6"/>
  <c r="AP375" i="6"/>
  <c r="AQ375" i="6"/>
  <c r="AR375" i="6"/>
  <c r="AT375" i="6"/>
  <c r="AU375" i="6"/>
  <c r="AV375" i="6"/>
  <c r="N376" i="6" a="1"/>
  <c r="N376" i="6"/>
  <c r="AL376" i="6"/>
  <c r="AM376" i="6"/>
  <c r="AN376" i="6"/>
  <c r="AP376" i="6"/>
  <c r="AQ376" i="6"/>
  <c r="AR376" i="6"/>
  <c r="AT376" i="6"/>
  <c r="AU376" i="6"/>
  <c r="AV376" i="6"/>
  <c r="N377" i="6" a="1"/>
  <c r="N377" i="6"/>
  <c r="AL377" i="6"/>
  <c r="AM377" i="6"/>
  <c r="AN377" i="6"/>
  <c r="AP377" i="6"/>
  <c r="AQ377" i="6"/>
  <c r="AR377" i="6"/>
  <c r="AT377" i="6"/>
  <c r="AU377" i="6"/>
  <c r="AV377" i="6"/>
  <c r="N378" i="6" a="1"/>
  <c r="N378" i="6"/>
  <c r="AL378" i="6"/>
  <c r="AM378" i="6"/>
  <c r="AN378" i="6"/>
  <c r="AP378" i="6"/>
  <c r="AQ378" i="6"/>
  <c r="AR378" i="6"/>
  <c r="AT378" i="6"/>
  <c r="AU378" i="6"/>
  <c r="AV378" i="6"/>
  <c r="N379" i="6" a="1"/>
  <c r="N379" i="6"/>
  <c r="AL379" i="6"/>
  <c r="AM379" i="6"/>
  <c r="AN379" i="6"/>
  <c r="AP379" i="6"/>
  <c r="AQ379" i="6"/>
  <c r="AR379" i="6"/>
  <c r="AT379" i="6"/>
  <c r="AU379" i="6"/>
  <c r="AV379" i="6"/>
  <c r="N380" i="6" a="1"/>
  <c r="N380" i="6"/>
  <c r="AL380" i="6"/>
  <c r="AM380" i="6"/>
  <c r="AN380" i="6"/>
  <c r="AP380" i="6"/>
  <c r="AQ380" i="6"/>
  <c r="AR380" i="6"/>
  <c r="AT380" i="6"/>
  <c r="AU380" i="6"/>
  <c r="AV380" i="6"/>
  <c r="N381" i="6" a="1"/>
  <c r="N381" i="6"/>
  <c r="AL381" i="6"/>
  <c r="AM381" i="6"/>
  <c r="AN381" i="6"/>
  <c r="AP381" i="6"/>
  <c r="AQ381" i="6"/>
  <c r="AR381" i="6"/>
  <c r="AT381" i="6"/>
  <c r="AU381" i="6"/>
  <c r="AV381" i="6"/>
  <c r="N382" i="6" a="1"/>
  <c r="N382" i="6"/>
  <c r="AL382" i="6"/>
  <c r="AM382" i="6"/>
  <c r="AN382" i="6"/>
  <c r="AP382" i="6"/>
  <c r="AQ382" i="6"/>
  <c r="AR382" i="6"/>
  <c r="AT382" i="6"/>
  <c r="AU382" i="6"/>
  <c r="AV382" i="6"/>
  <c r="N383" i="6" a="1"/>
  <c r="N383" i="6"/>
  <c r="AL383" i="6"/>
  <c r="AM383" i="6"/>
  <c r="AN383" i="6"/>
  <c r="AP383" i="6"/>
  <c r="AQ383" i="6"/>
  <c r="AR383" i="6"/>
  <c r="AT383" i="6"/>
  <c r="AU383" i="6"/>
  <c r="AV383" i="6"/>
  <c r="N384" i="6" a="1"/>
  <c r="N384" i="6"/>
  <c r="AL384" i="6"/>
  <c r="AM384" i="6"/>
  <c r="AN384" i="6"/>
  <c r="AP384" i="6"/>
  <c r="AQ384" i="6"/>
  <c r="AR384" i="6"/>
  <c r="AT384" i="6"/>
  <c r="AU384" i="6"/>
  <c r="AV384" i="6"/>
  <c r="N385" i="6" a="1"/>
  <c r="N385" i="6"/>
  <c r="AL385" i="6"/>
  <c r="AM385" i="6"/>
  <c r="AN385" i="6"/>
  <c r="AP385" i="6"/>
  <c r="AQ385" i="6"/>
  <c r="AR385" i="6"/>
  <c r="AT385" i="6"/>
  <c r="AU385" i="6"/>
  <c r="AV385" i="6"/>
  <c r="N386" i="6" a="1"/>
  <c r="N386" i="6"/>
  <c r="AL386" i="6"/>
  <c r="AM386" i="6"/>
  <c r="AN386" i="6"/>
  <c r="AP386" i="6"/>
  <c r="AQ386" i="6"/>
  <c r="AR386" i="6"/>
  <c r="AT386" i="6"/>
  <c r="AU386" i="6"/>
  <c r="AV386" i="6"/>
  <c r="N387" i="6" a="1"/>
  <c r="N387" i="6"/>
  <c r="AL387" i="6"/>
  <c r="AM387" i="6"/>
  <c r="AN387" i="6"/>
  <c r="AP387" i="6"/>
  <c r="AQ387" i="6"/>
  <c r="AR387" i="6"/>
  <c r="AT387" i="6"/>
  <c r="AU387" i="6"/>
  <c r="AV387" i="6"/>
  <c r="N388" i="6" a="1"/>
  <c r="N388" i="6"/>
  <c r="AL388" i="6"/>
  <c r="AM388" i="6"/>
  <c r="AN388" i="6"/>
  <c r="AP388" i="6"/>
  <c r="AQ388" i="6"/>
  <c r="AR388" i="6"/>
  <c r="AT388" i="6"/>
  <c r="AU388" i="6"/>
  <c r="AV388" i="6"/>
  <c r="N389" i="6" a="1"/>
  <c r="N389" i="6"/>
  <c r="AL389" i="6"/>
  <c r="AM389" i="6"/>
  <c r="AN389" i="6"/>
  <c r="AP389" i="6"/>
  <c r="AQ389" i="6"/>
  <c r="AR389" i="6"/>
  <c r="AT389" i="6"/>
  <c r="AU389" i="6"/>
  <c r="AV389" i="6"/>
  <c r="N390" i="6" a="1"/>
  <c r="N390" i="6"/>
  <c r="AL390" i="6"/>
  <c r="AM390" i="6"/>
  <c r="AN390" i="6"/>
  <c r="AP390" i="6"/>
  <c r="AQ390" i="6"/>
  <c r="AR390" i="6"/>
  <c r="AT390" i="6"/>
  <c r="AU390" i="6"/>
  <c r="AV390" i="6"/>
  <c r="N391" i="6" a="1"/>
  <c r="N391" i="6"/>
  <c r="AL391" i="6"/>
  <c r="AM391" i="6"/>
  <c r="AN391" i="6"/>
  <c r="AP391" i="6"/>
  <c r="AQ391" i="6"/>
  <c r="AR391" i="6"/>
  <c r="AT391" i="6"/>
  <c r="AU391" i="6"/>
  <c r="AV391" i="6"/>
  <c r="N392" i="6" a="1"/>
  <c r="N392" i="6"/>
  <c r="AL392" i="6"/>
  <c r="AM392" i="6"/>
  <c r="AN392" i="6"/>
  <c r="AP392" i="6"/>
  <c r="AQ392" i="6"/>
  <c r="AR392" i="6"/>
  <c r="AT392" i="6"/>
  <c r="AU392" i="6"/>
  <c r="AV392" i="6"/>
  <c r="N393" i="6" a="1"/>
  <c r="N393" i="6"/>
  <c r="AL393" i="6"/>
  <c r="AM393" i="6"/>
  <c r="AN393" i="6"/>
  <c r="AP393" i="6"/>
  <c r="AQ393" i="6"/>
  <c r="AR393" i="6"/>
  <c r="AT393" i="6"/>
  <c r="AU393" i="6"/>
  <c r="AV393" i="6"/>
  <c r="N394" i="6" a="1"/>
  <c r="N394" i="6"/>
  <c r="AL394" i="6"/>
  <c r="AM394" i="6"/>
  <c r="AN394" i="6"/>
  <c r="AP394" i="6"/>
  <c r="AQ394" i="6"/>
  <c r="AR394" i="6"/>
  <c r="AT394" i="6"/>
  <c r="AU394" i="6"/>
  <c r="AV394" i="6"/>
  <c r="N395" i="6" a="1"/>
  <c r="N395" i="6"/>
  <c r="AL395" i="6"/>
  <c r="AM395" i="6"/>
  <c r="AN395" i="6"/>
  <c r="AP395" i="6"/>
  <c r="AQ395" i="6"/>
  <c r="AR395" i="6"/>
  <c r="AT395" i="6"/>
  <c r="AU395" i="6"/>
  <c r="AV395" i="6"/>
  <c r="N396" i="6" a="1"/>
  <c r="N396" i="6"/>
  <c r="AL396" i="6"/>
  <c r="AM396" i="6"/>
  <c r="AN396" i="6"/>
  <c r="AP396" i="6"/>
  <c r="AQ396" i="6"/>
  <c r="AR396" i="6"/>
  <c r="AT396" i="6"/>
  <c r="AU396" i="6"/>
  <c r="AV396" i="6"/>
  <c r="N397" i="6" a="1"/>
  <c r="N397" i="6"/>
  <c r="AL397" i="6"/>
  <c r="AM397" i="6"/>
  <c r="AN397" i="6"/>
  <c r="AP397" i="6"/>
  <c r="AQ397" i="6"/>
  <c r="AR397" i="6"/>
  <c r="AT397" i="6"/>
  <c r="AU397" i="6"/>
  <c r="AV397" i="6"/>
  <c r="N398" i="6" a="1"/>
  <c r="N398" i="6"/>
  <c r="AL398" i="6"/>
  <c r="AM398" i="6"/>
  <c r="AN398" i="6"/>
  <c r="AP398" i="6"/>
  <c r="AQ398" i="6"/>
  <c r="AR398" i="6"/>
  <c r="AT398" i="6"/>
  <c r="AU398" i="6"/>
  <c r="AV398" i="6"/>
  <c r="N399" i="6" a="1"/>
  <c r="N399" i="6"/>
  <c r="AL399" i="6"/>
  <c r="AM399" i="6"/>
  <c r="AN399" i="6"/>
  <c r="AP399" i="6"/>
  <c r="AQ399" i="6"/>
  <c r="AR399" i="6"/>
  <c r="AT399" i="6"/>
  <c r="AU399" i="6"/>
  <c r="AV399" i="6"/>
  <c r="N400" i="6" a="1"/>
  <c r="N400" i="6"/>
  <c r="AL400" i="6"/>
  <c r="AM400" i="6"/>
  <c r="AN400" i="6"/>
  <c r="AP400" i="6"/>
  <c r="AQ400" i="6"/>
  <c r="AR400" i="6"/>
  <c r="AT400" i="6"/>
  <c r="AU400" i="6"/>
  <c r="AV400" i="6"/>
  <c r="N401" i="6" a="1"/>
  <c r="N401" i="6"/>
  <c r="AL401" i="6"/>
  <c r="AM401" i="6"/>
  <c r="AN401" i="6"/>
  <c r="AP401" i="6"/>
  <c r="AQ401" i="6"/>
  <c r="AR401" i="6"/>
  <c r="AT401" i="6"/>
  <c r="AU401" i="6"/>
  <c r="AV401" i="6"/>
  <c r="N402" i="6" a="1"/>
  <c r="N402" i="6"/>
  <c r="AL402" i="6"/>
  <c r="AM402" i="6"/>
  <c r="AN402" i="6"/>
  <c r="AP402" i="6"/>
  <c r="AQ402" i="6"/>
  <c r="AR402" i="6"/>
  <c r="AT402" i="6"/>
  <c r="AU402" i="6"/>
  <c r="AV402" i="6"/>
  <c r="N403" i="6" a="1"/>
  <c r="N403" i="6"/>
  <c r="AL403" i="6"/>
  <c r="AM403" i="6"/>
  <c r="AN403" i="6"/>
  <c r="AP403" i="6"/>
  <c r="AQ403" i="6"/>
  <c r="AR403" i="6"/>
  <c r="AT403" i="6"/>
  <c r="AU403" i="6"/>
  <c r="AV403" i="6"/>
  <c r="N404" i="6" a="1"/>
  <c r="N404" i="6"/>
  <c r="AL404" i="6"/>
  <c r="AM404" i="6"/>
  <c r="AN404" i="6"/>
  <c r="AP404" i="6"/>
  <c r="AQ404" i="6"/>
  <c r="AR404" i="6"/>
  <c r="AT404" i="6"/>
  <c r="AU404" i="6"/>
  <c r="AV404" i="6"/>
  <c r="N405" i="6" a="1"/>
  <c r="N405" i="6"/>
  <c r="AL405" i="6"/>
  <c r="AM405" i="6"/>
  <c r="AN405" i="6"/>
  <c r="AP405" i="6"/>
  <c r="AQ405" i="6"/>
  <c r="AR405" i="6"/>
  <c r="AT405" i="6"/>
  <c r="AU405" i="6"/>
  <c r="AV405" i="6"/>
  <c r="N406" i="6" a="1"/>
  <c r="N406" i="6"/>
  <c r="AL406" i="6"/>
  <c r="AM406" i="6"/>
  <c r="AN406" i="6"/>
  <c r="AP406" i="6"/>
  <c r="AQ406" i="6"/>
  <c r="AR406" i="6"/>
  <c r="AT406" i="6"/>
  <c r="AU406" i="6"/>
  <c r="AV406" i="6"/>
  <c r="N407" i="6" a="1"/>
  <c r="N407" i="6"/>
  <c r="AL407" i="6"/>
  <c r="AM407" i="6"/>
  <c r="AN407" i="6"/>
  <c r="AP407" i="6"/>
  <c r="AQ407" i="6"/>
  <c r="AR407" i="6"/>
  <c r="AT407" i="6"/>
  <c r="AU407" i="6"/>
  <c r="AV407" i="6"/>
  <c r="N408" i="6" a="1"/>
  <c r="N408" i="6"/>
  <c r="AL408" i="6"/>
  <c r="AM408" i="6"/>
  <c r="AN408" i="6"/>
  <c r="AP408" i="6"/>
  <c r="AQ408" i="6"/>
  <c r="AR408" i="6"/>
  <c r="AT408" i="6"/>
  <c r="AU408" i="6"/>
  <c r="AV408" i="6"/>
  <c r="N409" i="6" a="1"/>
  <c r="N409" i="6"/>
  <c r="AL409" i="6"/>
  <c r="AM409" i="6"/>
  <c r="AN409" i="6"/>
  <c r="AP409" i="6"/>
  <c r="AQ409" i="6"/>
  <c r="AR409" i="6"/>
  <c r="AT409" i="6"/>
  <c r="AU409" i="6"/>
  <c r="AV409" i="6"/>
  <c r="N410" i="6" a="1"/>
  <c r="N410" i="6"/>
  <c r="AL410" i="6"/>
  <c r="AM410" i="6"/>
  <c r="AN410" i="6"/>
  <c r="AP410" i="6"/>
  <c r="AQ410" i="6"/>
  <c r="AR410" i="6"/>
  <c r="AT410" i="6"/>
  <c r="AU410" i="6"/>
  <c r="AV410" i="6"/>
  <c r="N411" i="6" a="1"/>
  <c r="N411" i="6"/>
  <c r="AL411" i="6"/>
  <c r="AM411" i="6"/>
  <c r="AN411" i="6"/>
  <c r="AP411" i="6"/>
  <c r="AQ411" i="6"/>
  <c r="AR411" i="6"/>
  <c r="AT411" i="6"/>
  <c r="AU411" i="6"/>
  <c r="AV411" i="6"/>
  <c r="N412" i="6" a="1"/>
  <c r="N412" i="6"/>
  <c r="AL412" i="6"/>
  <c r="AM412" i="6"/>
  <c r="AN412" i="6"/>
  <c r="AP412" i="6"/>
  <c r="AQ412" i="6"/>
  <c r="AR412" i="6"/>
  <c r="AT412" i="6"/>
  <c r="AU412" i="6"/>
  <c r="AV412" i="6"/>
  <c r="N413" i="6" a="1"/>
  <c r="N413" i="6"/>
  <c r="AL413" i="6"/>
  <c r="AM413" i="6"/>
  <c r="AN413" i="6"/>
  <c r="AP413" i="6"/>
  <c r="AQ413" i="6"/>
  <c r="AR413" i="6"/>
  <c r="AT413" i="6"/>
  <c r="AU413" i="6"/>
  <c r="AV413" i="6"/>
  <c r="N414" i="6" a="1"/>
  <c r="N414" i="6"/>
  <c r="AL414" i="6"/>
  <c r="AM414" i="6"/>
  <c r="AN414" i="6"/>
  <c r="AP414" i="6"/>
  <c r="AQ414" i="6"/>
  <c r="AR414" i="6"/>
  <c r="AT414" i="6"/>
  <c r="AU414" i="6"/>
  <c r="AV414" i="6"/>
  <c r="N415" i="6" a="1"/>
  <c r="N415" i="6"/>
  <c r="AL415" i="6"/>
  <c r="AM415" i="6"/>
  <c r="AN415" i="6"/>
  <c r="AP415" i="6"/>
  <c r="AQ415" i="6"/>
  <c r="AR415" i="6"/>
  <c r="AT415" i="6"/>
  <c r="AU415" i="6"/>
  <c r="AV415" i="6"/>
  <c r="N416" i="6" a="1"/>
  <c r="N416" i="6"/>
  <c r="AL416" i="6"/>
  <c r="AM416" i="6"/>
  <c r="AN416" i="6"/>
  <c r="AP416" i="6"/>
  <c r="AQ416" i="6"/>
  <c r="AR416" i="6"/>
  <c r="AT416" i="6"/>
  <c r="AU416" i="6"/>
  <c r="AV416" i="6"/>
  <c r="N417" i="6" a="1"/>
  <c r="N417" i="6"/>
  <c r="AL417" i="6"/>
  <c r="AM417" i="6"/>
  <c r="AN417" i="6"/>
  <c r="AP417" i="6"/>
  <c r="AQ417" i="6"/>
  <c r="AR417" i="6"/>
  <c r="AT417" i="6"/>
  <c r="AU417" i="6"/>
  <c r="AV417" i="6"/>
  <c r="N418" i="6" a="1"/>
  <c r="N418" i="6"/>
  <c r="AL418" i="6"/>
  <c r="AM418" i="6"/>
  <c r="AN418" i="6"/>
  <c r="AP418" i="6"/>
  <c r="AQ418" i="6"/>
  <c r="AR418" i="6"/>
  <c r="AT418" i="6"/>
  <c r="AU418" i="6"/>
  <c r="AV418" i="6"/>
  <c r="N419" i="6" a="1"/>
  <c r="N419" i="6"/>
  <c r="AL419" i="6"/>
  <c r="AM419" i="6"/>
  <c r="AN419" i="6"/>
  <c r="AP419" i="6"/>
  <c r="AQ419" i="6"/>
  <c r="AR419" i="6"/>
  <c r="AT419" i="6"/>
  <c r="AU419" i="6"/>
  <c r="AV419" i="6"/>
  <c r="N420" i="6" a="1"/>
  <c r="N420" i="6"/>
  <c r="AL420" i="6"/>
  <c r="AM420" i="6"/>
  <c r="AN420" i="6"/>
  <c r="AP420" i="6"/>
  <c r="AQ420" i="6"/>
  <c r="AR420" i="6"/>
  <c r="AT420" i="6"/>
  <c r="AU420" i="6"/>
  <c r="AV420" i="6"/>
  <c r="N421" i="6" a="1"/>
  <c r="N421" i="6"/>
  <c r="AL421" i="6"/>
  <c r="AM421" i="6"/>
  <c r="AN421" i="6"/>
  <c r="AP421" i="6"/>
  <c r="AQ421" i="6"/>
  <c r="AR421" i="6"/>
  <c r="AT421" i="6"/>
  <c r="AU421" i="6"/>
  <c r="AV421" i="6"/>
  <c r="N422" i="6" a="1"/>
  <c r="N422" i="6"/>
  <c r="AL422" i="6"/>
  <c r="AM422" i="6"/>
  <c r="AN422" i="6"/>
  <c r="AP422" i="6"/>
  <c r="AQ422" i="6"/>
  <c r="AR422" i="6"/>
  <c r="AT422" i="6"/>
  <c r="AU422" i="6"/>
  <c r="AV422" i="6"/>
  <c r="N423" i="6" a="1"/>
  <c r="N423" i="6"/>
  <c r="AL423" i="6"/>
  <c r="AM423" i="6"/>
  <c r="AN423" i="6"/>
  <c r="AP423" i="6"/>
  <c r="AQ423" i="6"/>
  <c r="AR423" i="6"/>
  <c r="AT423" i="6"/>
  <c r="AU423" i="6"/>
  <c r="AV423" i="6"/>
  <c r="N424" i="6" a="1"/>
  <c r="N424" i="6"/>
  <c r="AL424" i="6"/>
  <c r="AM424" i="6"/>
  <c r="AN424" i="6"/>
  <c r="AP424" i="6"/>
  <c r="AQ424" i="6"/>
  <c r="AR424" i="6"/>
  <c r="AT424" i="6"/>
  <c r="AU424" i="6"/>
  <c r="AV424" i="6"/>
  <c r="N425" i="6" a="1"/>
  <c r="N425" i="6"/>
  <c r="AL425" i="6"/>
  <c r="AM425" i="6"/>
  <c r="AN425" i="6"/>
  <c r="AP425" i="6"/>
  <c r="AQ425" i="6"/>
  <c r="AR425" i="6"/>
  <c r="AT425" i="6"/>
  <c r="AU425" i="6"/>
  <c r="AV425" i="6"/>
  <c r="N426" i="6" a="1"/>
  <c r="N426" i="6"/>
  <c r="AL426" i="6"/>
  <c r="AM426" i="6"/>
  <c r="AN426" i="6"/>
  <c r="AP426" i="6"/>
  <c r="AQ426" i="6"/>
  <c r="AR426" i="6"/>
  <c r="AT426" i="6"/>
  <c r="AU426" i="6"/>
  <c r="AV426" i="6"/>
  <c r="N427" i="6" a="1"/>
  <c r="N427" i="6"/>
  <c r="AL427" i="6"/>
  <c r="AM427" i="6"/>
  <c r="AN427" i="6"/>
  <c r="AP427" i="6"/>
  <c r="AQ427" i="6"/>
  <c r="AR427" i="6"/>
  <c r="AT427" i="6"/>
  <c r="AU427" i="6"/>
  <c r="AV427" i="6"/>
  <c r="N428" i="6" a="1"/>
  <c r="N428" i="6"/>
  <c r="AL428" i="6"/>
  <c r="AM428" i="6"/>
  <c r="AN428" i="6"/>
  <c r="AP428" i="6"/>
  <c r="AQ428" i="6"/>
  <c r="AR428" i="6"/>
  <c r="AT428" i="6"/>
  <c r="AU428" i="6"/>
  <c r="AV428" i="6"/>
  <c r="N429" i="6" a="1"/>
  <c r="N429" i="6"/>
  <c r="AL429" i="6"/>
  <c r="AM429" i="6"/>
  <c r="AN429" i="6"/>
  <c r="AP429" i="6"/>
  <c r="AQ429" i="6"/>
  <c r="AR429" i="6"/>
  <c r="AT429" i="6"/>
  <c r="AU429" i="6"/>
  <c r="AV429" i="6"/>
  <c r="N430" i="6" a="1"/>
  <c r="N430" i="6"/>
  <c r="AL430" i="6"/>
  <c r="AM430" i="6"/>
  <c r="AN430" i="6"/>
  <c r="AP430" i="6"/>
  <c r="AQ430" i="6"/>
  <c r="AR430" i="6"/>
  <c r="AT430" i="6"/>
  <c r="AU430" i="6"/>
  <c r="AV430" i="6"/>
  <c r="N431" i="6" a="1"/>
  <c r="N431" i="6"/>
  <c r="AL431" i="6"/>
  <c r="AM431" i="6"/>
  <c r="AN431" i="6"/>
  <c r="AP431" i="6"/>
  <c r="AQ431" i="6"/>
  <c r="AR431" i="6"/>
  <c r="AT431" i="6"/>
  <c r="AU431" i="6"/>
  <c r="AV431" i="6"/>
  <c r="N432" i="6" a="1"/>
  <c r="N432" i="6"/>
  <c r="AL432" i="6"/>
  <c r="AM432" i="6"/>
  <c r="AN432" i="6"/>
  <c r="AP432" i="6"/>
  <c r="AQ432" i="6"/>
  <c r="AR432" i="6"/>
  <c r="AT432" i="6"/>
  <c r="AU432" i="6"/>
  <c r="AV432" i="6"/>
  <c r="N433" i="6" a="1"/>
  <c r="N433" i="6"/>
  <c r="AL433" i="6"/>
  <c r="AM433" i="6"/>
  <c r="AN433" i="6"/>
  <c r="AP433" i="6"/>
  <c r="AQ433" i="6"/>
  <c r="AR433" i="6"/>
  <c r="AT433" i="6"/>
  <c r="AU433" i="6"/>
  <c r="AV433" i="6"/>
  <c r="N434" i="6" a="1"/>
  <c r="N434" i="6"/>
  <c r="AL434" i="6"/>
  <c r="AM434" i="6"/>
  <c r="AN434" i="6"/>
  <c r="AP434" i="6"/>
  <c r="AQ434" i="6"/>
  <c r="AR434" i="6"/>
  <c r="AT434" i="6"/>
  <c r="AU434" i="6"/>
  <c r="AV434" i="6"/>
  <c r="N435" i="6" a="1"/>
  <c r="N435" i="6"/>
  <c r="AL435" i="6"/>
  <c r="AM435" i="6"/>
  <c r="AN435" i="6"/>
  <c r="AP435" i="6"/>
  <c r="AQ435" i="6"/>
  <c r="AR435" i="6"/>
  <c r="AT435" i="6"/>
  <c r="AU435" i="6"/>
  <c r="AV435" i="6"/>
  <c r="N436" i="6" a="1"/>
  <c r="N436" i="6"/>
  <c r="AL436" i="6"/>
  <c r="AM436" i="6"/>
  <c r="AN436" i="6"/>
  <c r="AP436" i="6"/>
  <c r="AQ436" i="6"/>
  <c r="AR436" i="6"/>
  <c r="AT436" i="6"/>
  <c r="AU436" i="6"/>
  <c r="AV436" i="6"/>
  <c r="N437" i="6" a="1"/>
  <c r="N437" i="6"/>
  <c r="AL437" i="6"/>
  <c r="AM437" i="6"/>
  <c r="AN437" i="6"/>
  <c r="AP437" i="6"/>
  <c r="AQ437" i="6"/>
  <c r="AR437" i="6"/>
  <c r="AT437" i="6"/>
  <c r="AU437" i="6"/>
  <c r="AV437" i="6"/>
  <c r="N438" i="6" a="1"/>
  <c r="N438" i="6"/>
  <c r="AL438" i="6"/>
  <c r="AM438" i="6"/>
  <c r="AN438" i="6"/>
  <c r="AP438" i="6"/>
  <c r="AQ438" i="6"/>
  <c r="AR438" i="6"/>
  <c r="AT438" i="6"/>
  <c r="AU438" i="6"/>
  <c r="AV438" i="6"/>
  <c r="N439" i="6" a="1"/>
  <c r="N439" i="6"/>
  <c r="AL439" i="6"/>
  <c r="AM439" i="6"/>
  <c r="AN439" i="6"/>
  <c r="AP439" i="6"/>
  <c r="AQ439" i="6"/>
  <c r="AR439" i="6"/>
  <c r="AT439" i="6"/>
  <c r="AU439" i="6"/>
  <c r="AV439" i="6"/>
  <c r="N440" i="6" a="1"/>
  <c r="N440" i="6"/>
  <c r="AL440" i="6"/>
  <c r="AM440" i="6"/>
  <c r="AN440" i="6"/>
  <c r="AP440" i="6"/>
  <c r="AQ440" i="6"/>
  <c r="AR440" i="6"/>
  <c r="AT440" i="6"/>
  <c r="AU440" i="6"/>
  <c r="AV440" i="6"/>
  <c r="N441" i="6" a="1"/>
  <c r="N441" i="6"/>
  <c r="AL441" i="6"/>
  <c r="AM441" i="6"/>
  <c r="AN441" i="6"/>
  <c r="AP441" i="6"/>
  <c r="AQ441" i="6"/>
  <c r="AR441" i="6"/>
  <c r="AT441" i="6"/>
  <c r="AU441" i="6"/>
  <c r="AV441" i="6"/>
  <c r="N442" i="6" a="1"/>
  <c r="N442" i="6"/>
  <c r="AL442" i="6"/>
  <c r="AM442" i="6"/>
  <c r="AN442" i="6"/>
  <c r="AP442" i="6"/>
  <c r="AQ442" i="6"/>
  <c r="AR442" i="6"/>
  <c r="AT442" i="6"/>
  <c r="AU442" i="6"/>
  <c r="AV442" i="6"/>
  <c r="N443" i="6" a="1"/>
  <c r="N443" i="6"/>
  <c r="AL443" i="6"/>
  <c r="AM443" i="6"/>
  <c r="AN443" i="6"/>
  <c r="AP443" i="6"/>
  <c r="AQ443" i="6"/>
  <c r="AR443" i="6"/>
  <c r="AT443" i="6"/>
  <c r="AU443" i="6"/>
  <c r="AV443" i="6"/>
  <c r="N444" i="6" a="1"/>
  <c r="N444" i="6"/>
  <c r="AL444" i="6"/>
  <c r="AM444" i="6"/>
  <c r="AN444" i="6"/>
  <c r="AP444" i="6"/>
  <c r="AQ444" i="6"/>
  <c r="AR444" i="6"/>
  <c r="AT444" i="6"/>
  <c r="AU444" i="6"/>
  <c r="AV444" i="6"/>
  <c r="N445" i="6" a="1"/>
  <c r="N445" i="6"/>
  <c r="AL445" i="6"/>
  <c r="AM445" i="6"/>
  <c r="AN445" i="6"/>
  <c r="AP445" i="6"/>
  <c r="AQ445" i="6"/>
  <c r="AR445" i="6"/>
  <c r="AT445" i="6"/>
  <c r="AU445" i="6"/>
  <c r="AV445" i="6"/>
  <c r="N446" i="6" a="1"/>
  <c r="N446" i="6"/>
  <c r="AL446" i="6"/>
  <c r="AM446" i="6"/>
  <c r="AN446" i="6"/>
  <c r="AP446" i="6"/>
  <c r="AQ446" i="6"/>
  <c r="AR446" i="6"/>
  <c r="AT446" i="6"/>
  <c r="AU446" i="6"/>
  <c r="AV446" i="6"/>
  <c r="N447" i="6" a="1"/>
  <c r="N447" i="6"/>
  <c r="AL447" i="6"/>
  <c r="AM447" i="6"/>
  <c r="AN447" i="6"/>
  <c r="AP447" i="6"/>
  <c r="AQ447" i="6"/>
  <c r="AR447" i="6"/>
  <c r="AT447" i="6"/>
  <c r="AU447" i="6"/>
  <c r="AV447" i="6"/>
  <c r="N448" i="6" a="1"/>
  <c r="N448" i="6"/>
  <c r="AL448" i="6"/>
  <c r="AM448" i="6"/>
  <c r="AN448" i="6"/>
  <c r="AP448" i="6"/>
  <c r="AQ448" i="6"/>
  <c r="AR448" i="6"/>
  <c r="AT448" i="6"/>
  <c r="AU448" i="6"/>
  <c r="AV448" i="6"/>
  <c r="N449" i="6" a="1"/>
  <c r="N449" i="6"/>
  <c r="AL449" i="6"/>
  <c r="AM449" i="6"/>
  <c r="AN449" i="6"/>
  <c r="AP449" i="6"/>
  <c r="AQ449" i="6"/>
  <c r="AR449" i="6"/>
  <c r="AT449" i="6"/>
  <c r="AU449" i="6"/>
  <c r="AV449" i="6"/>
  <c r="N450" i="6" a="1"/>
  <c r="N450" i="6"/>
  <c r="AL450" i="6"/>
  <c r="AM450" i="6"/>
  <c r="AN450" i="6"/>
  <c r="AP450" i="6"/>
  <c r="AQ450" i="6"/>
  <c r="AR450" i="6"/>
  <c r="AT450" i="6"/>
  <c r="AU450" i="6"/>
  <c r="AV450" i="6"/>
  <c r="N451" i="6" a="1"/>
  <c r="N451" i="6"/>
  <c r="AL451" i="6"/>
  <c r="AM451" i="6"/>
  <c r="AN451" i="6"/>
  <c r="AP451" i="6"/>
  <c r="AQ451" i="6"/>
  <c r="AR451" i="6"/>
  <c r="AT451" i="6"/>
  <c r="AU451" i="6"/>
  <c r="AV451" i="6"/>
  <c r="N452" i="6" a="1"/>
  <c r="N452" i="6"/>
  <c r="AL452" i="6"/>
  <c r="AM452" i="6"/>
  <c r="AN452" i="6"/>
  <c r="AP452" i="6"/>
  <c r="AQ452" i="6"/>
  <c r="AR452" i="6"/>
  <c r="AT452" i="6"/>
  <c r="AU452" i="6"/>
  <c r="AV452" i="6"/>
  <c r="N453" i="6" a="1"/>
  <c r="N453" i="6"/>
  <c r="AL453" i="6"/>
  <c r="AM453" i="6"/>
  <c r="AN453" i="6"/>
  <c r="AP453" i="6"/>
  <c r="AQ453" i="6"/>
  <c r="AR453" i="6"/>
  <c r="AT453" i="6"/>
  <c r="AU453" i="6"/>
  <c r="AV453" i="6"/>
  <c r="N454" i="6" a="1"/>
  <c r="N454" i="6"/>
  <c r="AL454" i="6"/>
  <c r="AM454" i="6"/>
  <c r="AN454" i="6"/>
  <c r="AP454" i="6"/>
  <c r="AQ454" i="6"/>
  <c r="AR454" i="6"/>
  <c r="AT454" i="6"/>
  <c r="AU454" i="6"/>
  <c r="AV454" i="6"/>
  <c r="N455" i="6" a="1"/>
  <c r="N455" i="6"/>
  <c r="AL455" i="6"/>
  <c r="AM455" i="6"/>
  <c r="AN455" i="6"/>
  <c r="AP455" i="6"/>
  <c r="AQ455" i="6"/>
  <c r="AR455" i="6"/>
  <c r="AT455" i="6"/>
  <c r="AU455" i="6"/>
  <c r="AV455" i="6"/>
  <c r="N456" i="6" a="1"/>
  <c r="N456" i="6"/>
  <c r="AL456" i="6"/>
  <c r="AM456" i="6"/>
  <c r="AN456" i="6"/>
  <c r="AP456" i="6"/>
  <c r="AQ456" i="6"/>
  <c r="AR456" i="6"/>
  <c r="AT456" i="6"/>
  <c r="AU456" i="6"/>
  <c r="AV456" i="6"/>
  <c r="AL457" i="6"/>
  <c r="AM457" i="6"/>
  <c r="AN457" i="6"/>
  <c r="AP457" i="6"/>
  <c r="AQ457" i="6"/>
  <c r="AR457" i="6"/>
  <c r="AT457" i="6"/>
  <c r="AU457" i="6"/>
  <c r="AV457" i="6"/>
  <c r="AL458" i="6"/>
  <c r="AM458" i="6"/>
  <c r="AN458" i="6"/>
  <c r="AP458" i="6"/>
  <c r="AQ458" i="6"/>
  <c r="AR458" i="6"/>
  <c r="AT458" i="6"/>
  <c r="AU458" i="6"/>
  <c r="AV458" i="6"/>
  <c r="AL459" i="6"/>
  <c r="AM459" i="6"/>
  <c r="AN459" i="6"/>
  <c r="AP459" i="6"/>
  <c r="AQ459" i="6"/>
  <c r="AR459" i="6"/>
  <c r="AT459" i="6"/>
  <c r="AU459" i="6"/>
  <c r="AV459" i="6"/>
  <c r="AL460" i="6"/>
  <c r="AM460" i="6"/>
  <c r="AN460" i="6"/>
  <c r="AP460" i="6"/>
  <c r="AQ460" i="6"/>
  <c r="AR460" i="6"/>
  <c r="AT460" i="6"/>
  <c r="AU460" i="6"/>
  <c r="AV460" i="6"/>
  <c r="AL461" i="6"/>
  <c r="AM461" i="6"/>
  <c r="AN461" i="6"/>
  <c r="AP461" i="6"/>
  <c r="AQ461" i="6"/>
  <c r="AR461" i="6"/>
  <c r="AT461" i="6"/>
  <c r="AU461" i="6"/>
  <c r="AV461" i="6"/>
  <c r="AL462" i="6"/>
  <c r="AM462" i="6"/>
  <c r="AN462" i="6"/>
  <c r="AP462" i="6"/>
  <c r="AQ462" i="6"/>
  <c r="AR462" i="6"/>
  <c r="AT462" i="6"/>
  <c r="AU462" i="6"/>
  <c r="AV462" i="6"/>
  <c r="AL463" i="6"/>
  <c r="AM463" i="6"/>
  <c r="AN463" i="6"/>
  <c r="AP463" i="6"/>
  <c r="AQ463" i="6"/>
  <c r="AR463" i="6"/>
  <c r="AT463" i="6"/>
  <c r="AU463" i="6"/>
  <c r="AV463" i="6"/>
  <c r="AL464" i="6"/>
  <c r="AM464" i="6"/>
  <c r="AN464" i="6"/>
  <c r="AP464" i="6"/>
  <c r="AQ464" i="6"/>
  <c r="AR464" i="6"/>
  <c r="AT464" i="6"/>
  <c r="AU464" i="6"/>
  <c r="AV464" i="6"/>
  <c r="AL465" i="6"/>
  <c r="AM465" i="6"/>
  <c r="AN465" i="6"/>
  <c r="AP465" i="6"/>
  <c r="AQ465" i="6"/>
  <c r="AR465" i="6"/>
  <c r="AT465" i="6"/>
  <c r="AU465" i="6"/>
  <c r="AV465" i="6"/>
  <c r="AL466" i="6"/>
  <c r="AM466" i="6"/>
  <c r="AN466" i="6"/>
  <c r="AP466" i="6"/>
  <c r="AQ466" i="6"/>
  <c r="AR466" i="6"/>
  <c r="AT466" i="6"/>
  <c r="AU466" i="6"/>
  <c r="AV466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Z10" i="1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C110" i="11"/>
  <c r="AA111" i="11"/>
  <c r="AC111" i="11"/>
  <c r="AA112" i="11"/>
  <c r="AC112" i="11"/>
  <c r="AA113" i="11"/>
  <c r="AC113" i="11"/>
  <c r="AA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5" i="11"/>
  <c r="D133" i="11"/>
  <c r="D132" i="11"/>
  <c r="D131" i="11"/>
  <c r="D130" i="11"/>
  <c r="C17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I8" i="11" a="1"/>
  <c r="I8" i="11"/>
  <c r="C18" i="11"/>
  <c r="T9" i="16" a="1"/>
  <c r="T9" i="16"/>
  <c r="S9" i="16" a="1"/>
  <c r="S9" i="16"/>
  <c r="V14" i="16"/>
  <c r="W14" i="16"/>
  <c r="X14" i="16"/>
  <c r="V15" i="16"/>
  <c r="W15" i="16"/>
  <c r="X15" i="16"/>
  <c r="V16" i="16"/>
  <c r="W16" i="16"/>
  <c r="X16" i="16"/>
  <c r="V17" i="16"/>
  <c r="W17" i="16"/>
  <c r="X17" i="16"/>
  <c r="V18" i="16"/>
  <c r="W18" i="16"/>
  <c r="X18" i="16"/>
  <c r="V19" i="16"/>
  <c r="W19" i="16"/>
  <c r="X19" i="16"/>
  <c r="V20" i="16"/>
  <c r="W20" i="16"/>
  <c r="X20" i="16"/>
  <c r="V21" i="16"/>
  <c r="W21" i="16"/>
  <c r="X21" i="16"/>
  <c r="V22" i="16"/>
  <c r="W22" i="16"/>
  <c r="X22" i="16"/>
  <c r="V23" i="16"/>
  <c r="W23" i="16"/>
  <c r="X23" i="16"/>
  <c r="V24" i="16"/>
  <c r="W24" i="16"/>
  <c r="X24" i="16"/>
  <c r="V25" i="16"/>
  <c r="W25" i="16"/>
  <c r="X25" i="16"/>
  <c r="V26" i="16"/>
  <c r="W26" i="16"/>
  <c r="X26" i="16"/>
  <c r="V27" i="16"/>
  <c r="W27" i="16"/>
  <c r="X27" i="16"/>
  <c r="V28" i="16"/>
  <c r="W28" i="16"/>
  <c r="X28" i="16"/>
  <c r="V29" i="16"/>
  <c r="W29" i="16"/>
  <c r="X29" i="16"/>
  <c r="V30" i="16"/>
  <c r="W30" i="16"/>
  <c r="X30" i="16"/>
  <c r="V31" i="16"/>
  <c r="W31" i="16"/>
  <c r="X31" i="16"/>
  <c r="V32" i="16"/>
  <c r="W32" i="16"/>
  <c r="X32" i="16"/>
  <c r="V33" i="16"/>
  <c r="W33" i="16"/>
  <c r="X33" i="16"/>
  <c r="V34" i="16"/>
  <c r="W34" i="16"/>
  <c r="X34" i="16"/>
  <c r="V35" i="16"/>
  <c r="W35" i="16"/>
  <c r="X35" i="16"/>
  <c r="V36" i="16"/>
  <c r="W36" i="16"/>
  <c r="X36" i="16"/>
  <c r="V37" i="16"/>
  <c r="W37" i="16"/>
  <c r="X37" i="16"/>
  <c r="V38" i="16"/>
  <c r="W38" i="16"/>
  <c r="X38" i="16"/>
  <c r="V39" i="16"/>
  <c r="W39" i="16"/>
  <c r="X39" i="16"/>
  <c r="V40" i="16"/>
  <c r="W40" i="16"/>
  <c r="X40" i="16"/>
  <c r="V41" i="16"/>
  <c r="W41" i="16"/>
  <c r="X41" i="16"/>
  <c r="V42" i="16"/>
  <c r="W42" i="16"/>
  <c r="X42" i="16"/>
  <c r="V43" i="16"/>
  <c r="W43" i="16"/>
  <c r="X43" i="16"/>
  <c r="V44" i="16"/>
  <c r="W44" i="16"/>
  <c r="X44" i="16"/>
  <c r="V45" i="16"/>
  <c r="W45" i="16"/>
  <c r="X45" i="16"/>
  <c r="V46" i="16"/>
  <c r="W46" i="16"/>
  <c r="X46" i="16"/>
  <c r="V47" i="16"/>
  <c r="W47" i="16"/>
  <c r="X47" i="16"/>
  <c r="V48" i="16"/>
  <c r="W48" i="16"/>
  <c r="X48" i="16"/>
  <c r="V49" i="16"/>
  <c r="W49" i="16"/>
  <c r="X49" i="16"/>
  <c r="V50" i="16"/>
  <c r="W50" i="16"/>
  <c r="X50" i="16"/>
  <c r="V51" i="16"/>
  <c r="W51" i="16"/>
  <c r="X51" i="16"/>
  <c r="V52" i="16"/>
  <c r="W52" i="16"/>
  <c r="X52" i="16"/>
  <c r="V53" i="16"/>
  <c r="W53" i="16"/>
  <c r="X53" i="16"/>
  <c r="V54" i="16"/>
  <c r="W54" i="16"/>
  <c r="X54" i="16"/>
  <c r="V55" i="16"/>
  <c r="W55" i="16"/>
  <c r="X55" i="16"/>
  <c r="V56" i="16"/>
  <c r="W56" i="16"/>
  <c r="X56" i="16"/>
  <c r="V57" i="16"/>
  <c r="W57" i="16"/>
  <c r="X57" i="16"/>
  <c r="V58" i="16"/>
  <c r="W58" i="16"/>
  <c r="X58" i="16"/>
  <c r="V59" i="16"/>
  <c r="W59" i="16"/>
  <c r="X59" i="16"/>
  <c r="V60" i="16"/>
  <c r="W60" i="16"/>
  <c r="X60" i="16"/>
  <c r="V61" i="16"/>
  <c r="W61" i="16"/>
  <c r="X61" i="16"/>
  <c r="V62" i="16"/>
  <c r="W62" i="16"/>
  <c r="X62" i="16"/>
  <c r="V63" i="16"/>
  <c r="W63" i="16"/>
  <c r="X63" i="16"/>
  <c r="V64" i="16"/>
  <c r="W64" i="16"/>
  <c r="X64" i="16"/>
  <c r="V65" i="16"/>
  <c r="W65" i="16"/>
  <c r="X65" i="16"/>
  <c r="V66" i="16"/>
  <c r="W66" i="16"/>
  <c r="X66" i="16"/>
  <c r="V67" i="16"/>
  <c r="W67" i="16"/>
  <c r="X67" i="16"/>
  <c r="V68" i="16"/>
  <c r="W68" i="16"/>
  <c r="X68" i="16"/>
  <c r="V69" i="16"/>
  <c r="W69" i="16"/>
  <c r="X69" i="16"/>
  <c r="V70" i="16"/>
  <c r="W70" i="16"/>
  <c r="X70" i="16"/>
  <c r="V71" i="16"/>
  <c r="W71" i="16"/>
  <c r="X71" i="16"/>
  <c r="V72" i="16"/>
  <c r="W72" i="16"/>
  <c r="X72" i="16"/>
  <c r="V73" i="16"/>
  <c r="W73" i="16"/>
  <c r="X73" i="16"/>
  <c r="V74" i="16"/>
  <c r="W74" i="16"/>
  <c r="X74" i="16"/>
  <c r="V75" i="16"/>
  <c r="W75" i="16"/>
  <c r="X75" i="16"/>
  <c r="V76" i="16"/>
  <c r="W76" i="16"/>
  <c r="X76" i="16"/>
  <c r="V77" i="16"/>
  <c r="W77" i="16"/>
  <c r="X77" i="16"/>
  <c r="V78" i="16"/>
  <c r="W78" i="16"/>
  <c r="X78" i="16"/>
  <c r="V79" i="16"/>
  <c r="W79" i="16"/>
  <c r="X79" i="16"/>
  <c r="V80" i="16"/>
  <c r="W80" i="16"/>
  <c r="X80" i="16"/>
  <c r="V81" i="16"/>
  <c r="W81" i="16"/>
  <c r="X81" i="16"/>
  <c r="V82" i="16"/>
  <c r="W82" i="16"/>
  <c r="X82" i="16"/>
  <c r="V83" i="16"/>
  <c r="W83" i="16"/>
  <c r="X83" i="16"/>
  <c r="V84" i="16"/>
  <c r="W84" i="16"/>
  <c r="X84" i="16"/>
  <c r="V85" i="16"/>
  <c r="W85" i="16"/>
  <c r="X85" i="16"/>
  <c r="V86" i="16"/>
  <c r="W86" i="16"/>
  <c r="X86" i="16"/>
  <c r="V87" i="16"/>
  <c r="W87" i="16"/>
  <c r="X87" i="16"/>
  <c r="V88" i="16"/>
  <c r="W88" i="16"/>
  <c r="X88" i="16"/>
  <c r="V89" i="16"/>
  <c r="W89" i="16"/>
  <c r="X89" i="16"/>
  <c r="V90" i="16"/>
  <c r="W90" i="16"/>
  <c r="X90" i="16"/>
  <c r="V91" i="16"/>
  <c r="W91" i="16"/>
  <c r="X91" i="16"/>
  <c r="V92" i="16"/>
  <c r="W92" i="16"/>
  <c r="X92" i="16"/>
  <c r="V93" i="16"/>
  <c r="W93" i="16"/>
  <c r="X93" i="16"/>
  <c r="V94" i="16"/>
  <c r="W94" i="16"/>
  <c r="X94" i="16"/>
  <c r="V95" i="16"/>
  <c r="W95" i="16"/>
  <c r="X95" i="16"/>
  <c r="V96" i="16"/>
  <c r="W96" i="16"/>
  <c r="X96" i="16"/>
  <c r="V97" i="16"/>
  <c r="W97" i="16"/>
  <c r="X97" i="16"/>
  <c r="V98" i="16"/>
  <c r="W98" i="16"/>
  <c r="X98" i="16"/>
  <c r="V99" i="16"/>
  <c r="W99" i="16"/>
  <c r="X99" i="16"/>
  <c r="V100" i="16"/>
  <c r="W100" i="16"/>
  <c r="X100" i="16"/>
  <c r="V101" i="16"/>
  <c r="W101" i="16"/>
  <c r="X101" i="16"/>
  <c r="V102" i="16"/>
  <c r="W102" i="16"/>
  <c r="X102" i="16"/>
  <c r="V103" i="16"/>
  <c r="W103" i="16"/>
  <c r="X103" i="16"/>
  <c r="V104" i="16"/>
  <c r="W104" i="16"/>
  <c r="X104" i="16"/>
  <c r="V105" i="16"/>
  <c r="W105" i="16"/>
  <c r="X105" i="16"/>
  <c r="V106" i="16"/>
  <c r="W106" i="16"/>
  <c r="X106" i="16"/>
  <c r="V107" i="16"/>
  <c r="W107" i="16"/>
  <c r="X107" i="16"/>
  <c r="V108" i="16"/>
  <c r="W108" i="16"/>
  <c r="X108" i="16"/>
  <c r="V109" i="16"/>
  <c r="X109" i="16"/>
  <c r="V110" i="16"/>
  <c r="X110" i="16"/>
  <c r="V111" i="16"/>
  <c r="X111" i="16"/>
  <c r="V112" i="16"/>
  <c r="X112" i="16"/>
  <c r="V113" i="16"/>
  <c r="X113" i="16"/>
  <c r="V114" i="16"/>
  <c r="X114" i="16"/>
  <c r="V115" i="16"/>
  <c r="X115" i="16"/>
  <c r="V116" i="16"/>
  <c r="X116" i="16"/>
  <c r="V117" i="16"/>
  <c r="X117" i="16"/>
  <c r="V118" i="16"/>
  <c r="X118" i="16"/>
  <c r="V119" i="16"/>
  <c r="X119" i="16"/>
  <c r="V120" i="16"/>
  <c r="X120" i="16"/>
  <c r="V121" i="16"/>
  <c r="X121" i="16"/>
  <c r="V122" i="16"/>
  <c r="X122" i="16"/>
  <c r="V123" i="16"/>
  <c r="X123" i="16"/>
  <c r="V124" i="16"/>
  <c r="X124" i="16"/>
  <c r="V125" i="16"/>
  <c r="X125" i="16"/>
  <c r="V126" i="16"/>
  <c r="X126" i="16"/>
  <c r="V127" i="16"/>
  <c r="X127" i="16"/>
  <c r="V128" i="16"/>
  <c r="X128" i="16"/>
  <c r="V129" i="16"/>
  <c r="X129" i="16"/>
  <c r="V130" i="16"/>
  <c r="X130" i="16"/>
  <c r="V131" i="16"/>
  <c r="X131" i="16"/>
  <c r="V132" i="16"/>
  <c r="X132" i="16"/>
  <c r="V133" i="16"/>
  <c r="X133" i="16"/>
  <c r="V134" i="16"/>
  <c r="X134" i="16"/>
  <c r="V135" i="16"/>
  <c r="X135" i="16"/>
  <c r="V136" i="16"/>
  <c r="X136" i="16"/>
  <c r="V137" i="16"/>
  <c r="X137" i="16"/>
  <c r="V138" i="16"/>
  <c r="X138" i="16"/>
  <c r="W11" i="16"/>
  <c r="W10" i="16"/>
  <c r="Z14" i="16"/>
  <c r="AA14" i="16"/>
  <c r="AB14" i="16"/>
  <c r="Z15" i="16"/>
  <c r="AA15" i="16"/>
  <c r="AB15" i="16"/>
  <c r="Z16" i="16"/>
  <c r="AA16" i="16"/>
  <c r="AB16" i="16"/>
  <c r="Z17" i="16"/>
  <c r="AA17" i="16"/>
  <c r="AB17" i="16"/>
  <c r="Z18" i="16"/>
  <c r="AA18" i="16"/>
  <c r="AB18" i="16"/>
  <c r="Z19" i="16"/>
  <c r="AA19" i="16"/>
  <c r="AB19" i="16"/>
  <c r="Z20" i="16"/>
  <c r="AA20" i="16"/>
  <c r="AB20" i="16"/>
  <c r="Z21" i="16"/>
  <c r="AA21" i="16"/>
  <c r="AB21" i="16"/>
  <c r="Z22" i="16"/>
  <c r="AA22" i="16"/>
  <c r="AB22" i="16"/>
  <c r="Z23" i="16"/>
  <c r="AA23" i="16"/>
  <c r="AB23" i="16"/>
  <c r="Z24" i="16"/>
  <c r="AA24" i="16"/>
  <c r="AB24" i="16"/>
  <c r="Z25" i="16"/>
  <c r="AA25" i="16"/>
  <c r="AB25" i="16"/>
  <c r="Z26" i="16"/>
  <c r="AA26" i="16"/>
  <c r="AB26" i="16"/>
  <c r="Z27" i="16"/>
  <c r="AA27" i="16"/>
  <c r="AB27" i="16"/>
  <c r="Z28" i="16"/>
  <c r="AA28" i="16"/>
  <c r="AB28" i="16"/>
  <c r="Z29" i="16"/>
  <c r="AA29" i="16"/>
  <c r="AB29" i="16"/>
  <c r="Z30" i="16"/>
  <c r="AA30" i="16"/>
  <c r="AB30" i="16"/>
  <c r="Z31" i="16"/>
  <c r="AA31" i="16"/>
  <c r="AB31" i="16"/>
  <c r="Z32" i="16"/>
  <c r="AA32" i="16"/>
  <c r="AB32" i="16"/>
  <c r="Z33" i="16"/>
  <c r="AA33" i="16"/>
  <c r="AB33" i="16"/>
  <c r="Z34" i="16"/>
  <c r="AA34" i="16"/>
  <c r="AB34" i="16"/>
  <c r="Z35" i="16"/>
  <c r="AA35" i="16"/>
  <c r="AB35" i="16"/>
  <c r="Z36" i="16"/>
  <c r="AA36" i="16"/>
  <c r="AB36" i="16"/>
  <c r="Z37" i="16"/>
  <c r="AA37" i="16"/>
  <c r="AB37" i="16"/>
  <c r="Z38" i="16"/>
  <c r="AA38" i="16"/>
  <c r="AB38" i="16"/>
  <c r="Z39" i="16"/>
  <c r="AA39" i="16"/>
  <c r="AB39" i="16"/>
  <c r="Z40" i="16"/>
  <c r="AA40" i="16"/>
  <c r="AB40" i="16"/>
  <c r="Z41" i="16"/>
  <c r="AA41" i="16"/>
  <c r="AB41" i="16"/>
  <c r="Z42" i="16"/>
  <c r="AA42" i="16"/>
  <c r="AB42" i="16"/>
  <c r="Z43" i="16"/>
  <c r="AA43" i="16"/>
  <c r="AB43" i="16"/>
  <c r="Z44" i="16"/>
  <c r="AA44" i="16"/>
  <c r="AB44" i="16"/>
  <c r="Z45" i="16"/>
  <c r="AA45" i="16"/>
  <c r="AB45" i="16"/>
  <c r="Z46" i="16"/>
  <c r="AA46" i="16"/>
  <c r="AB46" i="16"/>
  <c r="Z47" i="16"/>
  <c r="AA47" i="16"/>
  <c r="AB47" i="16"/>
  <c r="Z48" i="16"/>
  <c r="AA48" i="16"/>
  <c r="AB48" i="16"/>
  <c r="Z49" i="16"/>
  <c r="AA49" i="16"/>
  <c r="AB49" i="16"/>
  <c r="Z50" i="16"/>
  <c r="AA50" i="16"/>
  <c r="AB50" i="16"/>
  <c r="Z51" i="16"/>
  <c r="AA51" i="16"/>
  <c r="AB51" i="16"/>
  <c r="Z52" i="16"/>
  <c r="AA52" i="16"/>
  <c r="AB52" i="16"/>
  <c r="Z53" i="16"/>
  <c r="AA53" i="16"/>
  <c r="AB53" i="16"/>
  <c r="Z54" i="16"/>
  <c r="AA54" i="16"/>
  <c r="AB54" i="16"/>
  <c r="Z55" i="16"/>
  <c r="AA55" i="16"/>
  <c r="AB55" i="16"/>
  <c r="Z56" i="16"/>
  <c r="AA56" i="16"/>
  <c r="AB56" i="16"/>
  <c r="Z57" i="16"/>
  <c r="AA57" i="16"/>
  <c r="AB57" i="16"/>
  <c r="Z58" i="16"/>
  <c r="AA58" i="16"/>
  <c r="AB58" i="16"/>
  <c r="Z59" i="16"/>
  <c r="AA59" i="16"/>
  <c r="AB59" i="16"/>
  <c r="Z60" i="16"/>
  <c r="AA60" i="16"/>
  <c r="AB60" i="16"/>
  <c r="Z61" i="16"/>
  <c r="AA61" i="16"/>
  <c r="AB61" i="16"/>
  <c r="Z62" i="16"/>
  <c r="AA62" i="16"/>
  <c r="AB62" i="16"/>
  <c r="Z63" i="16"/>
  <c r="AA63" i="16"/>
  <c r="AB63" i="16"/>
  <c r="Z64" i="16"/>
  <c r="AA64" i="16"/>
  <c r="AB64" i="16"/>
  <c r="Z65" i="16"/>
  <c r="AA65" i="16"/>
  <c r="AB65" i="16"/>
  <c r="Z66" i="16"/>
  <c r="AA66" i="16"/>
  <c r="AB66" i="16"/>
  <c r="Z67" i="16"/>
  <c r="AA67" i="16"/>
  <c r="AB67" i="16"/>
  <c r="Z68" i="16"/>
  <c r="AA68" i="16"/>
  <c r="AB68" i="16"/>
  <c r="Z69" i="16"/>
  <c r="AA69" i="16"/>
  <c r="AB69" i="16"/>
  <c r="Z70" i="16"/>
  <c r="AA70" i="16"/>
  <c r="AB70" i="16"/>
  <c r="Z71" i="16"/>
  <c r="AA71" i="16"/>
  <c r="AB71" i="16"/>
  <c r="Z72" i="16"/>
  <c r="AA72" i="16"/>
  <c r="AB72" i="16"/>
  <c r="Z73" i="16"/>
  <c r="AA73" i="16"/>
  <c r="AB73" i="16"/>
  <c r="Z74" i="16"/>
  <c r="AA74" i="16"/>
  <c r="AB74" i="16"/>
  <c r="Z75" i="16"/>
  <c r="AA75" i="16"/>
  <c r="AB75" i="16"/>
  <c r="Z76" i="16"/>
  <c r="AA76" i="16"/>
  <c r="AB76" i="16"/>
  <c r="Z77" i="16"/>
  <c r="AA77" i="16"/>
  <c r="AB77" i="16"/>
  <c r="Z78" i="16"/>
  <c r="AA78" i="16"/>
  <c r="AB78" i="16"/>
  <c r="Z79" i="16"/>
  <c r="AA79" i="16"/>
  <c r="AB79" i="16"/>
  <c r="Z80" i="16"/>
  <c r="AA80" i="16"/>
  <c r="AB80" i="16"/>
  <c r="Z81" i="16"/>
  <c r="AA81" i="16"/>
  <c r="AB81" i="16"/>
  <c r="Z82" i="16"/>
  <c r="AA82" i="16"/>
  <c r="AB82" i="16"/>
  <c r="Z83" i="16"/>
  <c r="AA83" i="16"/>
  <c r="AB83" i="16"/>
  <c r="Z84" i="16"/>
  <c r="AA84" i="16"/>
  <c r="AB84" i="16"/>
  <c r="Z85" i="16"/>
  <c r="AA85" i="16"/>
  <c r="AB85" i="16"/>
  <c r="Z86" i="16"/>
  <c r="AA86" i="16"/>
  <c r="AB86" i="16"/>
  <c r="Z87" i="16"/>
  <c r="AA87" i="16"/>
  <c r="AB87" i="16"/>
  <c r="Z88" i="16"/>
  <c r="AA88" i="16"/>
  <c r="AB88" i="16"/>
  <c r="Z89" i="16"/>
  <c r="AA89" i="16"/>
  <c r="AB89" i="16"/>
  <c r="Z90" i="16"/>
  <c r="AA90" i="16"/>
  <c r="AB90" i="16"/>
  <c r="Z91" i="16"/>
  <c r="AA91" i="16"/>
  <c r="AB91" i="16"/>
  <c r="Z92" i="16"/>
  <c r="AA92" i="16"/>
  <c r="AB92" i="16"/>
  <c r="Z93" i="16"/>
  <c r="AA93" i="16"/>
  <c r="AB93" i="16"/>
  <c r="Z94" i="16"/>
  <c r="AA94" i="16"/>
  <c r="AB94" i="16"/>
  <c r="Z95" i="16"/>
  <c r="AA95" i="16"/>
  <c r="AB95" i="16"/>
  <c r="Z96" i="16"/>
  <c r="AA96" i="16"/>
  <c r="AB96" i="16"/>
  <c r="Z97" i="16"/>
  <c r="AA97" i="16"/>
  <c r="AB97" i="16"/>
  <c r="Z98" i="16"/>
  <c r="AA98" i="16"/>
  <c r="AB98" i="16"/>
  <c r="Z99" i="16"/>
  <c r="AA99" i="16"/>
  <c r="AB99" i="16"/>
  <c r="Z100" i="16"/>
  <c r="AA100" i="16"/>
  <c r="AB100" i="16"/>
  <c r="Z101" i="16"/>
  <c r="AA101" i="16"/>
  <c r="AB101" i="16"/>
  <c r="Z102" i="16"/>
  <c r="AA102" i="16"/>
  <c r="AB102" i="16"/>
  <c r="Z103" i="16"/>
  <c r="AA103" i="16"/>
  <c r="AB103" i="16"/>
  <c r="Z104" i="16"/>
  <c r="AA104" i="16"/>
  <c r="AB104" i="16"/>
  <c r="Z105" i="16"/>
  <c r="AA105" i="16"/>
  <c r="AB105" i="16"/>
  <c r="Z106" i="16"/>
  <c r="AA106" i="16"/>
  <c r="AB106" i="16"/>
  <c r="Z107" i="16"/>
  <c r="AA107" i="16"/>
  <c r="AB107" i="16"/>
  <c r="Z108" i="16"/>
  <c r="AA108" i="16"/>
  <c r="AB108" i="16"/>
  <c r="Z109" i="16"/>
  <c r="AB109" i="16"/>
  <c r="Z110" i="16"/>
  <c r="AB110" i="16"/>
  <c r="Z111" i="16"/>
  <c r="AB111" i="16"/>
  <c r="Z112" i="16"/>
  <c r="AB112" i="16"/>
  <c r="Z113" i="16"/>
  <c r="AB113" i="16"/>
  <c r="Z114" i="16"/>
  <c r="AB114" i="16"/>
  <c r="Z115" i="16"/>
  <c r="AB115" i="16"/>
  <c r="Z116" i="16"/>
  <c r="AB116" i="16"/>
  <c r="Z117" i="16"/>
  <c r="AB117" i="16"/>
  <c r="Z118" i="16"/>
  <c r="AB118" i="16"/>
  <c r="Z119" i="16"/>
  <c r="AB119" i="16"/>
  <c r="Z120" i="16"/>
  <c r="AB120" i="16"/>
  <c r="Z121" i="16"/>
  <c r="AB121" i="16"/>
  <c r="Z122" i="16"/>
  <c r="AB122" i="16"/>
  <c r="Z123" i="16"/>
  <c r="AB123" i="16"/>
  <c r="Z124" i="16"/>
  <c r="AB124" i="16"/>
  <c r="Z125" i="16"/>
  <c r="AB125" i="16"/>
  <c r="Z126" i="16"/>
  <c r="AB126" i="16"/>
  <c r="Z127" i="16"/>
  <c r="AB127" i="16"/>
  <c r="Z128" i="16"/>
  <c r="AB128" i="16"/>
  <c r="Z129" i="16"/>
  <c r="AB129" i="16"/>
  <c r="Z130" i="16"/>
  <c r="AB130" i="16"/>
  <c r="Z131" i="16"/>
  <c r="AB131" i="16"/>
  <c r="Z132" i="16"/>
  <c r="AB132" i="16"/>
  <c r="Z133" i="16"/>
  <c r="AB133" i="16"/>
  <c r="Z134" i="16"/>
  <c r="AB134" i="16"/>
  <c r="Z135" i="16"/>
  <c r="AB135" i="16"/>
  <c r="Z136" i="16"/>
  <c r="AB136" i="16"/>
  <c r="Z137" i="16"/>
  <c r="AB137" i="16"/>
  <c r="Z138" i="16"/>
  <c r="AB138" i="16"/>
  <c r="AC14" i="16"/>
  <c r="AC15" i="16"/>
  <c r="AC16" i="16"/>
  <c r="AC17" i="16"/>
  <c r="AC18" i="16"/>
  <c r="AC19" i="16"/>
  <c r="AC20" i="16"/>
  <c r="AC21" i="16"/>
  <c r="AC22" i="16"/>
  <c r="AC23" i="16"/>
  <c r="AC24" i="16"/>
  <c r="AC25" i="16"/>
  <c r="AC26" i="16"/>
  <c r="AC27" i="16"/>
  <c r="AC28" i="16"/>
  <c r="AC29" i="16"/>
  <c r="AC30" i="16"/>
  <c r="AC31" i="16"/>
  <c r="AC32" i="16"/>
  <c r="AC33" i="16"/>
  <c r="AC34" i="16"/>
  <c r="AC35" i="16"/>
  <c r="AC36" i="16"/>
  <c r="AC37" i="16"/>
  <c r="AC38" i="16"/>
  <c r="AC39" i="16"/>
  <c r="AC40" i="16"/>
  <c r="AC41" i="16"/>
  <c r="AC42" i="16"/>
  <c r="AC43" i="16"/>
  <c r="AC44" i="16"/>
  <c r="AC45" i="16"/>
  <c r="AC46" i="16"/>
  <c r="AC47" i="16"/>
  <c r="AC48" i="16"/>
  <c r="AC49" i="16"/>
  <c r="AC50" i="16"/>
  <c r="AC51" i="16"/>
  <c r="AC52" i="16"/>
  <c r="AC53" i="16"/>
  <c r="AC54" i="16"/>
  <c r="AC55" i="16"/>
  <c r="AC56" i="16"/>
  <c r="AC57" i="16"/>
  <c r="AC58" i="16"/>
  <c r="AC59" i="16"/>
  <c r="AC60" i="16"/>
  <c r="AC61" i="16"/>
  <c r="AC62" i="16"/>
  <c r="AC63" i="16"/>
  <c r="AC64" i="16"/>
  <c r="AC65" i="16"/>
  <c r="AC66" i="16"/>
  <c r="AC67" i="16"/>
  <c r="AC68" i="16"/>
  <c r="AC69" i="16"/>
  <c r="AC70" i="16"/>
  <c r="AC71" i="16"/>
  <c r="AC72" i="16"/>
  <c r="AC73" i="16"/>
  <c r="AC74" i="16"/>
  <c r="AC75" i="16"/>
  <c r="AC76" i="16"/>
  <c r="AC77" i="16"/>
  <c r="AC78" i="16"/>
  <c r="AC79" i="16"/>
  <c r="AC80" i="16"/>
  <c r="AC81" i="16"/>
  <c r="AC82" i="16"/>
  <c r="AC83" i="16"/>
  <c r="AC84" i="16"/>
  <c r="AC85" i="16"/>
  <c r="AC86" i="16"/>
  <c r="AC87" i="16"/>
  <c r="AC88" i="16"/>
  <c r="AC89" i="16"/>
  <c r="AC90" i="16"/>
  <c r="AC91" i="16"/>
  <c r="AC92" i="16"/>
  <c r="AC93" i="16"/>
  <c r="AC94" i="16"/>
  <c r="AC95" i="16"/>
  <c r="AC96" i="16"/>
  <c r="AC97" i="16"/>
  <c r="AC98" i="16"/>
  <c r="AC99" i="16"/>
  <c r="AC100" i="16"/>
  <c r="AC101" i="16"/>
  <c r="AC102" i="16"/>
  <c r="AC103" i="16"/>
  <c r="AC104" i="16"/>
  <c r="AC105" i="16"/>
  <c r="AC106" i="16"/>
  <c r="AC107" i="16"/>
  <c r="AC108" i="16"/>
  <c r="AC109" i="16"/>
  <c r="AC110" i="16"/>
  <c r="AC111" i="16"/>
  <c r="AC112" i="16"/>
  <c r="AC113" i="16"/>
  <c r="AC114" i="16"/>
  <c r="AC115" i="16"/>
  <c r="AC116" i="16"/>
  <c r="AC117" i="16"/>
  <c r="AC118" i="16"/>
  <c r="AC119" i="16"/>
  <c r="AC120" i="16"/>
  <c r="AC121" i="16"/>
  <c r="AC122" i="16"/>
  <c r="AC123" i="16"/>
  <c r="AC124" i="16"/>
  <c r="AC125" i="16"/>
  <c r="AC126" i="16"/>
  <c r="AC127" i="16"/>
  <c r="AC128" i="16"/>
  <c r="AC129" i="16"/>
  <c r="AC130" i="16"/>
  <c r="AC131" i="16"/>
  <c r="AC132" i="16"/>
  <c r="AC133" i="16"/>
  <c r="AC134" i="16"/>
  <c r="AC135" i="16"/>
  <c r="AC136" i="16"/>
  <c r="AC137" i="16"/>
  <c r="AC138" i="16"/>
  <c r="AA12" i="16"/>
  <c r="AA11" i="16"/>
  <c r="AA10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28" i="16"/>
  <c r="Y29" i="16"/>
  <c r="Y30" i="16"/>
  <c r="Y31" i="16"/>
  <c r="Y32" i="16"/>
  <c r="Y33" i="16"/>
  <c r="Y34" i="16"/>
  <c r="Y35" i="16"/>
  <c r="Y36" i="16"/>
  <c r="Y37" i="16"/>
  <c r="Y38" i="16"/>
  <c r="Y39" i="16"/>
  <c r="Y40" i="16"/>
  <c r="Y41" i="16"/>
  <c r="Y42" i="16"/>
  <c r="Y43" i="16"/>
  <c r="Y44" i="16"/>
  <c r="Y45" i="16"/>
  <c r="Y46" i="16"/>
  <c r="Y47" i="16"/>
  <c r="Y48" i="16"/>
  <c r="Y49" i="16"/>
  <c r="Y50" i="16"/>
  <c r="Y51" i="16"/>
  <c r="Y52" i="16"/>
  <c r="Y53" i="16"/>
  <c r="Y54" i="16"/>
  <c r="Y55" i="16"/>
  <c r="Y56" i="16"/>
  <c r="Y57" i="16"/>
  <c r="Y58" i="16"/>
  <c r="Y59" i="16"/>
  <c r="Y60" i="16"/>
  <c r="Y61" i="16"/>
  <c r="Y62" i="16"/>
  <c r="Y63" i="16"/>
  <c r="Y64" i="16"/>
  <c r="Y65" i="16"/>
  <c r="Y66" i="16"/>
  <c r="Y67" i="16"/>
  <c r="Y68" i="16"/>
  <c r="Y69" i="16"/>
  <c r="Y70" i="16"/>
  <c r="Y71" i="16"/>
  <c r="Y72" i="16"/>
  <c r="Y73" i="16"/>
  <c r="Y74" i="16"/>
  <c r="Y75" i="16"/>
  <c r="Y76" i="16"/>
  <c r="Y77" i="16"/>
  <c r="Y78" i="16"/>
  <c r="Y79" i="16"/>
  <c r="Y80" i="16"/>
  <c r="Y81" i="16"/>
  <c r="Y82" i="16"/>
  <c r="Y83" i="16"/>
  <c r="Y84" i="16"/>
  <c r="Y85" i="16"/>
  <c r="Y86" i="16"/>
  <c r="Y87" i="16"/>
  <c r="Y88" i="16"/>
  <c r="Y89" i="16"/>
  <c r="Y90" i="16"/>
  <c r="Y91" i="16"/>
  <c r="Y92" i="16"/>
  <c r="Y93" i="16"/>
  <c r="Y94" i="16"/>
  <c r="Y95" i="16"/>
  <c r="Y96" i="16"/>
  <c r="Y97" i="16"/>
  <c r="Y98" i="16"/>
  <c r="Y99" i="16"/>
  <c r="Y100" i="16"/>
  <c r="Y101" i="16"/>
  <c r="Y102" i="16"/>
  <c r="Y103" i="16"/>
  <c r="Y104" i="16"/>
  <c r="Y105" i="16"/>
  <c r="Y106" i="16"/>
  <c r="Y107" i="16"/>
  <c r="Y108" i="16"/>
  <c r="Y109" i="16"/>
  <c r="Y110" i="16"/>
  <c r="Y111" i="16"/>
  <c r="Y112" i="16"/>
  <c r="Y113" i="16"/>
  <c r="Y114" i="16"/>
  <c r="Y115" i="16"/>
  <c r="Y116" i="16"/>
  <c r="Y117" i="16"/>
  <c r="Y118" i="16"/>
  <c r="Y119" i="16"/>
  <c r="Y120" i="16"/>
  <c r="Y121" i="16"/>
  <c r="Y122" i="16"/>
  <c r="Y123" i="16"/>
  <c r="Y124" i="16"/>
  <c r="Y125" i="16"/>
  <c r="Y126" i="16"/>
  <c r="Y127" i="16"/>
  <c r="Y128" i="16"/>
  <c r="Y129" i="16"/>
  <c r="Y130" i="16"/>
  <c r="Y131" i="16"/>
  <c r="Y132" i="16"/>
  <c r="Y133" i="16"/>
  <c r="Y134" i="16"/>
  <c r="Y135" i="16"/>
  <c r="Y136" i="16"/>
  <c r="Y137" i="16"/>
  <c r="Y138" i="16"/>
  <c r="W12" i="16"/>
  <c r="W109" i="16"/>
  <c r="AA109" i="16"/>
  <c r="W110" i="16"/>
  <c r="AA110" i="16"/>
  <c r="W111" i="16"/>
  <c r="AA111" i="16"/>
  <c r="W112" i="16"/>
  <c r="AA112" i="16"/>
  <c r="W113" i="16"/>
  <c r="AA113" i="16"/>
  <c r="W114" i="16"/>
  <c r="AA114" i="16"/>
  <c r="W115" i="16"/>
  <c r="AA115" i="16"/>
  <c r="W116" i="16"/>
  <c r="AA116" i="16"/>
  <c r="W117" i="16"/>
  <c r="AA117" i="16"/>
  <c r="W118" i="16"/>
  <c r="AA118" i="16"/>
  <c r="W119" i="16"/>
  <c r="AA119" i="16"/>
  <c r="W120" i="16"/>
  <c r="AA120" i="16"/>
  <c r="W121" i="16"/>
  <c r="AA121" i="16"/>
  <c r="W122" i="16"/>
  <c r="AA122" i="16"/>
  <c r="W123" i="16"/>
  <c r="AA123" i="16"/>
  <c r="W124" i="16"/>
  <c r="AA124" i="16"/>
  <c r="W125" i="16"/>
  <c r="AA125" i="16"/>
  <c r="W126" i="16"/>
  <c r="AA126" i="16"/>
  <c r="W127" i="16"/>
  <c r="AA127" i="16"/>
  <c r="W128" i="16"/>
  <c r="AA128" i="16"/>
  <c r="W129" i="16"/>
  <c r="AA129" i="16"/>
  <c r="W130" i="16"/>
  <c r="AA130" i="16"/>
  <c r="W131" i="16"/>
  <c r="AA131" i="16"/>
  <c r="W132" i="16"/>
  <c r="AA132" i="16"/>
  <c r="W133" i="16"/>
  <c r="AA133" i="16"/>
  <c r="W134" i="16"/>
  <c r="AA134" i="16"/>
  <c r="W135" i="16"/>
  <c r="AA135" i="16"/>
  <c r="W136" i="16"/>
  <c r="AA136" i="16"/>
  <c r="W137" i="16"/>
  <c r="AA137" i="16"/>
  <c r="W138" i="16"/>
  <c r="AA138" i="16"/>
  <c r="AL8" i="16"/>
  <c r="AL14" i="16" a="1"/>
  <c r="AL14" i="16"/>
  <c r="AF14" i="16" a="1"/>
  <c r="AF14" i="16"/>
  <c r="AZ14" i="16" a="1"/>
  <c r="AZ14" i="16"/>
  <c r="C18" i="4" a="1"/>
  <c r="C18" i="4"/>
  <c r="AF11" i="16"/>
  <c r="AF11" i="16" a="1"/>
  <c r="C9" i="8" l="1"/>
  <c r="F10" i="8"/>
  <c r="C7" i="4"/>
  <c r="BL18" i="16"/>
  <c r="AE14" i="16"/>
  <c r="BK14" i="16"/>
  <c r="BL14" i="16"/>
  <c r="AE15" i="16"/>
  <c r="BK15" i="16"/>
  <c r="BL15" i="16"/>
  <c r="AE16" i="16"/>
  <c r="BK16" i="16"/>
  <c r="BL16" i="16"/>
  <c r="AE17" i="16"/>
  <c r="BK17" i="16"/>
  <c r="BL17" i="16"/>
  <c r="AE18" i="16"/>
  <c r="BK18" i="16"/>
  <c r="AE19" i="16"/>
  <c r="BK19" i="16"/>
  <c r="BL19" i="16"/>
  <c r="AE20" i="16"/>
  <c r="BK20" i="16"/>
  <c r="BL20" i="16"/>
  <c r="AE21" i="16"/>
  <c r="BK21" i="16"/>
  <c r="BL21" i="16"/>
  <c r="AE22" i="16"/>
  <c r="BK22" i="16"/>
  <c r="BL22" i="16"/>
  <c r="AE23" i="16"/>
  <c r="BK23" i="16"/>
  <c r="BL23" i="16"/>
  <c r="AE24" i="16"/>
  <c r="AE25" i="16"/>
  <c r="AE26" i="16"/>
  <c r="AE27" i="16"/>
  <c r="AE28" i="16"/>
  <c r="AE29" i="16"/>
  <c r="AE30" i="16"/>
  <c r="AE31" i="16"/>
  <c r="AE32" i="16"/>
  <c r="AE33" i="16"/>
  <c r="AE34" i="16"/>
  <c r="AE35" i="16"/>
  <c r="AE36" i="16"/>
  <c r="AE37" i="16"/>
  <c r="AE38" i="16"/>
  <c r="AE39" i="16"/>
  <c r="AE40" i="16"/>
  <c r="AE41" i="16"/>
  <c r="AE42" i="16"/>
  <c r="AE43" i="16"/>
  <c r="AE44" i="16"/>
  <c r="AE45" i="16"/>
  <c r="AE46" i="16"/>
  <c r="AE47" i="16"/>
  <c r="AE48" i="16"/>
  <c r="AE49" i="16"/>
  <c r="AE50" i="16"/>
  <c r="AE51" i="16"/>
  <c r="AE52" i="16"/>
  <c r="AE53" i="16"/>
  <c r="AE54" i="16"/>
  <c r="AE55" i="16"/>
  <c r="AE56" i="16"/>
  <c r="AE57" i="16"/>
  <c r="AE58" i="16"/>
  <c r="AE59" i="16"/>
  <c r="AE60" i="16"/>
  <c r="AE61" i="16"/>
  <c r="AE62" i="16"/>
  <c r="AE63" i="16"/>
  <c r="AE64" i="16"/>
  <c r="AE65" i="16"/>
  <c r="AE66" i="16"/>
  <c r="AE67" i="16"/>
  <c r="AE68" i="16"/>
  <c r="AE69" i="16"/>
  <c r="AE70" i="16"/>
  <c r="AE71" i="16"/>
  <c r="AE72" i="16"/>
  <c r="AE73" i="16"/>
  <c r="AE74" i="16"/>
  <c r="AE75" i="16"/>
  <c r="AE76" i="16"/>
  <c r="AE77" i="16"/>
  <c r="AE78" i="16"/>
  <c r="AE79" i="16"/>
  <c r="AE80" i="16"/>
  <c r="AE81" i="16"/>
  <c r="AE82" i="16"/>
  <c r="AE83" i="16"/>
  <c r="AE84" i="16"/>
  <c r="AE85" i="16"/>
  <c r="AE86" i="16"/>
  <c r="AE87" i="16"/>
  <c r="AE88" i="16"/>
  <c r="AE89" i="16"/>
  <c r="AE90" i="16"/>
  <c r="AE91" i="16"/>
  <c r="AE92" i="16"/>
  <c r="AE93" i="16"/>
  <c r="AE94" i="16"/>
  <c r="AE95" i="16"/>
  <c r="AE96" i="16"/>
  <c r="AE97" i="16"/>
  <c r="AE98" i="16"/>
  <c r="AE99" i="16"/>
  <c r="AE100" i="16"/>
  <c r="AE101" i="16"/>
  <c r="AE102" i="16"/>
  <c r="AE103" i="16"/>
  <c r="AE104" i="16"/>
  <c r="AE105" i="16"/>
  <c r="AE106" i="16"/>
  <c r="AE107" i="16"/>
  <c r="AE108" i="16"/>
  <c r="AE109" i="16"/>
  <c r="AE110" i="16"/>
  <c r="AE111" i="16"/>
  <c r="AE112" i="16"/>
  <c r="AE113" i="16"/>
  <c r="AE114" i="16"/>
  <c r="AE115" i="16"/>
  <c r="AE116" i="16"/>
  <c r="AE117" i="16"/>
  <c r="AE118" i="16"/>
  <c r="AE119" i="16"/>
  <c r="AE120" i="16"/>
  <c r="AE121" i="16"/>
  <c r="AE122" i="16"/>
  <c r="AE123" i="16"/>
  <c r="AE124" i="16"/>
  <c r="AE125" i="16"/>
  <c r="AE126" i="16"/>
  <c r="AE127" i="16"/>
  <c r="AE128" i="16"/>
  <c r="AE129" i="16"/>
  <c r="AE130" i="16"/>
  <c r="AE131" i="16"/>
  <c r="AE132" i="16"/>
  <c r="AE133" i="16"/>
  <c r="AE134" i="16"/>
  <c r="AE135" i="16"/>
  <c r="AE136" i="16"/>
  <c r="AE137" i="16"/>
  <c r="AE138" i="16"/>
  <c r="AE139" i="16"/>
  <c r="AE140" i="16"/>
  <c r="AE141" i="16"/>
  <c r="AE142" i="16"/>
  <c r="AE143" i="16"/>
  <c r="AE144" i="16"/>
  <c r="AE145" i="16"/>
  <c r="AE146" i="16"/>
  <c r="AE147" i="16"/>
  <c r="AE148" i="16"/>
  <c r="AE149" i="16"/>
  <c r="AE150" i="16"/>
  <c r="AE151" i="16"/>
  <c r="AE152" i="16"/>
  <c r="AE153" i="16"/>
  <c r="AE154" i="16"/>
  <c r="AE155" i="16"/>
  <c r="AE156" i="16"/>
  <c r="AE157" i="16"/>
  <c r="AE158" i="16"/>
  <c r="AE159" i="16"/>
  <c r="AE160" i="16"/>
  <c r="AE161" i="16"/>
  <c r="AE162" i="16"/>
  <c r="AE163" i="16"/>
  <c r="AE164" i="16"/>
  <c r="AE165" i="16"/>
  <c r="AE166" i="16"/>
  <c r="AE167" i="16"/>
  <c r="AE168" i="16"/>
  <c r="AE169" i="16"/>
  <c r="AE170" i="16"/>
  <c r="AE171" i="16"/>
  <c r="AE172" i="16"/>
  <c r="AE173" i="16"/>
  <c r="AE174" i="16"/>
  <c r="AE175" i="16"/>
  <c r="AE176" i="16"/>
  <c r="AE177" i="16"/>
  <c r="AE178" i="16"/>
  <c r="AE179" i="16"/>
  <c r="AE180" i="16"/>
  <c r="AE181" i="16"/>
  <c r="AE182" i="16"/>
  <c r="AE183" i="16"/>
  <c r="AE184" i="16"/>
  <c r="AE185" i="16"/>
  <c r="AE186" i="16"/>
  <c r="AE187" i="16"/>
  <c r="AE188" i="16"/>
  <c r="AE189" i="16"/>
  <c r="AE190" i="16"/>
  <c r="AE191" i="16"/>
  <c r="AE192" i="16"/>
  <c r="AE193" i="16"/>
  <c r="AE194" i="16"/>
  <c r="AE195" i="16"/>
  <c r="AE196" i="16"/>
  <c r="AE197" i="16"/>
  <c r="AE198" i="16"/>
  <c r="AE199" i="16"/>
  <c r="AE200" i="16"/>
  <c r="AE201" i="16"/>
  <c r="AE202" i="16"/>
  <c r="AE203" i="16"/>
  <c r="AE204" i="16"/>
  <c r="AE205" i="16"/>
  <c r="AE206" i="16"/>
  <c r="AE207" i="16"/>
  <c r="AE208" i="16"/>
  <c r="AE209" i="16"/>
  <c r="AE210" i="16"/>
  <c r="AE211" i="16"/>
  <c r="AE212" i="16"/>
  <c r="AE213" i="16"/>
  <c r="AE214" i="16"/>
  <c r="AE215" i="16"/>
  <c r="AE216" i="16"/>
  <c r="AE217" i="16"/>
  <c r="AE218" i="16"/>
  <c r="AE219" i="16"/>
  <c r="AE220" i="16"/>
  <c r="AE221" i="16"/>
  <c r="AE222" i="16"/>
  <c r="AE223" i="16"/>
  <c r="AE224" i="16"/>
  <c r="AE225" i="16"/>
  <c r="AE226" i="16"/>
  <c r="AE227" i="16"/>
  <c r="AE228" i="16"/>
  <c r="AE229" i="16"/>
  <c r="AE230" i="16"/>
  <c r="AE231" i="16"/>
  <c r="AE232" i="16"/>
  <c r="AE233" i="16"/>
  <c r="AE234" i="16"/>
  <c r="AE235" i="16"/>
  <c r="AE236" i="16"/>
  <c r="AE237" i="16"/>
  <c r="AE238" i="16"/>
  <c r="AE239" i="16"/>
  <c r="AE240" i="16"/>
  <c r="AE241" i="16"/>
  <c r="AE242" i="16"/>
  <c r="AE243" i="16"/>
  <c r="AE244" i="16"/>
  <c r="AE245" i="16"/>
  <c r="AE246" i="16"/>
  <c r="AE247" i="16"/>
  <c r="AE248" i="16"/>
  <c r="AE249" i="16"/>
  <c r="AE250" i="16"/>
  <c r="AE251" i="16"/>
  <c r="AE252" i="16"/>
  <c r="AE253" i="16"/>
  <c r="AE254" i="16"/>
  <c r="AE255" i="16"/>
  <c r="AE256" i="16"/>
  <c r="AE257" i="16"/>
  <c r="AE258" i="16"/>
  <c r="AE259" i="16"/>
  <c r="AE260" i="16"/>
  <c r="AE261" i="16"/>
  <c r="AE262" i="16"/>
  <c r="AE263" i="16"/>
  <c r="AE264" i="16"/>
  <c r="AE265" i="16"/>
  <c r="AE266" i="16"/>
  <c r="AE267" i="16"/>
  <c r="AE268" i="16"/>
  <c r="AE269" i="16"/>
  <c r="AE270" i="16"/>
  <c r="AE271" i="16"/>
  <c r="AE272" i="16"/>
  <c r="AE273" i="16"/>
  <c r="AE274" i="16"/>
  <c r="AE275" i="16"/>
  <c r="AE276" i="16"/>
  <c r="AE277" i="16"/>
  <c r="AE278" i="16"/>
  <c r="AE279" i="16"/>
  <c r="AE280" i="16"/>
  <c r="AE281" i="16"/>
  <c r="AE282" i="16"/>
  <c r="AE283" i="16"/>
  <c r="AE284" i="16"/>
  <c r="AE285" i="16"/>
  <c r="AE286" i="16"/>
  <c r="AE287" i="16"/>
  <c r="AE288" i="16"/>
  <c r="AE289" i="16"/>
  <c r="AE290" i="16"/>
  <c r="AE291" i="16"/>
  <c r="AE292" i="16"/>
  <c r="AE293" i="16"/>
  <c r="AE294" i="16"/>
  <c r="AE295" i="16"/>
  <c r="AE296" i="16"/>
  <c r="AE297" i="16"/>
  <c r="AE298" i="16"/>
  <c r="AE299" i="16"/>
  <c r="AE300" i="16"/>
  <c r="AE301" i="16"/>
  <c r="AE302" i="16"/>
  <c r="AE303" i="16"/>
  <c r="AE304" i="16"/>
  <c r="AE305" i="16"/>
  <c r="AE306" i="16"/>
  <c r="AE307" i="16"/>
  <c r="AE308" i="16"/>
  <c r="AE309" i="16"/>
  <c r="AE310" i="16"/>
  <c r="AE311" i="16"/>
  <c r="AE312" i="16"/>
  <c r="AE313" i="16"/>
  <c r="F11" i="8" l="1"/>
  <c r="I7" i="7" l="1" a="1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139" i="13" a="1"/>
  <c r="C144" i="13" a="1"/>
  <c r="C148" i="13" a="1"/>
  <c r="C48" i="13" a="1"/>
  <c r="C122" i="13" a="1"/>
  <c r="C140" i="13" a="1"/>
  <c r="C91" i="13" a="1"/>
  <c r="C158" i="13" a="1"/>
  <c r="C64" i="13" a="1"/>
  <c r="C109" i="13" a="1"/>
  <c r="C107" i="13" a="1"/>
  <c r="C63" i="13" a="1"/>
  <c r="C169" i="13" a="1"/>
  <c r="C59" i="13" a="1"/>
  <c r="C156" i="13" a="1"/>
  <c r="C108" i="13" a="1"/>
  <c r="C117" i="13" a="1"/>
  <c r="C75" i="13" a="1"/>
  <c r="C96" i="13" a="1"/>
  <c r="C57" i="13" a="1"/>
  <c r="C55" i="13" a="1"/>
  <c r="C149" i="13" a="1"/>
  <c r="C46" i="13" a="1"/>
  <c r="C53" i="13" a="1"/>
  <c r="C94" i="13" a="1"/>
  <c r="C77" i="13" a="1"/>
  <c r="C138" i="13" a="1"/>
  <c r="C142" i="13" a="1"/>
  <c r="C87" i="13" a="1"/>
  <c r="C66" i="13" a="1"/>
  <c r="C119" i="13" a="1"/>
  <c r="C98" i="13" a="1"/>
  <c r="C103" i="13" a="1"/>
  <c r="C153" i="13" a="1"/>
  <c r="C131" i="13" a="1"/>
  <c r="C84" i="13" a="1"/>
  <c r="C88" i="13" a="1"/>
  <c r="C159" i="13" a="1"/>
  <c r="C126" i="13" a="1"/>
  <c r="C166" i="13" a="1"/>
  <c r="C124" i="13" a="1"/>
  <c r="C78" i="13" a="1"/>
  <c r="C60" i="13" a="1"/>
  <c r="C145" i="13" a="1"/>
  <c r="C116" i="13" a="1"/>
  <c r="C67" i="13" a="1"/>
  <c r="C118" i="13" a="1"/>
  <c r="C49" i="13" a="1"/>
  <c r="C136" i="13" a="1"/>
  <c r="C83" i="13" a="1"/>
  <c r="C141" i="13" a="1"/>
  <c r="C101" i="13" a="1"/>
  <c r="C129" i="13" a="1"/>
  <c r="C147" i="13" a="1"/>
  <c r="C155" i="13" a="1"/>
  <c r="C79" i="13" a="1"/>
  <c r="C85" i="13" a="1"/>
  <c r="C110" i="13" a="1"/>
  <c r="C113" i="13" a="1"/>
  <c r="C81" i="13" a="1"/>
  <c r="C52" i="13" a="1"/>
  <c r="C133" i="13" a="1"/>
  <c r="C47" i="13" a="1"/>
  <c r="C73" i="13" a="1"/>
  <c r="C102" i="13" a="1"/>
  <c r="C68" i="13" a="1"/>
  <c r="C114" i="13" a="1"/>
  <c r="C112" i="13" a="1"/>
  <c r="C76" i="13" a="1"/>
  <c r="C89" i="13" a="1"/>
  <c r="C160" i="13" a="1"/>
  <c r="C61" i="13" a="1"/>
  <c r="C111" i="13" a="1"/>
  <c r="C150" i="13" a="1"/>
  <c r="C146" i="13" a="1"/>
  <c r="C120" i="13" a="1"/>
  <c r="C93" i="13" a="1"/>
  <c r="C161" i="13" a="1"/>
  <c r="C170" i="13" a="1"/>
  <c r="C105" i="13" a="1"/>
  <c r="C164" i="13" a="1"/>
  <c r="C162" i="13" a="1"/>
  <c r="C100" i="13" a="1"/>
  <c r="C56" i="13" a="1"/>
  <c r="C115" i="13" a="1"/>
  <c r="C123" i="13" a="1"/>
  <c r="C167" i="13" a="1"/>
  <c r="C58" i="13" a="1"/>
  <c r="C128" i="13" a="1"/>
  <c r="C82" i="13" a="1"/>
  <c r="C69" i="13" a="1"/>
  <c r="C80" i="13" a="1"/>
  <c r="C165" i="13" a="1"/>
  <c r="C92" i="13" a="1"/>
  <c r="C151" i="13" a="1"/>
  <c r="C168" i="13" a="1"/>
  <c r="C62" i="13" a="1"/>
  <c r="C157" i="13" a="1"/>
  <c r="C125" i="13" a="1"/>
  <c r="C134" i="13" a="1"/>
  <c r="C135" i="13" a="1"/>
  <c r="C104" i="13" a="1"/>
  <c r="C71" i="13" a="1"/>
  <c r="C74" i="13" a="1"/>
  <c r="C132" i="13" a="1"/>
  <c r="C65" i="13" a="1"/>
  <c r="C70" i="13" a="1"/>
  <c r="C90" i="13" a="1"/>
  <c r="C99" i="13" a="1"/>
  <c r="C50" i="13" a="1"/>
  <c r="C86" i="13" a="1"/>
  <c r="C106" i="13" a="1"/>
  <c r="C97" i="13" a="1"/>
  <c r="C137" i="13" a="1"/>
  <c r="C154" i="13" a="1"/>
  <c r="C143" i="13" a="1"/>
  <c r="C72" i="13" a="1"/>
  <c r="C127" i="13" a="1"/>
  <c r="C54" i="13" a="1"/>
  <c r="C152" i="13" a="1"/>
  <c r="C51" i="13" a="1"/>
  <c r="C121" i="13" a="1"/>
  <c r="C130" i="13" a="1"/>
  <c r="C95" i="13" a="1"/>
  <c r="C163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2" i="2" a="1"/>
  <c r="P22" i="2" a="1"/>
  <c r="M26" i="2" a="1"/>
  <c r="G7" i="2" a="1"/>
  <c r="J7" i="2" a="1"/>
  <c r="G9" i="2" a="1"/>
  <c r="M25" i="2" a="1"/>
  <c r="M24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</authors>
  <commentList>
    <comment ref="B18" authorId="0" shapeId="0" xr:uid="{307A4BD7-0803-4E9B-9255-8C9698C4F491}">
      <text>
        <r>
          <rPr>
            <b/>
            <sz val="9"/>
            <color indexed="81"/>
            <rFont val="Tahoma"/>
            <family val="2"/>
          </rPr>
          <t>Store all the curves for the delta GIRR part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  <author>AMASCIA</author>
    <author>E&amp;P</author>
    <author>akhedher070405</author>
    <author>Francois Jordan</author>
    <author>TLAUNAY</author>
    <author>SG - Emmanuel</author>
  </authors>
  <commentList>
    <comment ref="K5" authorId="0" shapeId="0" xr:uid="{E48144EF-8C52-4598-B0E8-0E867EEEB538}">
      <text>
        <r>
          <rPr>
            <b/>
            <sz val="9"/>
            <color indexed="81"/>
            <rFont val="Tahoma"/>
            <family val="2"/>
          </rPr>
          <t>Compute all sensitivities according to the "jump to default". Computation time can be important</t>
        </r>
      </text>
    </comment>
    <comment ref="K6" authorId="0" shapeId="0" xr:uid="{BAF87253-3A3E-4E24-BF47-2360CECD6315}">
      <text>
        <r>
          <rPr>
            <b/>
            <sz val="9"/>
            <color indexed="81"/>
            <rFont val="Tahoma"/>
            <family val="2"/>
          </rPr>
          <t>Compute the tranche enabling the stochastic recovery rather than a deterministic one. Computation time can be important. Be careful if you're computing FRTB sensitivities</t>
        </r>
      </text>
    </comment>
    <comment ref="I8" authorId="1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2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1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H12" authorId="0" shapeId="0" xr:uid="{C42A125E-C83C-49D4-9433-D569D8C4DF5E}">
      <text>
        <r>
          <rPr>
            <b/>
            <sz val="9"/>
            <color indexed="81"/>
            <rFont val="Tahoma"/>
            <family val="2"/>
          </rPr>
          <t>Change of the NPV when the spread (not the curve) is shocked by 1 bp , in bp</t>
        </r>
      </text>
    </comment>
    <comment ref="I14" authorId="1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1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1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1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3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4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4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5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5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1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6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2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1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2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2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f.jordan-stagiaire</author>
    <author>Francois Jordan</author>
  </authors>
  <commentList>
    <comment ref="V9" authorId="0" shapeId="0" xr:uid="{2FF1D58D-CDD6-4C01-A78E-BC3098F3AEAE}">
      <text>
        <r>
          <rPr>
            <b/>
            <sz val="9"/>
            <color indexed="81"/>
            <rFont val="Tahoma"/>
            <family val="2"/>
          </rPr>
          <t>DRC on the tranche without any hedge</t>
        </r>
      </text>
    </comment>
    <comment ref="Z9" authorId="0" shapeId="0" xr:uid="{E61B73B1-ABB4-423C-B971-6300DEB10E70}">
      <text>
        <r>
          <rPr>
            <b/>
            <sz val="9"/>
            <color indexed="81"/>
            <rFont val="Tahoma"/>
            <family val="2"/>
          </rPr>
          <t>DRC of the tranche delta hedged</t>
        </r>
      </text>
    </comment>
    <comment ref="V10" authorId="1" shapeId="0" xr:uid="{C1B94F4B-9B32-406A-9AB4-7102A95B7AB2}">
      <text>
        <r>
          <rPr>
            <b/>
            <sz val="9"/>
            <color indexed="81"/>
            <rFont val="Tahoma"/>
            <family val="2"/>
          </rPr>
          <t>See more details at 22.45</t>
        </r>
      </text>
    </comment>
    <comment ref="AR10" authorId="0" shapeId="0" xr:uid="{ACBDE395-4F12-45A9-B785-3BC29A644C6A}">
      <text>
        <r>
          <rPr>
            <b/>
            <sz val="9"/>
            <color indexed="81"/>
            <rFont val="Tahoma"/>
            <family val="2"/>
          </rPr>
          <t xml:space="preserve">Risk Class of the product you want to compute the curvature. Either SEC CTP, NON SEC </t>
        </r>
      </text>
    </comment>
    <comment ref="V11" authorId="1" shapeId="0" xr:uid="{31251269-29F9-4C95-ADD1-B5FE52E99A48}">
      <text>
        <r>
          <rPr>
            <b/>
            <sz val="9"/>
            <color indexed="81"/>
            <rFont val="Tahoma"/>
            <family val="2"/>
          </rPr>
          <t>See more details at 22.44</t>
        </r>
      </text>
    </comment>
    <comment ref="AR11" authorId="0" shapeId="0" xr:uid="{5FDB5E3E-19B1-438C-BE81-B00E7E9B5803}">
      <text>
        <r>
          <rPr>
            <b/>
            <sz val="9"/>
            <color indexed="81"/>
            <rFont val="Tahoma"/>
            <family val="2"/>
          </rPr>
          <t>Because curvature need a DownWard shock, the credit spread could be negative. Hence a floor is permitted</t>
        </r>
      </text>
    </comment>
    <comment ref="V12" authorId="1" shapeId="0" xr:uid="{4372E3FA-FD87-4365-8669-7812A5E7F7C5}">
      <text>
        <r>
          <rPr>
            <b/>
            <sz val="9"/>
            <color indexed="81"/>
            <rFont val="Tahoma"/>
            <family val="2"/>
          </rPr>
          <t>For details of the calculation, see 22.23</t>
        </r>
      </text>
    </comment>
    <comment ref="V13" authorId="0" shapeId="0" xr:uid="{7039949A-AF64-4E7C-8CC8-C97D9473197F}">
      <text>
        <r>
          <rPr>
            <b/>
            <sz val="9"/>
            <color indexed="81"/>
            <rFont val="Tahoma"/>
            <family val="2"/>
          </rPr>
          <t>JTD is only the MTM, see 22.27 for more details</t>
        </r>
      </text>
    </comment>
    <comment ref="BJ13" authorId="0" shapeId="0" xr:uid="{02B2F1D8-1261-43C5-B161-3B5E2CC89C1C}">
      <text>
        <r>
          <rPr>
            <b/>
            <sz val="9"/>
            <color indexed="81"/>
            <rFont val="Tahoma"/>
            <family val="2"/>
          </rPr>
          <t>Delta is computed if conditions are respected (see 21.4)</t>
        </r>
      </text>
    </comment>
    <comment ref="B24" authorId="0" shapeId="0" xr:uid="{AEE6D2F6-A1AB-4337-9291-D0D0865C9A20}">
      <text>
        <r>
          <rPr>
            <b/>
            <sz val="9"/>
            <color indexed="81"/>
            <rFont val="Tahoma"/>
            <family val="2"/>
          </rPr>
          <t>See 21,54 , name and curves are not differentiated</t>
        </r>
      </text>
    </comment>
    <comment ref="E24" authorId="0" shapeId="0" xr:uid="{7282FD5B-7212-4632-99C8-B894CFEB2C25}">
      <text>
        <r>
          <rPr>
            <b/>
            <sz val="9"/>
            <color indexed="81"/>
            <rFont val="Tahoma"/>
            <family val="2"/>
          </rPr>
          <t>S&amp;P or Fitch rating format only. D if Default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<sst xmlns="http://schemas.openxmlformats.org/spreadsheetml/2006/main" count="4168" uniqueCount="710">
  <si>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</si>
  <si>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</si>
  <si>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</si>
  <si>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</si>
  <si>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</si>
  <si>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</si>
  <si>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</si>
  <si>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</si>
  <si>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</si>
  <si>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</si>
  <si>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</si>
  <si>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</si>
  <si>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</si>
  <si>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</si>
  <si>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</si>
  <si>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</si>
  <si>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</si>
  <si>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</si>
  <si>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</si>
  <si>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</si>
  <si>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</si>
  <si>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</si>
  <si>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</si>
  <si>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</si>
  <si>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</si>
  <si>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</si>
  <si>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</si>
  <si>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</si>
  <si>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</si>
  <si>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</si>
  <si>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</si>
  <si>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</si>
  <si>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</si>
  <si>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</si>
  <si>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</si>
  <si>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</si>
  <si>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</si>
  <si>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</si>
  <si>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</si>
  <si>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</si>
  <si>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</si>
  <si>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</si>
  <si>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</si>
  <si>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</si>
  <si>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</si>
  <si>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</si>
  <si>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</si>
  <si>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</si>
  <si>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</si>
  <si>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</si>
  <si>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</si>
  <si>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</si>
  <si>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</si>
  <si>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</si>
  <si>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</si>
  <si>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</si>
  <si>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</si>
  <si>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</si>
  <si>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</si>
  <si>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</si>
  <si>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</si>
  <si>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</si>
  <si>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</si>
  <si>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</si>
  <si>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</si>
  <si>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</si>
  <si>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</si>
  <si>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</si>
  <si>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</si>
  <si>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</si>
  <si>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</si>
  <si>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</si>
  <si>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</si>
  <si>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</si>
  <si>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</si>
  <si>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</si>
  <si>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</si>
  <si>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</si>
  <si>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</si>
  <si>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</si>
  <si>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</si>
  <si>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</si>
  <si>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</si>
  <si>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</si>
  <si>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</si>
  <si>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</si>
  <si>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</si>
  <si>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</si>
  <si>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</si>
  <si>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</si>
  <si>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</si>
  <si>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</si>
  <si>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</si>
  <si>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</si>
  <si>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</si>
  <si>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</si>
  <si>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</si>
  <si>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</si>
  <si>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</si>
  <si>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</si>
  <si>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</si>
  <si>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</si>
  <si>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</si>
  <si>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</si>
  <si>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</si>
  <si>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</si>
  <si>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</si>
  <si>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</si>
  <si>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</si>
  <si>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</si>
  <si>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</si>
  <si>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</si>
  <si>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</si>
  <si>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</si>
  <si>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</si>
  <si>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</si>
  <si>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</si>
  <si>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</si>
  <si>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</si>
  <si>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</si>
  <si>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</si>
  <si>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</si>
  <si>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</si>
  <si>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</si>
  <si>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</si>
  <si>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</si>
  <si>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</si>
  <si>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</si>
  <si>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</si>
  <si>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</si>
  <si>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</si>
  <si>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</si>
  <si>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</si>
  <si>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</si>
  <si>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</si>
  <si>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</si>
  <si>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</si>
  <si>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</si>
  <si>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</si>
  <si>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</si>
  <si>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</si>
  <si>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</si>
  <si>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</si>
  <si>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</si>
  <si>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</si>
  <si>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</si>
  <si>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</si>
  <si>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</si>
  <si>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</si>
  <si>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</si>
  <si>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</si>
  <si>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</si>
  <si>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</si>
  <si>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</si>
  <si>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</si>
  <si>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</si>
  <si>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</si>
  <si>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</si>
  <si>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</si>
  <si>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</si>
  <si>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</si>
  <si>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</si>
  <si>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</si>
  <si>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</si>
  <si>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</si>
  <si>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</si>
  <si>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</si>
  <si>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</si>
  <si>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</si>
  <si>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</si>
  <si>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</si>
  <si>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</si>
  <si>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</si>
  <si>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</si>
  <si>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</si>
  <si>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</si>
  <si>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</si>
  <si>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</si>
  <si>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</si>
  <si>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</si>
  <si>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</si>
  <si>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</si>
  <si>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</si>
  <si>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</si>
  <si>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</si>
  <si>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</si>
  <si>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</si>
  <si>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</si>
  <si>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</si>
  <si>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</si>
  <si>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</si>
  <si>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</si>
  <si>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</si>
  <si>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</si>
  <si>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</si>
  <si>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</si>
  <si>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</si>
  <si>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</si>
  <si>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</si>
  <si>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</si>
  <si>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</si>
  <si>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</si>
  <si>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</si>
  <si>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</si>
  <si>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</si>
  <si>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</si>
  <si>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</si>
  <si>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</si>
  <si>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</si>
  <si>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</si>
  <si>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</si>
  <si>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</si>
  <si>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</si>
  <si>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</si>
  <si>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</si>
  <si>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</si>
  <si>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</si>
  <si>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</si>
  <si>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</si>
  <si>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</si>
  <si>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</si>
  <si>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</si>
  <si>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</si>
  <si>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</si>
  <si>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</si>
  <si>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</si>
  <si>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</si>
  <si>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</si>
  <si>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</si>
  <si>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</si>
  <si>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</si>
  <si>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</si>
  <si>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</si>
  <si>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</si>
  <si>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</si>
  <si>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</si>
  <si>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</si>
  <si>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</si>
  <si>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</si>
  <si>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</si>
  <si>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</si>
  <si>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</si>
  <si>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</si>
  <si>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</si>
  <si>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</si>
  <si>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</si>
  <si>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</si>
  <si>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</si>
  <si>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</si>
  <si>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</si>
  <si>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</si>
  <si>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</si>
  <si>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</si>
  <si>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</si>
  <si>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</si>
  <si>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</si>
  <si>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</si>
  <si>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</si>
  <si>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</si>
  <si>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</si>
  <si>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</si>
  <si>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</si>
  <si>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</si>
  <si>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</si>
  <si>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</si>
  <si>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</si>
  <si>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</si>
  <si>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</si>
  <si>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</si>
  <si>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</si>
  <si>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</si>
  <si>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</si>
  <si>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</si>
  <si>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</si>
  <si>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</si>
  <si>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</si>
  <si>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</si>
  <si>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</si>
  <si>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</si>
  <si>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</si>
  <si>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</si>
  <si>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</si>
  <si>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</si>
  <si>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</si>
  <si>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</si>
  <si>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</si>
  <si>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</si>
  <si>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</si>
  <si>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</si>
  <si>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</si>
  <si>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</si>
  <si>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</si>
  <si>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</si>
  <si>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</si>
  <si>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</si>
  <si>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</si>
  <si>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</si>
  <si>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</si>
  <si>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</si>
  <si>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</si>
  <si>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</si>
  <si>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</si>
  <si>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</si>
  <si>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</si>
  <si>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</si>
  <si>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</si>
  <si>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</si>
  <si>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</si>
  <si>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</si>
  <si>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</si>
  <si>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</si>
  <si>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</si>
  <si>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</si>
  <si>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</si>
  <si>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</si>
  <si>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</si>
  <si>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</si>
  <si>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</si>
  <si>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</si>
  <si>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</si>
  <si>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</si>
  <si>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</si>
  <si>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</si>
  <si>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</si>
  <si>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</si>
  <si>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</si>
  <si>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</si>
  <si>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</si>
  <si>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</si>
  <si>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</si>
  <si>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</si>
  <si>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</si>
  <si>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</si>
  <si>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</si>
  <si>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</si>
  <si>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</si>
  <si>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</si>
  <si>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</si>
  <si>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</si>
  <si>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</si>
  <si>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</si>
  <si>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</si>
  <si>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</si>
  <si>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</si>
  <si>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</si>
  <si>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</si>
  <si>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</si>
  <si>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</si>
  <si>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</si>
  <si>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</si>
  <si>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</si>
  <si>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</si>
  <si>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</si>
  <si>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</si>
  <si>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</si>
  <si>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</si>
  <si>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</si>
  <si>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</si>
  <si>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</si>
  <si>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</si>
  <si>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</si>
  <si>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</si>
  <si>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</si>
  <si>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</si>
  <si>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</si>
  <si>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</si>
  <si>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</si>
  <si>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</si>
  <si>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</si>
  <si>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</si>
  <si>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</si>
  <si>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</si>
  <si>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</si>
  <si>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</si>
  <si>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</si>
  <si>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</si>
  <si>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</si>
  <si>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</si>
  <si>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</si>
  <si>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</si>
  <si>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</si>
  <si>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</si>
  <si>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</si>
  <si>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</si>
  <si>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</si>
  <si>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</si>
  <si>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</si>
  <si>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</si>
  <si>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</si>
  <si>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</si>
  <si>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</si>
  <si>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</si>
  <si>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</si>
  <si>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</si>
  <si>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</si>
  <si>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</si>
  <si>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</si>
  <si>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</si>
  <si>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</si>
  <si>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</si>
  <si>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</si>
  <si>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</si>
  <si>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</si>
  <si>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</si>
  <si>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</si>
  <si>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</si>
  <si>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</si>
  <si>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</si>
  <si>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</si>
  <si>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</si>
  <si>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</si>
  <si>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</si>
  <si>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</si>
  <si>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</si>
  <si>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</si>
  <si>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</si>
  <si>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</si>
  <si>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</si>
  <si>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</si>
  <si>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</si>
  <si>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</si>
  <si>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</si>
  <si>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</si>
  <si>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</si>
  <si>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</si>
  <si>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</si>
  <si>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</si>
  <si>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</si>
  <si>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</si>
  <si>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</si>
  <si>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</si>
  <si>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</si>
  <si>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</si>
  <si>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</si>
  <si>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</si>
  <si>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</si>
  <si>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</si>
  <si>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</si>
  <si>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</si>
  <si>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</si>
  <si>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</si>
  <si>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</si>
  <si>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</si>
  <si>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</si>
  <si>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</si>
  <si>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</si>
  <si>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</si>
  <si>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</si>
  <si>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</si>
  <si>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</si>
  <si>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</si>
  <si>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</si>
  <si>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</si>
  <si>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</si>
  <si>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</si>
  <si>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</si>
  <si>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</si>
  <si>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</si>
  <si>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</si>
  <si>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</si>
  <si>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</si>
  <si>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</si>
  <si>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</si>
  <si>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</si>
  <si>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</si>
  <si>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</si>
  <si>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</si>
  <si>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</si>
  <si>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</si>
  <si>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</si>
  <si>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</si>
  <si>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</si>
  <si>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</si>
  <si>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</si>
  <si>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</si>
  <si>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</si>
  <si>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</si>
  <si>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</si>
  <si>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</si>
  <si>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</si>
  <si>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</si>
  <si>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</si>
  <si>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</si>
  <si>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</si>
  <si>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</si>
  <si>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</si>
  <si>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</si>
  <si>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</si>
  <si>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</si>
  <si>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</si>
  <si>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</si>
  <si>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</si>
  <si>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</si>
  <si>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</si>
  <si>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</si>
  <si>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</si>
  <si>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</si>
  <si>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</si>
  <si>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</si>
  <si>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</si>
  <si>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</si>
  <si>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</si>
  <si>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</si>
  <si>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</si>
  <si>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</si>
  <si>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</si>
  <si>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</si>
  <si>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</si>
  <si>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</si>
  <si>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</si>
  <si>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Airbus SE</t>
  </si>
  <si>
    <t>Aktiebolaget Volvo</t>
  </si>
  <si>
    <t>Anglo American plc</t>
  </si>
  <si>
    <t>ArcelorMittal</t>
  </si>
  <si>
    <t>ASTRAZENECA PLC</t>
  </si>
  <si>
    <t>BAE SYSTEMS PLC</t>
  </si>
  <si>
    <t>BOUYGUES</t>
  </si>
  <si>
    <t>COMPAGNIE DE SAINT-GOBAIN</t>
  </si>
  <si>
    <t>Continental Aktiengesellschaft</t>
  </si>
  <si>
    <t>GSK PLC</t>
  </si>
  <si>
    <t>L'AIR LIQUIDE SOCIETE ANONYME POUR L'ETUDE ET L'EXPLOITATION DES PROCEDES GEORGES CLAUDE</t>
  </si>
  <si>
    <t>Mercedes-Benz Group AG</t>
  </si>
  <si>
    <t>RENTOKIL INITIAL PLC</t>
  </si>
  <si>
    <t>SANOFI</t>
  </si>
  <si>
    <t>Siemens Aktiengesellschaft</t>
  </si>
  <si>
    <t>Stora Enso Oyj</t>
  </si>
  <si>
    <t>UNIBAIL-RODAMCO-WESTFIELD SE</t>
  </si>
  <si>
    <t>VINCI</t>
  </si>
  <si>
    <t>WENDEL</t>
  </si>
  <si>
    <t>Akzo Nobel N.V.</t>
  </si>
  <si>
    <t>BASF SE</t>
  </si>
  <si>
    <t>Bayer Aktiengesellschaft</t>
  </si>
  <si>
    <t>Bayerische Motoren Werke Aktiengesellschaft</t>
  </si>
  <si>
    <t>Glencore International AG</t>
  </si>
  <si>
    <t>Heidelberg Materials AG</t>
  </si>
  <si>
    <t>Holcim AG</t>
  </si>
  <si>
    <t>LEONARDO SOCIETA' PER AZIONI</t>
  </si>
  <si>
    <t>PostNL N.V.</t>
  </si>
  <si>
    <t>SMURFIT KAPPA ACQUISITIONS UNLIMITED COMPANY</t>
  </si>
  <si>
    <t>Solvay</t>
  </si>
  <si>
    <t>Stellantis N.V.</t>
  </si>
  <si>
    <t>VOLKSWAGEN AKTIENGESELLSCHAFT</t>
  </si>
  <si>
    <t>Aktiebolaget Electrolux</t>
  </si>
  <si>
    <t>Anheuser-Busch InBev</t>
  </si>
  <si>
    <t>BRITISH AMERICAN TOBACCO p.l.c.</t>
  </si>
  <si>
    <t>Carrefour</t>
  </si>
  <si>
    <t>COMPASS GROUP PLC</t>
  </si>
  <si>
    <t>DIAGEO PLC</t>
  </si>
  <si>
    <t>Henkel AG &amp; Co. KGaA</t>
  </si>
  <si>
    <t>Kering</t>
  </si>
  <si>
    <t>Koninklijke Ahold Delhaize N.V.</t>
  </si>
  <si>
    <t>Koninklijke Philips N.V.</t>
  </si>
  <si>
    <t>Louis Dreyfus Company B.V.</t>
  </si>
  <si>
    <t>LVMH MOET HENNESSY LOUIS VUITTON</t>
  </si>
  <si>
    <t>Nestle S.A.</t>
  </si>
  <si>
    <t>NEXT PLC</t>
  </si>
  <si>
    <t>PERNOD RICARD</t>
  </si>
  <si>
    <t>Suedzucker AG</t>
  </si>
  <si>
    <t>TESCO PLC</t>
  </si>
  <si>
    <t>UNILEVER PLC</t>
  </si>
  <si>
    <t>CARLSBERG BREWERIES A/S</t>
  </si>
  <si>
    <t>DANONE</t>
  </si>
  <si>
    <t>Heineken N.V.</t>
  </si>
  <si>
    <t>IMPERIAL BRANDS PLC</t>
  </si>
  <si>
    <t>SODEXO</t>
  </si>
  <si>
    <t>BP P.L.C.</t>
  </si>
  <si>
    <t>Centrica plc</t>
  </si>
  <si>
    <t>Electricite de France</t>
  </si>
  <si>
    <t>ENGIE</t>
  </si>
  <si>
    <t>ENI S.P.A.</t>
  </si>
  <si>
    <t>Fortum Oyj</t>
  </si>
  <si>
    <t>Iberdrola, S.A.</t>
  </si>
  <si>
    <t>NATIONAL GRID PLC</t>
  </si>
  <si>
    <t>NATURGY ENERGY GROUP, S.A.</t>
  </si>
  <si>
    <t>REPSOL, S.A.</t>
  </si>
  <si>
    <t>VEOLIA ENVIRONNEMENT</t>
  </si>
  <si>
    <t>E.ON SE</t>
  </si>
  <si>
    <t>ENEL S.P.A.</t>
  </si>
  <si>
    <t>EQUINOR ASA</t>
  </si>
  <si>
    <t>SHELL PLC</t>
  </si>
  <si>
    <t>TotalEnergies SE</t>
  </si>
  <si>
    <t>Bertelsmann SE &amp; Co. KGaA</t>
  </si>
  <si>
    <t>BRITISH TELECOMMUNICATIONS public limited company</t>
  </si>
  <si>
    <t>Deutsche Telekom AG</t>
  </si>
  <si>
    <t>ITV PLC</t>
  </si>
  <si>
    <t>Orange</t>
  </si>
  <si>
    <t>PEARSON plc</t>
  </si>
  <si>
    <t>SES</t>
  </si>
  <si>
    <t>STMicroelectronics N.V.</t>
  </si>
  <si>
    <t>Telekom Austria Aktiengesellschaft</t>
  </si>
  <si>
    <t>Telia Company AB</t>
  </si>
  <si>
    <t>Vivendi SE</t>
  </si>
  <si>
    <t>VODAFONE GROUP PUBLIC LIMITED COMPANY</t>
  </si>
  <si>
    <t>WPP 2005 LIMITED</t>
  </si>
  <si>
    <t>Koninklijke KPN N.V.</t>
  </si>
  <si>
    <t>PUBLICIS GROUPE SA</t>
  </si>
  <si>
    <t>TELEFONICA, S.A.</t>
  </si>
  <si>
    <t>TELENOR ASA</t>
  </si>
  <si>
    <t>Gross JTD Long</t>
  </si>
  <si>
    <t>Gross JTD short</t>
  </si>
  <si>
    <t>HBR</t>
  </si>
  <si>
    <t>Delta Hedge</t>
  </si>
  <si>
    <t>DRCb</t>
  </si>
  <si>
    <t>DRC CTP</t>
  </si>
  <si>
    <t>Net JTD Long</t>
  </si>
  <si>
    <t>Net JTD short</t>
  </si>
  <si>
    <t>Offsetable ?</t>
  </si>
  <si>
    <t>30Y</t>
  </si>
  <si>
    <t>1y</t>
  </si>
  <si>
    <t>ALSTOM</t>
  </si>
  <si>
    <t>CNH Industrial N.V</t>
  </si>
  <si>
    <t>DSM B.V</t>
  </si>
  <si>
    <t>LANXESS Aktiengesellschaft</t>
  </si>
  <si>
    <t>ELO</t>
  </si>
  <si>
    <t>EDP - ENERGIAS DE PORTUGAL S.A.</t>
  </si>
  <si>
    <t>SKY LIMITED</t>
  </si>
  <si>
    <t>Itraxx spread initiaux</t>
  </si>
  <si>
    <t>moyenne p 3Y</t>
  </si>
  <si>
    <t>moyenne p 5Y</t>
  </si>
  <si>
    <t>moyenne p 7Y</t>
  </si>
  <si>
    <t>Itraxx spread 6-12%</t>
  </si>
  <si>
    <t>Facteur 3y</t>
  </si>
  <si>
    <t>Facteur 7Y</t>
  </si>
  <si>
    <t>Facteur 5y</t>
  </si>
  <si>
    <t>Itraxx spread Super Senior</t>
  </si>
  <si>
    <t>iTraxx Europe Serie 40</t>
  </si>
  <si>
    <t>Valuation Date</t>
  </si>
  <si>
    <t>Quoted Tranche</t>
  </si>
  <si>
    <t>Tranche Name (Par Spread + 100 bps coupon)</t>
  </si>
  <si>
    <t>Attachment Point</t>
  </si>
  <si>
    <t>Detachment Point</t>
  </si>
  <si>
    <t>Tranche Quote Convention</t>
  </si>
  <si>
    <t>Tranche Coupon</t>
  </si>
  <si>
    <t>Price</t>
  </si>
  <si>
    <t>Index End Date</t>
  </si>
  <si>
    <t>Super Senior</t>
  </si>
  <si>
    <t>6-12%</t>
  </si>
  <si>
    <t>3-6%</t>
  </si>
  <si>
    <t>Up Front%</t>
  </si>
  <si>
    <t>Equity</t>
  </si>
  <si>
    <t xml:space="preserve">Single Name </t>
  </si>
  <si>
    <t>Rating</t>
  </si>
  <si>
    <t>Sector</t>
  </si>
  <si>
    <t>Running Spread</t>
  </si>
  <si>
    <t>Par Spread</t>
  </si>
  <si>
    <t>A</t>
  </si>
  <si>
    <t>Industrials</t>
  </si>
  <si>
    <t>BBB</t>
  </si>
  <si>
    <t>AAA</t>
  </si>
  <si>
    <t>AA</t>
  </si>
  <si>
    <t>Energy</t>
  </si>
  <si>
    <t>Utilities</t>
  </si>
  <si>
    <t>Technology</t>
  </si>
  <si>
    <t>Number</t>
  </si>
  <si>
    <t>Curves</t>
  </si>
  <si>
    <t>Curve Name</t>
  </si>
  <si>
    <t>Type of curve</t>
  </si>
  <si>
    <t>IBOR</t>
  </si>
  <si>
    <t>OIS</t>
  </si>
  <si>
    <t>1-month Term SOFR Swaps</t>
  </si>
  <si>
    <t>6-month EURIBOR Swaps</t>
  </si>
  <si>
    <t>3-month EURIBOR Swaps</t>
  </si>
  <si>
    <t>Itraxx spread 0-3%</t>
  </si>
  <si>
    <t>Facteur 7y</t>
  </si>
  <si>
    <t>Risk Weights</t>
  </si>
  <si>
    <t>Delta Girr</t>
  </si>
  <si>
    <t>Store Curve</t>
  </si>
  <si>
    <t>5y</t>
  </si>
  <si>
    <t>Consumer goods and services</t>
  </si>
  <si>
    <t>Health care</t>
  </si>
  <si>
    <t>Basic materials</t>
  </si>
  <si>
    <t>Financials including government-backed financials</t>
  </si>
  <si>
    <t>Telecommunications</t>
  </si>
  <si>
    <t>List of Sectors</t>
  </si>
  <si>
    <t>Sovereigns including central banks</t>
  </si>
  <si>
    <t>Multilateral development banks</t>
  </si>
  <si>
    <t>Local government</t>
  </si>
  <si>
    <t>Government-backed non-financials</t>
  </si>
  <si>
    <t>Education</t>
  </si>
  <si>
    <t>Public administration</t>
  </si>
  <si>
    <t>Agriculture</t>
  </si>
  <si>
    <t>Manufacturing</t>
  </si>
  <si>
    <t>Mining and quarrying</t>
  </si>
  <si>
    <t>Administrative and support service activities</t>
  </si>
  <si>
    <t>Transportation and storage</t>
  </si>
  <si>
    <t>Professional and technical activities</t>
  </si>
  <si>
    <t>Covered bonds</t>
  </si>
  <si>
    <t>Associated value</t>
  </si>
  <si>
    <t>Other sector</t>
  </si>
  <si>
    <t>Value</t>
  </si>
  <si>
    <t>Delta CSR CDO</t>
  </si>
  <si>
    <t>Delta Risk</t>
  </si>
  <si>
    <t>Delta CSR CDS</t>
  </si>
  <si>
    <t>Delta CSR CDO Proxy</t>
  </si>
  <si>
    <t>DownWard</t>
  </si>
  <si>
    <t>UpWard</t>
  </si>
  <si>
    <t>Curvature</t>
  </si>
  <si>
    <t>Curvature CSR CDO</t>
  </si>
  <si>
    <t>Curvature CSR CDS</t>
  </si>
  <si>
    <t>Floor</t>
  </si>
  <si>
    <t>Risk Class</t>
  </si>
  <si>
    <t>SecCtp</t>
  </si>
  <si>
    <t>NonSec</t>
  </si>
  <si>
    <t>Medium</t>
  </si>
  <si>
    <t>Risk Weights CDO</t>
  </si>
  <si>
    <t>Low</t>
  </si>
  <si>
    <t>High</t>
  </si>
  <si>
    <t>Scenario</t>
  </si>
  <si>
    <t>No Hedge</t>
  </si>
  <si>
    <t>Final Charge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</si>
</sst>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0%"/>
    <numFmt numFmtId="171" formatCode="0.0000000000%"/>
    <numFmt numFmtId="172" formatCode="[$-409]dd\-mmm\-yy;@"/>
    <numFmt numFmtId="173" formatCode="yyyy\-mm\-dd;@"/>
    <numFmt numFmtId="174" formatCode="0.0000000000000000"/>
    <numFmt numFmtId="175" formatCode="0.0%"/>
    <numFmt numFmtId="176" formatCode="[$-F400]h:mm:ss\ AM/PM"/>
    <numFmt numFmtId="177" formatCode="0.0000"/>
    <numFmt numFmtId="178" formatCode="0.00000"/>
    <numFmt numFmtId="179" formatCode="0.000000000000000"/>
    <numFmt numFmtId="180" formatCode="0.000000"/>
    <numFmt numFmtId="181" formatCode="[$-F800]dddd\,\ mmmm\ dd\,\ yyyy"/>
    <numFmt numFmtId="182" formatCode="0.00000000000"/>
    <numFmt numFmtId="183" formatCode="0.00000%"/>
    <numFmt numFmtId="184" formatCode="0.00000000%"/>
    <numFmt numFmtId="185" formatCode="0.000000000"/>
  </numFmts>
  <fonts count="4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9"/>
      <color indexed="81"/>
      <name val="Tahoma"/>
      <family val="2"/>
    </font>
    <font>
      <sz val="8"/>
      <color rgb="FF0000FF"/>
      <name val="Arial"/>
      <family val="2"/>
    </font>
    <font>
      <sz val="8"/>
      <color rgb="FF008000"/>
      <name val="Arial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E6640A"/>
        <bgColor indexed="64"/>
      </patternFill>
    </fill>
    <fill>
      <patternFill patternType="solid">
        <fgColor rgb="FFE66E0A"/>
        <bgColor indexed="64"/>
      </patternFill>
    </fill>
    <fill>
      <patternFill patternType="solid">
        <fgColor theme="1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1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690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8" fillId="2" borderId="12" xfId="0" applyNumberFormat="1" applyFont="1" applyFill="1" applyBorder="1"/>
    <xf numFmtId="0" fontId="21" fillId="0" borderId="15" xfId="0" applyFont="1" applyBorder="1" applyAlignment="1">
      <alignment horizontal="center"/>
    </xf>
    <xf numFmtId="0" fontId="21" fillId="0" borderId="16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2" fillId="0" borderId="7" xfId="0" applyFont="1" applyBorder="1" applyAlignment="1">
      <alignment horizontal="center"/>
    </xf>
    <xf numFmtId="0" fontId="22" fillId="0" borderId="23" xfId="0" applyFont="1" applyBorder="1"/>
    <xf numFmtId="0" fontId="22" fillId="0" borderId="8" xfId="0" applyFont="1" applyBorder="1" applyAlignment="1">
      <alignment horizontal="center"/>
    </xf>
    <xf numFmtId="10" fontId="22" fillId="0" borderId="24" xfId="3" applyNumberFormat="1" applyFont="1" applyBorder="1" applyAlignment="1">
      <alignment horizontal="center"/>
    </xf>
    <xf numFmtId="10" fontId="22" fillId="0" borderId="25" xfId="3" applyNumberFormat="1" applyFont="1" applyBorder="1" applyAlignment="1">
      <alignment horizontal="center"/>
    </xf>
    <xf numFmtId="10" fontId="22" fillId="0" borderId="8" xfId="3" applyNumberFormat="1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0" xfId="0" applyFont="1"/>
    <xf numFmtId="0" fontId="22" fillId="0" borderId="2" xfId="0" applyFont="1" applyBorder="1" applyAlignment="1">
      <alignment horizontal="center"/>
    </xf>
    <xf numFmtId="10" fontId="22" fillId="0" borderId="26" xfId="3" applyNumberFormat="1" applyFont="1" applyBorder="1" applyAlignment="1">
      <alignment horizontal="center"/>
    </xf>
    <xf numFmtId="10" fontId="22" fillId="0" borderId="27" xfId="3" applyNumberFormat="1" applyFont="1" applyBorder="1" applyAlignment="1">
      <alignment horizontal="center"/>
    </xf>
    <xf numFmtId="10" fontId="22" fillId="0" borderId="2" xfId="3" applyNumberFormat="1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22" fillId="0" borderId="28" xfId="0" applyFont="1" applyBorder="1"/>
    <xf numFmtId="0" fontId="22" fillId="0" borderId="4" xfId="0" applyFont="1" applyBorder="1" applyAlignment="1">
      <alignment horizontal="center"/>
    </xf>
    <xf numFmtId="10" fontId="22" fillId="0" borderId="18" xfId="3" applyNumberFormat="1" applyFont="1" applyBorder="1" applyAlignment="1">
      <alignment horizontal="center"/>
    </xf>
    <xf numFmtId="10" fontId="22" fillId="0" borderId="19" xfId="3" applyNumberFormat="1" applyFont="1" applyBorder="1" applyAlignment="1">
      <alignment horizontal="center"/>
    </xf>
    <xf numFmtId="10" fontId="22" fillId="0" borderId="4" xfId="3" applyNumberFormat="1" applyFont="1" applyBorder="1" applyAlignment="1">
      <alignment horizontal="center"/>
    </xf>
    <xf numFmtId="0" fontId="20" fillId="0" borderId="0" xfId="0" applyFont="1"/>
    <xf numFmtId="0" fontId="23" fillId="0" borderId="7" xfId="0" applyFont="1" applyBorder="1" applyAlignment="1">
      <alignment horizontal="center"/>
    </xf>
    <xf numFmtId="0" fontId="20" fillId="0" borderId="23" xfId="0" applyFont="1" applyBorder="1"/>
    <xf numFmtId="10" fontId="24" fillId="0" borderId="25" xfId="3" applyNumberFormat="1" applyFont="1" applyBorder="1" applyAlignment="1">
      <alignment horizontal="center"/>
    </xf>
    <xf numFmtId="10" fontId="24" fillId="0" borderId="29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0" fillId="0" borderId="0" xfId="0" applyFont="1" applyAlignment="1">
      <alignment horizontal="center"/>
    </xf>
    <xf numFmtId="10" fontId="24" fillId="0" borderId="27" xfId="3" applyNumberFormat="1" applyFont="1" applyBorder="1" applyAlignment="1">
      <alignment horizontal="center"/>
    </xf>
    <xf numFmtId="10" fontId="24" fillId="0" borderId="30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0" fillId="0" borderId="28" xfId="0" applyFont="1" applyBorder="1"/>
    <xf numFmtId="10" fontId="24" fillId="0" borderId="19" xfId="3" applyNumberFormat="1" applyFont="1" applyBorder="1" applyAlignment="1">
      <alignment horizontal="center"/>
    </xf>
    <xf numFmtId="10" fontId="24" fillId="0" borderId="20" xfId="3" applyNumberFormat="1" applyFont="1" applyBorder="1" applyAlignment="1">
      <alignment horizontal="center"/>
    </xf>
    <xf numFmtId="15" fontId="18" fillId="2" borderId="5" xfId="0" applyNumberFormat="1" applyFont="1" applyFill="1" applyBorder="1"/>
    <xf numFmtId="15" fontId="20" fillId="0" borderId="0" xfId="0" applyNumberFormat="1" applyFont="1" applyAlignment="1">
      <alignment horizontal="center"/>
    </xf>
    <xf numFmtId="0" fontId="20" fillId="0" borderId="7" xfId="0" applyFont="1" applyBorder="1" applyAlignment="1">
      <alignment horizontal="center"/>
    </xf>
    <xf numFmtId="9" fontId="22" fillId="0" borderId="8" xfId="0" applyNumberFormat="1" applyFont="1" applyBorder="1" applyAlignment="1">
      <alignment horizontal="center"/>
    </xf>
    <xf numFmtId="0" fontId="20" fillId="0" borderId="1" xfId="0" applyFont="1" applyBorder="1" applyAlignment="1">
      <alignment horizontal="center"/>
    </xf>
    <xf numFmtId="9" fontId="22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6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6" fillId="3" borderId="12" xfId="0" applyFont="1" applyFill="1" applyBorder="1"/>
    <xf numFmtId="0" fontId="27" fillId="3" borderId="5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8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4" fillId="0" borderId="31" xfId="3" applyNumberFormat="1" applyFont="1" applyBorder="1" applyAlignment="1">
      <alignment horizontal="center"/>
    </xf>
    <xf numFmtId="10" fontId="24" fillId="0" borderId="32" xfId="3" applyNumberFormat="1" applyFont="1" applyBorder="1" applyAlignment="1">
      <alignment horizontal="center"/>
    </xf>
    <xf numFmtId="10" fontId="24" fillId="0" borderId="33" xfId="3" applyNumberFormat="1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6" fillId="3" borderId="23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/>
    </xf>
    <xf numFmtId="10" fontId="22" fillId="0" borderId="7" xfId="1" applyNumberFormat="1" applyFont="1" applyBorder="1" applyAlignment="1">
      <alignment horizontal="center"/>
    </xf>
    <xf numFmtId="10" fontId="22" fillId="0" borderId="23" xfId="1" applyNumberFormat="1" applyFont="1" applyBorder="1" applyAlignment="1">
      <alignment horizontal="center"/>
    </xf>
    <xf numFmtId="10" fontId="24" fillId="0" borderId="7" xfId="1" applyNumberFormat="1" applyFont="1" applyBorder="1"/>
    <xf numFmtId="10" fontId="24" fillId="0" borderId="23" xfId="1" applyNumberFormat="1" applyFont="1" applyBorder="1"/>
    <xf numFmtId="10" fontId="24" fillId="0" borderId="8" xfId="1" applyNumberFormat="1" applyFont="1" applyBorder="1"/>
    <xf numFmtId="10" fontId="20" fillId="0" borderId="0" xfId="0" applyNumberFormat="1" applyFont="1"/>
    <xf numFmtId="10" fontId="22" fillId="0" borderId="1" xfId="1" applyNumberFormat="1" applyFont="1" applyBorder="1" applyAlignment="1">
      <alignment horizontal="center"/>
    </xf>
    <xf numFmtId="10" fontId="24" fillId="0" borderId="1" xfId="1" applyNumberFormat="1" applyFont="1" applyBorder="1"/>
    <xf numFmtId="10" fontId="24" fillId="0" borderId="2" xfId="1" applyNumberFormat="1" applyFont="1" applyBorder="1"/>
    <xf numFmtId="14" fontId="20" fillId="0" borderId="0" xfId="0" applyNumberFormat="1" applyFont="1"/>
    <xf numFmtId="0" fontId="19" fillId="0" borderId="6" xfId="0" applyFont="1" applyBorder="1" applyAlignment="1">
      <alignment horizontal="center"/>
    </xf>
    <xf numFmtId="15" fontId="31" fillId="0" borderId="10" xfId="0" applyNumberFormat="1" applyFont="1" applyBorder="1"/>
    <xf numFmtId="0" fontId="31" fillId="0" borderId="10" xfId="0" applyFont="1" applyBorder="1"/>
    <xf numFmtId="0" fontId="31" fillId="0" borderId="11" xfId="0" applyFont="1" applyBorder="1"/>
    <xf numFmtId="0" fontId="19" fillId="0" borderId="12" xfId="0" applyFont="1" applyBorder="1" applyAlignment="1">
      <alignment horizontal="center"/>
    </xf>
    <xf numFmtId="0" fontId="26" fillId="3" borderId="7" xfId="0" applyFont="1" applyFill="1" applyBorder="1"/>
    <xf numFmtId="0" fontId="26" fillId="3" borderId="3" xfId="0" applyFont="1" applyFill="1" applyBorder="1"/>
    <xf numFmtId="0" fontId="27" fillId="3" borderId="8" xfId="0" applyFont="1" applyFill="1" applyBorder="1"/>
    <xf numFmtId="0" fontId="27" fillId="3" borderId="9" xfId="0" applyFont="1" applyFill="1" applyBorder="1"/>
    <xf numFmtId="0" fontId="25" fillId="3" borderId="1" xfId="0" applyFont="1" applyFill="1" applyBorder="1" applyAlignment="1">
      <alignment horizontal="center"/>
    </xf>
    <xf numFmtId="0" fontId="25" fillId="3" borderId="0" xfId="0" applyFont="1" applyFill="1" applyAlignment="1">
      <alignment horizontal="center"/>
    </xf>
    <xf numFmtId="15" fontId="32" fillId="3" borderId="5" xfId="0" applyNumberFormat="1" applyFont="1" applyFill="1" applyBorder="1" applyAlignment="1">
      <alignment horizontal="center"/>
    </xf>
    <xf numFmtId="0" fontId="25" fillId="3" borderId="2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10" fontId="22" fillId="0" borderId="0" xfId="1" applyNumberFormat="1" applyFont="1" applyBorder="1" applyAlignment="1">
      <alignment horizontal="center"/>
    </xf>
    <xf numFmtId="10" fontId="24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4" fillId="0" borderId="0" xfId="1" applyNumberFormat="1" applyFont="1" applyBorder="1" applyAlignment="1">
      <alignment horizontal="center"/>
    </xf>
    <xf numFmtId="168" fontId="0" fillId="0" borderId="0" xfId="0" applyNumberFormat="1"/>
    <xf numFmtId="0" fontId="20" fillId="3" borderId="14" xfId="0" applyFont="1" applyFill="1" applyBorder="1" applyAlignment="1">
      <alignment horizontal="center"/>
    </xf>
    <xf numFmtId="0" fontId="20" fillId="3" borderId="6" xfId="0" applyFont="1" applyFill="1" applyBorder="1" applyAlignment="1">
      <alignment horizontal="center"/>
    </xf>
    <xf numFmtId="166" fontId="20" fillId="3" borderId="12" xfId="0" applyNumberFormat="1" applyFont="1" applyFill="1" applyBorder="1" applyAlignment="1">
      <alignment horizontal="center"/>
    </xf>
    <xf numFmtId="14" fontId="20" fillId="3" borderId="12" xfId="0" applyNumberFormat="1" applyFont="1" applyFill="1" applyBorder="1" applyAlignment="1">
      <alignment horizontal="center"/>
    </xf>
    <xf numFmtId="0" fontId="20" fillId="3" borderId="12" xfId="0" applyFont="1" applyFill="1" applyBorder="1" applyAlignment="1">
      <alignment horizontal="center"/>
    </xf>
    <xf numFmtId="14" fontId="0" fillId="0" borderId="0" xfId="0" applyNumberFormat="1"/>
    <xf numFmtId="165" fontId="24" fillId="0" borderId="23" xfId="1" applyNumberFormat="1" applyFont="1" applyBorder="1" applyAlignment="1">
      <alignment horizontal="center"/>
    </xf>
    <xf numFmtId="10" fontId="23" fillId="0" borderId="2" xfId="1" applyNumberFormat="1" applyFont="1" applyBorder="1" applyAlignment="1">
      <alignment horizontal="center"/>
    </xf>
    <xf numFmtId="165" fontId="24" fillId="0" borderId="28" xfId="1" applyNumberFormat="1" applyFont="1" applyBorder="1" applyAlignment="1">
      <alignment horizontal="center"/>
    </xf>
    <xf numFmtId="0" fontId="21" fillId="3" borderId="12" xfId="0" applyFont="1" applyFill="1" applyBorder="1"/>
    <xf numFmtId="0" fontId="21" fillId="3" borderId="34" xfId="0" applyFont="1" applyFill="1" applyBorder="1" applyAlignment="1">
      <alignment horizontal="center"/>
    </xf>
    <xf numFmtId="0" fontId="21" fillId="3" borderId="35" xfId="0" applyFont="1" applyFill="1" applyBorder="1" applyAlignment="1">
      <alignment horizontal="center"/>
    </xf>
    <xf numFmtId="14" fontId="33" fillId="0" borderId="9" xfId="0" applyNumberFormat="1" applyFont="1" applyBorder="1" applyAlignment="1">
      <alignment horizontal="center"/>
    </xf>
    <xf numFmtId="14" fontId="33" fillId="0" borderId="10" xfId="0" applyNumberFormat="1" applyFont="1" applyBorder="1" applyAlignment="1">
      <alignment horizontal="center"/>
    </xf>
    <xf numFmtId="14" fontId="33" fillId="0" borderId="11" xfId="0" applyNumberFormat="1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7" fillId="3" borderId="10" xfId="0" applyFont="1" applyFill="1" applyBorder="1" applyAlignment="1">
      <alignment horizontal="center" wrapText="1"/>
    </xf>
    <xf numFmtId="0" fontId="27" fillId="3" borderId="11" xfId="0" applyFont="1" applyFill="1" applyBorder="1" applyAlignment="1">
      <alignment horizontal="center" wrapText="1"/>
    </xf>
    <xf numFmtId="0" fontId="33" fillId="3" borderId="11" xfId="0" applyFont="1" applyFill="1" applyBorder="1" applyAlignment="1">
      <alignment horizontal="center" wrapText="1"/>
    </xf>
    <xf numFmtId="0" fontId="27" fillId="3" borderId="11" xfId="0" applyFont="1" applyFill="1" applyBorder="1"/>
    <xf numFmtId="0" fontId="27" fillId="3" borderId="2" xfId="0" applyFont="1" applyFill="1" applyBorder="1" applyAlignment="1">
      <alignment horizontal="center" wrapText="1"/>
    </xf>
    <xf numFmtId="0" fontId="27" fillId="3" borderId="10" xfId="0" applyFont="1" applyFill="1" applyBorder="1"/>
    <xf numFmtId="0" fontId="20" fillId="3" borderId="5" xfId="0" applyFont="1" applyFill="1" applyBorder="1" applyAlignment="1">
      <alignment horizontal="center"/>
    </xf>
    <xf numFmtId="15" fontId="22" fillId="0" borderId="2" xfId="0" applyNumberFormat="1" applyFont="1" applyBorder="1" applyAlignment="1">
      <alignment horizontal="center"/>
    </xf>
    <xf numFmtId="165" fontId="22" fillId="0" borderId="2" xfId="0" applyNumberFormat="1" applyFont="1" applyBorder="1" applyAlignment="1">
      <alignment horizontal="center"/>
    </xf>
    <xf numFmtId="9" fontId="22" fillId="0" borderId="4" xfId="1" applyFont="1" applyBorder="1" applyAlignment="1">
      <alignment horizontal="center"/>
    </xf>
    <xf numFmtId="0" fontId="22" fillId="0" borderId="8" xfId="0" applyFont="1" applyBorder="1"/>
    <xf numFmtId="0" fontId="22" fillId="0" borderId="4" xfId="0" applyFont="1" applyBorder="1"/>
    <xf numFmtId="0" fontId="20" fillId="0" borderId="0" xfId="0" applyFont="1" applyAlignment="1">
      <alignment horizontal="left"/>
    </xf>
    <xf numFmtId="0" fontId="22" fillId="0" borderId="10" xfId="0" applyFont="1" applyBorder="1"/>
    <xf numFmtId="0" fontId="22" fillId="0" borderId="11" xfId="0" applyFont="1" applyBorder="1"/>
    <xf numFmtId="0" fontId="20" fillId="3" borderId="0" xfId="0" applyFont="1" applyFill="1"/>
    <xf numFmtId="0" fontId="21" fillId="3" borderId="0" xfId="0" applyFont="1" applyFill="1"/>
    <xf numFmtId="0" fontId="20" fillId="3" borderId="0" xfId="0" applyFont="1" applyFill="1" applyAlignment="1">
      <alignment horizontal="center"/>
    </xf>
    <xf numFmtId="0" fontId="21" fillId="3" borderId="1" xfId="0" applyFont="1" applyFill="1" applyBorder="1"/>
    <xf numFmtId="0" fontId="21" fillId="3" borderId="3" xfId="0" applyFont="1" applyFill="1" applyBorder="1"/>
    <xf numFmtId="0" fontId="21" fillId="3" borderId="9" xfId="0" applyFont="1" applyFill="1" applyBorder="1"/>
    <xf numFmtId="0" fontId="21" fillId="3" borderId="10" xfId="0" applyFont="1" applyFill="1" applyBorder="1"/>
    <xf numFmtId="0" fontId="21" fillId="3" borderId="11" xfId="0" applyFont="1" applyFill="1" applyBorder="1"/>
    <xf numFmtId="0" fontId="21" fillId="3" borderId="9" xfId="0" applyFont="1" applyFill="1" applyBorder="1" applyAlignment="1">
      <alignment horizontal="left"/>
    </xf>
    <xf numFmtId="0" fontId="22" fillId="0" borderId="9" xfId="0" applyFont="1" applyBorder="1"/>
    <xf numFmtId="15" fontId="23" fillId="0" borderId="9" xfId="0" applyNumberFormat="1" applyFont="1" applyBorder="1" applyAlignment="1">
      <alignment horizontal="center"/>
    </xf>
    <xf numFmtId="169" fontId="23" fillId="4" borderId="11" xfId="1" applyNumberFormat="1" applyFont="1" applyFill="1" applyBorder="1" applyAlignment="1">
      <alignment horizontal="center"/>
    </xf>
    <xf numFmtId="2" fontId="23" fillId="0" borderId="7" xfId="0" applyNumberFormat="1" applyFont="1" applyBorder="1" applyAlignment="1">
      <alignment horizontal="center"/>
    </xf>
    <xf numFmtId="10" fontId="23" fillId="0" borderId="8" xfId="1" applyNumberFormat="1" applyFont="1" applyBorder="1" applyAlignment="1">
      <alignment horizontal="center"/>
    </xf>
    <xf numFmtId="2" fontId="23" fillId="0" borderId="1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10" fontId="23" fillId="0" borderId="4" xfId="1" applyNumberFormat="1" applyFont="1" applyBorder="1" applyAlignment="1">
      <alignment horizontal="center"/>
    </xf>
    <xf numFmtId="15" fontId="20" fillId="5" borderId="12" xfId="0" applyNumberFormat="1" applyFont="1" applyFill="1" applyBorder="1" applyAlignment="1">
      <alignment horizontal="center"/>
    </xf>
    <xf numFmtId="0" fontId="22" fillId="0" borderId="8" xfId="0" quotePrefix="1" applyFont="1" applyBorder="1" applyAlignment="1">
      <alignment horizontal="center"/>
    </xf>
    <xf numFmtId="165" fontId="24" fillId="0" borderId="23" xfId="1" applyNumberFormat="1" applyFont="1" applyBorder="1"/>
    <xf numFmtId="171" fontId="20" fillId="0" borderId="0" xfId="0" applyNumberFormat="1" applyFont="1"/>
    <xf numFmtId="10" fontId="22" fillId="0" borderId="9" xfId="0" applyNumberFormat="1" applyFont="1" applyBorder="1" applyAlignment="1">
      <alignment horizontal="center"/>
    </xf>
    <xf numFmtId="0" fontId="21" fillId="6" borderId="9" xfId="0" applyFont="1" applyFill="1" applyBorder="1" applyAlignment="1">
      <alignment horizontal="left"/>
    </xf>
    <xf numFmtId="0" fontId="21" fillId="6" borderId="10" xfId="0" applyFont="1" applyFill="1" applyBorder="1" applyAlignment="1">
      <alignment horizontal="left"/>
    </xf>
    <xf numFmtId="0" fontId="21" fillId="6" borderId="12" xfId="0" applyFont="1" applyFill="1" applyBorder="1" applyAlignment="1">
      <alignment horizontal="center"/>
    </xf>
    <xf numFmtId="0" fontId="21" fillId="6" borderId="11" xfId="0" applyFont="1" applyFill="1" applyBorder="1" applyAlignment="1">
      <alignment horizontal="center"/>
    </xf>
    <xf numFmtId="0" fontId="20" fillId="0" borderId="0" xfId="2" applyFont="1" applyAlignment="1"/>
    <xf numFmtId="0" fontId="20" fillId="0" borderId="0" xfId="2" applyFont="1" applyAlignment="1">
      <alignment horizontal="center"/>
    </xf>
    <xf numFmtId="15" fontId="22" fillId="4" borderId="8" xfId="2" applyNumberFormat="1" applyFont="1" applyFill="1" applyBorder="1" applyAlignment="1">
      <alignment horizontal="center"/>
    </xf>
    <xf numFmtId="172" fontId="23" fillId="0" borderId="2" xfId="2" applyNumberFormat="1" applyFont="1" applyBorder="1" applyAlignment="1">
      <alignment horizontal="center"/>
    </xf>
    <xf numFmtId="0" fontId="22" fillId="4" borderId="2" xfId="2" applyFont="1" applyFill="1" applyBorder="1" applyAlignment="1">
      <alignment horizontal="center"/>
    </xf>
    <xf numFmtId="9" fontId="22" fillId="4" borderId="2" xfId="2" applyNumberFormat="1" applyFont="1" applyFill="1" applyBorder="1" applyAlignment="1">
      <alignment horizontal="center"/>
    </xf>
    <xf numFmtId="9" fontId="22" fillId="4" borderId="4" xfId="5" applyFont="1" applyFill="1" applyBorder="1" applyAlignment="1">
      <alignment horizontal="center"/>
    </xf>
    <xf numFmtId="165" fontId="22" fillId="4" borderId="8" xfId="2" applyNumberFormat="1" applyFont="1" applyFill="1" applyBorder="1" applyAlignment="1">
      <alignment horizontal="center"/>
    </xf>
    <xf numFmtId="0" fontId="22" fillId="4" borderId="8" xfId="2" applyFont="1" applyFill="1" applyBorder="1" applyAlignment="1">
      <alignment horizontal="center"/>
    </xf>
    <xf numFmtId="1" fontId="23" fillId="4" borderId="2" xfId="2" applyNumberFormat="1" applyFont="1" applyFill="1" applyBorder="1" applyAlignment="1">
      <alignment horizontal="center"/>
    </xf>
    <xf numFmtId="0" fontId="20" fillId="0" borderId="0" xfId="2" applyFont="1" applyAlignment="1">
      <alignment horizontal="left"/>
    </xf>
    <xf numFmtId="2" fontId="22" fillId="4" borderId="2" xfId="2" applyNumberFormat="1" applyFont="1" applyFill="1" applyBorder="1" applyAlignment="1">
      <alignment horizontal="center"/>
    </xf>
    <xf numFmtId="10" fontId="23" fillId="0" borderId="0" xfId="5" applyNumberFormat="1" applyFont="1" applyAlignment="1">
      <alignment horizontal="left"/>
    </xf>
    <xf numFmtId="0" fontId="22" fillId="0" borderId="0" xfId="2" applyFont="1" applyAlignment="1">
      <alignment horizontal="center"/>
    </xf>
    <xf numFmtId="10" fontId="22" fillId="0" borderId="0" xfId="2" applyNumberFormat="1" applyFont="1" applyAlignment="1">
      <alignment horizontal="center"/>
    </xf>
    <xf numFmtId="10" fontId="22" fillId="4" borderId="4" xfId="2" applyNumberFormat="1" applyFont="1" applyFill="1" applyBorder="1" applyAlignment="1">
      <alignment horizontal="center"/>
    </xf>
    <xf numFmtId="0" fontId="20" fillId="0" borderId="0" xfId="2" applyFont="1" applyAlignment="1">
      <alignment horizontal="right"/>
    </xf>
    <xf numFmtId="15" fontId="20" fillId="2" borderId="6" xfId="2" applyNumberFormat="1" applyFont="1" applyFill="1" applyBorder="1" applyAlignment="1">
      <alignment horizontal="center"/>
    </xf>
    <xf numFmtId="10" fontId="22" fillId="4" borderId="2" xfId="2" applyNumberFormat="1" applyFont="1" applyFill="1" applyBorder="1" applyAlignment="1">
      <alignment horizontal="center"/>
    </xf>
    <xf numFmtId="0" fontId="22" fillId="0" borderId="8" xfId="2" applyFont="1" applyBorder="1" applyAlignment="1">
      <alignment horizontal="center"/>
    </xf>
    <xf numFmtId="167" fontId="36" fillId="0" borderId="0" xfId="2" applyNumberFormat="1" applyFont="1" applyAlignment="1">
      <alignment horizontal="center"/>
    </xf>
    <xf numFmtId="10" fontId="22" fillId="4" borderId="2" xfId="5" applyNumberFormat="1" applyFont="1" applyFill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18" fillId="2" borderId="6" xfId="2" applyFont="1" applyFill="1" applyBorder="1" applyAlignment="1">
      <alignment horizontal="center"/>
    </xf>
    <xf numFmtId="4" fontId="22" fillId="4" borderId="9" xfId="2" applyNumberFormat="1" applyFont="1" applyFill="1" applyBorder="1" applyAlignment="1">
      <alignment horizontal="center"/>
    </xf>
    <xf numFmtId="4" fontId="22" fillId="4" borderId="10" xfId="2" applyNumberFormat="1" applyFont="1" applyFill="1" applyBorder="1" applyAlignment="1">
      <alignment horizontal="left"/>
    </xf>
    <xf numFmtId="4" fontId="22" fillId="4" borderId="10" xfId="2" applyNumberFormat="1" applyFont="1" applyFill="1" applyBorder="1" applyAlignment="1">
      <alignment horizontal="center"/>
    </xf>
    <xf numFmtId="0" fontId="18" fillId="4" borderId="8" xfId="0" applyFont="1" applyFill="1" applyBorder="1" applyAlignment="1">
      <alignment horizontal="center"/>
    </xf>
    <xf numFmtId="0" fontId="18" fillId="4" borderId="2" xfId="0" applyFont="1" applyFill="1" applyBorder="1" applyAlignment="1">
      <alignment horizontal="center"/>
    </xf>
    <xf numFmtId="0" fontId="18" fillId="2" borderId="0" xfId="0" applyFont="1" applyFill="1" applyAlignment="1">
      <alignment horizontal="center"/>
    </xf>
    <xf numFmtId="0" fontId="18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4" fillId="0" borderId="28" xfId="5" applyNumberFormat="1" applyFont="1" applyBorder="1" applyAlignment="1">
      <alignment horizontal="center"/>
    </xf>
    <xf numFmtId="0" fontId="24" fillId="0" borderId="4" xfId="5" applyNumberFormat="1" applyFont="1" applyBorder="1" applyAlignment="1">
      <alignment horizontal="center"/>
    </xf>
    <xf numFmtId="173" fontId="0" fillId="0" borderId="0" xfId="0" applyNumberFormat="1"/>
    <xf numFmtId="9" fontId="24" fillId="4" borderId="0" xfId="1" applyFont="1" applyFill="1" applyAlignment="1">
      <alignment horizontal="center"/>
    </xf>
    <xf numFmtId="0" fontId="0" fillId="0" borderId="0" xfId="0" quotePrefix="1"/>
    <xf numFmtId="0" fontId="21" fillId="0" borderId="5" xfId="2" applyFont="1" applyBorder="1" applyAlignment="1"/>
    <xf numFmtId="0" fontId="21" fillId="0" borderId="9" xfId="2" applyFont="1" applyBorder="1" applyAlignment="1"/>
    <xf numFmtId="0" fontId="21" fillId="0" borderId="10" xfId="2" applyFont="1" applyBorder="1" applyAlignment="1"/>
    <xf numFmtId="0" fontId="21" fillId="0" borderId="11" xfId="2" applyFont="1" applyBorder="1" applyAlignment="1"/>
    <xf numFmtId="0" fontId="21" fillId="0" borderId="9" xfId="2" applyFont="1" applyBorder="1" applyAlignment="1">
      <alignment horizontal="left"/>
    </xf>
    <xf numFmtId="0" fontId="21" fillId="0" borderId="5" xfId="2" applyFont="1" applyBorder="1" applyAlignment="1">
      <alignment horizontal="center"/>
    </xf>
    <xf numFmtId="0" fontId="21" fillId="0" borderId="9" xfId="2" applyFont="1" applyBorder="1" applyAlignment="1">
      <alignment horizontal="center"/>
    </xf>
    <xf numFmtId="0" fontId="21" fillId="0" borderId="10" xfId="2" applyFont="1" applyBorder="1" applyAlignment="1">
      <alignment horizontal="center"/>
    </xf>
    <xf numFmtId="174" fontId="20" fillId="0" borderId="0" xfId="1" applyNumberFormat="1" applyFont="1"/>
    <xf numFmtId="0" fontId="37" fillId="2" borderId="0" xfId="0" applyFont="1" applyFill="1"/>
    <xf numFmtId="0" fontId="38" fillId="2" borderId="0" xfId="0" applyFont="1" applyFill="1" applyAlignment="1">
      <alignment horizontal="left" vertical="center" indent="1"/>
    </xf>
    <xf numFmtId="0" fontId="39" fillId="2" borderId="0" xfId="0" applyFont="1" applyFill="1" applyAlignment="1">
      <alignment horizontal="left" indent="1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0" fontId="18" fillId="2" borderId="9" xfId="0" applyFont="1" applyFill="1" applyBorder="1"/>
    <xf numFmtId="14" fontId="22" fillId="4" borderId="9" xfId="0" applyNumberFormat="1" applyFont="1" applyFill="1" applyBorder="1" applyAlignment="1">
      <alignment horizontal="center"/>
    </xf>
    <xf numFmtId="0" fontId="18" fillId="2" borderId="10" xfId="0" applyFont="1" applyFill="1" applyBorder="1"/>
    <xf numFmtId="3" fontId="22" fillId="4" borderId="10" xfId="0" applyNumberFormat="1" applyFont="1" applyFill="1" applyBorder="1" applyAlignment="1">
      <alignment horizontal="center"/>
    </xf>
    <xf numFmtId="0" fontId="18" fillId="2" borderId="11" xfId="0" applyFont="1" applyFill="1" applyBorder="1"/>
    <xf numFmtId="0" fontId="22" fillId="4" borderId="10" xfId="0" applyFont="1" applyFill="1" applyBorder="1" applyAlignment="1">
      <alignment horizontal="center"/>
    </xf>
    <xf numFmtId="0" fontId="19" fillId="4" borderId="0" xfId="0" applyFont="1" applyFill="1" applyAlignment="1">
      <alignment horizontal="center"/>
    </xf>
    <xf numFmtId="9" fontId="22" fillId="4" borderId="10" xfId="0" applyNumberFormat="1" applyFont="1" applyFill="1" applyBorder="1" applyAlignment="1">
      <alignment horizontal="center"/>
    </xf>
    <xf numFmtId="0" fontId="18" fillId="4" borderId="0" xfId="0" applyFont="1" applyFill="1"/>
    <xf numFmtId="0" fontId="22" fillId="4" borderId="4" xfId="0" applyFont="1" applyFill="1" applyBorder="1" applyAlignment="1">
      <alignment horizontal="center"/>
    </xf>
    <xf numFmtId="0" fontId="21" fillId="4" borderId="0" xfId="0" applyFont="1" applyFill="1"/>
    <xf numFmtId="9" fontId="19" fillId="4" borderId="0" xfId="0" applyNumberFormat="1" applyFont="1" applyFill="1" applyAlignment="1">
      <alignment horizontal="center"/>
    </xf>
    <xf numFmtId="0" fontId="18" fillId="2" borderId="7" xfId="0" applyFont="1" applyFill="1" applyBorder="1"/>
    <xf numFmtId="0" fontId="22" fillId="4" borderId="8" xfId="0" applyFont="1" applyFill="1" applyBorder="1" applyAlignment="1">
      <alignment horizontal="center"/>
    </xf>
    <xf numFmtId="0" fontId="18" fillId="2" borderId="1" xfId="0" applyFont="1" applyFill="1" applyBorder="1"/>
    <xf numFmtId="9" fontId="22" fillId="4" borderId="2" xfId="0" applyNumberFormat="1" applyFont="1" applyFill="1" applyBorder="1" applyAlignment="1">
      <alignment horizontal="center"/>
    </xf>
    <xf numFmtId="0" fontId="18" fillId="2" borderId="3" xfId="0" applyFont="1" applyFill="1" applyBorder="1"/>
    <xf numFmtId="0" fontId="21" fillId="4" borderId="0" xfId="0" applyFont="1" applyFill="1" applyAlignment="1">
      <alignment horizontal="left"/>
    </xf>
    <xf numFmtId="0" fontId="21" fillId="0" borderId="0" xfId="0" applyFont="1"/>
    <xf numFmtId="9" fontId="19" fillId="0" borderId="0" xfId="0" applyNumberFormat="1" applyFont="1" applyAlignment="1">
      <alignment horizontal="center"/>
    </xf>
    <xf numFmtId="9" fontId="22" fillId="4" borderId="9" xfId="0" applyNumberFormat="1" applyFont="1" applyFill="1" applyBorder="1" applyAlignment="1">
      <alignment horizontal="center"/>
    </xf>
    <xf numFmtId="0" fontId="22" fillId="4" borderId="2" xfId="0" applyFont="1" applyFill="1" applyBorder="1" applyAlignment="1">
      <alignment horizontal="center"/>
    </xf>
    <xf numFmtId="15" fontId="22" fillId="4" borderId="4" xfId="0" applyNumberFormat="1" applyFont="1" applyFill="1" applyBorder="1" applyAlignment="1">
      <alignment horizontal="center"/>
    </xf>
    <xf numFmtId="0" fontId="22" fillId="4" borderId="0" xfId="0" applyFont="1" applyFill="1" applyAlignment="1">
      <alignment horizontal="center"/>
    </xf>
    <xf numFmtId="0" fontId="25" fillId="2" borderId="23" xfId="0" applyFont="1" applyFill="1" applyBorder="1"/>
    <xf numFmtId="0" fontId="25" fillId="2" borderId="42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  <xf numFmtId="0" fontId="18" fillId="4" borderId="5" xfId="0" applyFont="1" applyFill="1" applyBorder="1"/>
    <xf numFmtId="0" fontId="25" fillId="4" borderId="6" xfId="0" applyFont="1" applyFill="1" applyBorder="1"/>
    <xf numFmtId="0" fontId="18" fillId="2" borderId="7" xfId="0" applyFont="1" applyFill="1" applyBorder="1" applyAlignment="1">
      <alignment horizontal="center"/>
    </xf>
    <xf numFmtId="0" fontId="20" fillId="4" borderId="23" xfId="0" applyFont="1" applyFill="1" applyBorder="1" applyAlignment="1">
      <alignment horizontal="center"/>
    </xf>
    <xf numFmtId="0" fontId="20" fillId="4" borderId="25" xfId="0" applyFont="1" applyFill="1" applyBorder="1" applyAlignment="1">
      <alignment horizontal="center"/>
    </xf>
    <xf numFmtId="0" fontId="20" fillId="4" borderId="43" xfId="0" applyFont="1" applyFill="1" applyBorder="1" applyAlignment="1">
      <alignment horizontal="center"/>
    </xf>
    <xf numFmtId="0" fontId="20" fillId="4" borderId="29" xfId="0" applyFont="1" applyFill="1" applyBorder="1" applyAlignment="1">
      <alignment horizontal="center"/>
    </xf>
    <xf numFmtId="9" fontId="22" fillId="4" borderId="8" xfId="0" applyNumberFormat="1" applyFont="1" applyFill="1" applyBorder="1" applyAlignment="1">
      <alignment horizontal="center"/>
    </xf>
    <xf numFmtId="9" fontId="18" fillId="2" borderId="1" xfId="0" applyNumberFormat="1" applyFont="1" applyFill="1" applyBorder="1" applyAlignment="1">
      <alignment horizontal="center"/>
    </xf>
    <xf numFmtId="10" fontId="22" fillId="4" borderId="7" xfId="0" applyNumberFormat="1" applyFont="1" applyFill="1" applyBorder="1" applyAlignment="1">
      <alignment horizontal="center"/>
    </xf>
    <xf numFmtId="10" fontId="22" fillId="4" borderId="43" xfId="0" applyNumberFormat="1" applyFont="1" applyFill="1" applyBorder="1" applyAlignment="1">
      <alignment horizontal="center"/>
    </xf>
    <xf numFmtId="9" fontId="22" fillId="4" borderId="43" xfId="0" applyNumberFormat="1" applyFont="1" applyFill="1" applyBorder="1" applyAlignment="1">
      <alignment horizontal="center"/>
    </xf>
    <xf numFmtId="9" fontId="22" fillId="4" borderId="25" xfId="0" applyNumberFormat="1" applyFont="1" applyFill="1" applyBorder="1" applyAlignment="1">
      <alignment horizontal="center"/>
    </xf>
    <xf numFmtId="9" fontId="22" fillId="4" borderId="29" xfId="0" applyNumberFormat="1" applyFont="1" applyFill="1" applyBorder="1" applyAlignment="1">
      <alignment horizontal="center"/>
    </xf>
    <xf numFmtId="9" fontId="22" fillId="4" borderId="4" xfId="0" applyNumberFormat="1" applyFont="1" applyFill="1" applyBorder="1" applyAlignment="1">
      <alignment horizontal="center"/>
    </xf>
    <xf numFmtId="10" fontId="22" fillId="4" borderId="3" xfId="0" applyNumberFormat="1" applyFont="1" applyFill="1" applyBorder="1" applyAlignment="1">
      <alignment horizontal="center"/>
    </xf>
    <xf numFmtId="10" fontId="22" fillId="4" borderId="44" xfId="0" applyNumberFormat="1" applyFont="1" applyFill="1" applyBorder="1" applyAlignment="1">
      <alignment horizontal="center"/>
    </xf>
    <xf numFmtId="9" fontId="22" fillId="4" borderId="44" xfId="0" applyNumberFormat="1" applyFont="1" applyFill="1" applyBorder="1" applyAlignment="1">
      <alignment horizontal="center"/>
    </xf>
    <xf numFmtId="9" fontId="22" fillId="4" borderId="19" xfId="0" applyNumberFormat="1" applyFont="1" applyFill="1" applyBorder="1" applyAlignment="1">
      <alignment horizontal="center"/>
    </xf>
    <xf numFmtId="9" fontId="22" fillId="4" borderId="20" xfId="0" applyNumberFormat="1" applyFont="1" applyFill="1" applyBorder="1" applyAlignment="1">
      <alignment horizontal="center"/>
    </xf>
    <xf numFmtId="165" fontId="20" fillId="4" borderId="0" xfId="5" applyNumberFormat="1" applyFont="1" applyFill="1"/>
    <xf numFmtId="0" fontId="18" fillId="4" borderId="1" xfId="0" applyFont="1" applyFill="1" applyBorder="1"/>
    <xf numFmtId="0" fontId="25" fillId="4" borderId="0" xfId="0" applyFont="1" applyFill="1"/>
    <xf numFmtId="9" fontId="18" fillId="2" borderId="3" xfId="0" applyNumberFormat="1" applyFont="1" applyFill="1" applyBorder="1" applyAlignment="1">
      <alignment horizontal="center"/>
    </xf>
    <xf numFmtId="10" fontId="22" fillId="4" borderId="28" xfId="0" applyNumberFormat="1" applyFont="1" applyFill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28" xfId="0" applyFont="1" applyBorder="1" applyAlignment="1">
      <alignment horizontal="left"/>
    </xf>
    <xf numFmtId="0" fontId="20" fillId="0" borderId="28" xfId="0" applyFont="1" applyBorder="1" applyAlignment="1">
      <alignment horizontal="center"/>
    </xf>
    <xf numFmtId="10" fontId="22" fillId="4" borderId="9" xfId="0" applyNumberFormat="1" applyFont="1" applyFill="1" applyBorder="1" applyAlignment="1">
      <alignment horizontal="center"/>
    </xf>
    <xf numFmtId="0" fontId="25" fillId="2" borderId="5" xfId="0" applyFont="1" applyFill="1" applyBorder="1" applyAlignment="1">
      <alignment horizontal="center"/>
    </xf>
    <xf numFmtId="0" fontId="22" fillId="4" borderId="11" xfId="0" applyFont="1" applyFill="1" applyBorder="1"/>
    <xf numFmtId="0" fontId="21" fillId="0" borderId="5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21" fillId="0" borderId="17" xfId="0" applyFont="1" applyBorder="1" applyAlignment="1">
      <alignment horizontal="center"/>
    </xf>
    <xf numFmtId="175" fontId="22" fillId="4" borderId="9" xfId="0" applyNumberFormat="1" applyFont="1" applyFill="1" applyBorder="1" applyAlignment="1">
      <alignment horizontal="center"/>
    </xf>
    <xf numFmtId="175" fontId="22" fillId="4" borderId="0" xfId="0" applyNumberFormat="1" applyFont="1" applyFill="1" applyAlignment="1">
      <alignment horizontal="center"/>
    </xf>
    <xf numFmtId="175" fontId="22" fillId="4" borderId="43" xfId="0" applyNumberFormat="1" applyFont="1" applyFill="1" applyBorder="1" applyAlignment="1">
      <alignment horizontal="center"/>
    </xf>
    <xf numFmtId="175" fontId="22" fillId="4" borderId="25" xfId="0" applyNumberFormat="1" applyFont="1" applyFill="1" applyBorder="1" applyAlignment="1">
      <alignment horizontal="center"/>
    </xf>
    <xf numFmtId="175" fontId="22" fillId="4" borderId="31" xfId="0" applyNumberFormat="1" applyFont="1" applyFill="1" applyBorder="1" applyAlignment="1">
      <alignment horizontal="center"/>
    </xf>
    <xf numFmtId="9" fontId="22" fillId="4" borderId="0" xfId="0" applyNumberFormat="1" applyFont="1" applyFill="1" applyAlignment="1">
      <alignment horizontal="center"/>
    </xf>
    <xf numFmtId="175" fontId="22" fillId="4" borderId="10" xfId="0" applyNumberFormat="1" applyFont="1" applyFill="1" applyBorder="1" applyAlignment="1">
      <alignment horizontal="center"/>
    </xf>
    <xf numFmtId="175" fontId="22" fillId="4" borderId="21" xfId="0" applyNumberFormat="1" applyFont="1" applyFill="1" applyBorder="1" applyAlignment="1">
      <alignment horizontal="center"/>
    </xf>
    <xf numFmtId="175" fontId="22" fillId="4" borderId="27" xfId="0" applyNumberFormat="1" applyFont="1" applyFill="1" applyBorder="1" applyAlignment="1">
      <alignment horizontal="center"/>
    </xf>
    <xf numFmtId="175" fontId="22" fillId="4" borderId="32" xfId="0" applyNumberFormat="1" applyFont="1" applyFill="1" applyBorder="1" applyAlignment="1">
      <alignment horizontal="center"/>
    </xf>
    <xf numFmtId="10" fontId="22" fillId="4" borderId="32" xfId="0" applyNumberFormat="1" applyFont="1" applyFill="1" applyBorder="1" applyAlignment="1">
      <alignment horizontal="center"/>
    </xf>
    <xf numFmtId="0" fontId="18" fillId="4" borderId="3" xfId="0" applyFont="1" applyFill="1" applyBorder="1"/>
    <xf numFmtId="0" fontId="20" fillId="4" borderId="28" xfId="0" applyFont="1" applyFill="1" applyBorder="1"/>
    <xf numFmtId="175" fontId="22" fillId="4" borderId="11" xfId="0" applyNumberFormat="1" applyFont="1" applyFill="1" applyBorder="1" applyAlignment="1">
      <alignment horizontal="center"/>
    </xf>
    <xf numFmtId="175" fontId="22" fillId="4" borderId="28" xfId="0" applyNumberFormat="1" applyFont="1" applyFill="1" applyBorder="1" applyAlignment="1">
      <alignment horizontal="center"/>
    </xf>
    <xf numFmtId="175" fontId="22" fillId="4" borderId="44" xfId="0" applyNumberFormat="1" applyFont="1" applyFill="1" applyBorder="1" applyAlignment="1">
      <alignment horizontal="center"/>
    </xf>
    <xf numFmtId="175" fontId="22" fillId="4" borderId="19" xfId="0" applyNumberFormat="1" applyFont="1" applyFill="1" applyBorder="1" applyAlignment="1">
      <alignment horizontal="center"/>
    </xf>
    <xf numFmtId="175" fontId="22" fillId="4" borderId="33" xfId="0" applyNumberFormat="1" applyFont="1" applyFill="1" applyBorder="1" applyAlignment="1">
      <alignment horizontal="center"/>
    </xf>
    <xf numFmtId="9" fontId="22" fillId="4" borderId="28" xfId="0" applyNumberFormat="1" applyFont="1" applyFill="1" applyBorder="1" applyAlignment="1">
      <alignment horizontal="center"/>
    </xf>
    <xf numFmtId="0" fontId="21" fillId="4" borderId="12" xfId="0" applyFont="1" applyFill="1" applyBorder="1"/>
    <xf numFmtId="0" fontId="22" fillId="4" borderId="6" xfId="0" applyFont="1" applyFill="1" applyBorder="1"/>
    <xf numFmtId="0" fontId="21" fillId="4" borderId="0" xfId="0" applyFont="1" applyFill="1" applyAlignment="1">
      <alignment horizontal="center"/>
    </xf>
    <xf numFmtId="0" fontId="18" fillId="2" borderId="5" xfId="0" applyFont="1" applyFill="1" applyBorder="1" applyAlignment="1">
      <alignment horizontal="center"/>
    </xf>
    <xf numFmtId="0" fontId="18" fillId="2" borderId="12" xfId="0" applyFont="1" applyFill="1" applyBorder="1" applyAlignment="1">
      <alignment horizontal="center"/>
    </xf>
    <xf numFmtId="0" fontId="20" fillId="4" borderId="2" xfId="0" applyFont="1" applyFill="1" applyBorder="1" applyAlignment="1">
      <alignment horizontal="center"/>
    </xf>
    <xf numFmtId="10" fontId="24" fillId="0" borderId="36" xfId="5" applyNumberFormat="1" applyFont="1" applyBorder="1" applyAlignment="1">
      <alignment horizontal="center"/>
    </xf>
    <xf numFmtId="165" fontId="24" fillId="4" borderId="34" xfId="5" applyNumberFormat="1" applyFont="1" applyFill="1" applyBorder="1" applyAlignment="1">
      <alignment horizontal="center"/>
    </xf>
    <xf numFmtId="10" fontId="24" fillId="4" borderId="37" xfId="5" applyNumberFormat="1" applyFont="1" applyFill="1" applyBorder="1" applyAlignment="1">
      <alignment horizontal="center"/>
    </xf>
    <xf numFmtId="10" fontId="24" fillId="4" borderId="38" xfId="5" applyNumberFormat="1" applyFont="1" applyFill="1" applyBorder="1" applyAlignment="1">
      <alignment horizontal="center"/>
    </xf>
    <xf numFmtId="10" fontId="24" fillId="0" borderId="39" xfId="5" applyNumberFormat="1" applyFont="1" applyBorder="1" applyAlignment="1">
      <alignment horizontal="center"/>
    </xf>
    <xf numFmtId="165" fontId="40" fillId="4" borderId="35" xfId="5" applyNumberFormat="1" applyFont="1" applyFill="1" applyBorder="1" applyAlignment="1">
      <alignment horizontal="center"/>
    </xf>
    <xf numFmtId="10" fontId="24" fillId="4" borderId="40" xfId="5" applyNumberFormat="1" applyFont="1" applyFill="1" applyBorder="1" applyAlignment="1">
      <alignment horizontal="center"/>
    </xf>
    <xf numFmtId="10" fontId="24" fillId="4" borderId="41" xfId="5" applyNumberFormat="1" applyFont="1" applyFill="1" applyBorder="1" applyAlignment="1">
      <alignment horizontal="center"/>
    </xf>
    <xf numFmtId="10" fontId="24" fillId="4" borderId="0" xfId="5" applyNumberFormat="1" applyFont="1" applyFill="1" applyAlignment="1">
      <alignment horizontal="center"/>
    </xf>
    <xf numFmtId="165" fontId="24" fillId="4" borderId="0" xfId="5" applyNumberFormat="1" applyFont="1" applyFill="1" applyAlignment="1">
      <alignment horizontal="center"/>
    </xf>
    <xf numFmtId="176" fontId="24" fillId="4" borderId="0" xfId="5" applyNumberFormat="1" applyFont="1" applyFill="1" applyAlignment="1">
      <alignment horizontal="center"/>
    </xf>
    <xf numFmtId="175" fontId="19" fillId="4" borderId="0" xfId="0" applyNumberFormat="1" applyFont="1" applyFill="1" applyAlignment="1">
      <alignment horizontal="center"/>
    </xf>
    <xf numFmtId="0" fontId="25" fillId="4" borderId="0" xfId="0" applyFont="1" applyFill="1" applyAlignment="1">
      <alignment horizontal="center"/>
    </xf>
    <xf numFmtId="0" fontId="20" fillId="4" borderId="45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6" xfId="0" applyFont="1" applyFill="1" applyBorder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22" fillId="4" borderId="21" xfId="0" applyFont="1" applyFill="1" applyBorder="1" applyAlignment="1">
      <alignment horizontal="center"/>
    </xf>
    <xf numFmtId="0" fontId="22" fillId="4" borderId="32" xfId="0" applyFont="1" applyFill="1" applyBorder="1" applyAlignment="1">
      <alignment horizontal="center"/>
    </xf>
    <xf numFmtId="0" fontId="18" fillId="2" borderId="3" xfId="0" applyFont="1" applyFill="1" applyBorder="1" applyAlignment="1">
      <alignment horizontal="center"/>
    </xf>
    <xf numFmtId="175" fontId="22" fillId="4" borderId="46" xfId="0" applyNumberFormat="1" applyFont="1" applyFill="1" applyBorder="1" applyAlignment="1">
      <alignment horizontal="center"/>
    </xf>
    <xf numFmtId="0" fontId="22" fillId="4" borderId="22" xfId="0" applyFont="1" applyFill="1" applyBorder="1" applyAlignment="1">
      <alignment horizontal="center"/>
    </xf>
    <xf numFmtId="0" fontId="22" fillId="4" borderId="13" xfId="0" applyFont="1" applyFill="1" applyBorder="1" applyAlignment="1">
      <alignment horizontal="center"/>
    </xf>
    <xf numFmtId="0" fontId="22" fillId="4" borderId="46" xfId="0" applyFont="1" applyFill="1" applyBorder="1" applyAlignment="1">
      <alignment horizontal="center"/>
    </xf>
    <xf numFmtId="0" fontId="41" fillId="4" borderId="10" xfId="6" applyFill="1" applyBorder="1" applyAlignment="1">
      <alignment horizontal="left"/>
    </xf>
    <xf numFmtId="169" fontId="23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6" fillId="4" borderId="23" xfId="0" applyNumberFormat="1" applyFont="1" applyFill="1" applyBorder="1" applyAlignment="1">
      <alignment horizontal="center"/>
    </xf>
    <xf numFmtId="164" fontId="36" fillId="4" borderId="0" xfId="0" quotePrefix="1" applyNumberFormat="1" applyFont="1" applyFill="1" applyAlignment="1">
      <alignment horizontal="center"/>
    </xf>
    <xf numFmtId="165" fontId="36" fillId="4" borderId="0" xfId="0" applyNumberFormat="1" applyFont="1" applyFill="1" applyAlignment="1">
      <alignment horizontal="center"/>
    </xf>
    <xf numFmtId="164" fontId="36" fillId="4" borderId="0" xfId="0" applyNumberFormat="1" applyFont="1" applyFill="1" applyAlignment="1">
      <alignment horizontal="center"/>
    </xf>
    <xf numFmtId="165" fontId="36" fillId="4" borderId="0" xfId="5" applyNumberFormat="1" applyFont="1" applyFill="1" applyAlignment="1">
      <alignment horizontal="center"/>
    </xf>
    <xf numFmtId="177" fontId="36" fillId="4" borderId="0" xfId="0" applyNumberFormat="1" applyFont="1" applyFill="1" applyAlignment="1">
      <alignment horizontal="center"/>
    </xf>
    <xf numFmtId="169" fontId="36" fillId="4" borderId="0" xfId="5" applyNumberFormat="1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177" fontId="25" fillId="2" borderId="0" xfId="0" applyNumberFormat="1" applyFont="1" applyFill="1" applyAlignment="1">
      <alignment horizontal="center"/>
    </xf>
    <xf numFmtId="166" fontId="25" fillId="4" borderId="23" xfId="0" applyNumberFormat="1" applyFont="1" applyFill="1" applyBorder="1"/>
    <xf numFmtId="0" fontId="25" fillId="4" borderId="23" xfId="0" applyFont="1" applyFill="1" applyBorder="1"/>
    <xf numFmtId="177" fontId="25" fillId="4" borderId="0" xfId="0" applyNumberFormat="1" applyFont="1" applyFill="1"/>
    <xf numFmtId="177" fontId="36" fillId="4" borderId="0" xfId="0" applyNumberFormat="1" applyFont="1" applyFill="1" applyAlignment="1">
      <alignment horizontal="right"/>
    </xf>
    <xf numFmtId="2" fontId="36" fillId="4" borderId="0" xfId="0" applyNumberFormat="1" applyFont="1" applyFill="1" applyAlignment="1">
      <alignment horizontal="center"/>
    </xf>
    <xf numFmtId="178" fontId="36" fillId="4" borderId="0" xfId="0" applyNumberFormat="1" applyFont="1" applyFill="1" applyAlignment="1">
      <alignment horizontal="center"/>
    </xf>
    <xf numFmtId="177" fontId="36" fillId="4" borderId="28" xfId="0" applyNumberFormat="1" applyFont="1" applyFill="1" applyBorder="1" applyAlignment="1">
      <alignment horizontal="center"/>
    </xf>
    <xf numFmtId="178" fontId="36" fillId="4" borderId="28" xfId="0" applyNumberFormat="1" applyFont="1" applyFill="1" applyBorder="1" applyAlignment="1">
      <alignment horizontal="center"/>
    </xf>
    <xf numFmtId="178" fontId="36" fillId="4" borderId="4" xfId="0" applyNumberFormat="1" applyFont="1" applyFill="1" applyBorder="1" applyAlignment="1">
      <alignment horizontal="center"/>
    </xf>
    <xf numFmtId="165" fontId="42" fillId="0" borderId="2" xfId="0" applyNumberFormat="1" applyFont="1" applyBorder="1"/>
    <xf numFmtId="2" fontId="22" fillId="4" borderId="4" xfId="0" applyNumberFormat="1" applyFont="1" applyFill="1" applyBorder="1" applyAlignment="1">
      <alignment horizontal="center"/>
    </xf>
    <xf numFmtId="178" fontId="20" fillId="0" borderId="0" xfId="0" applyNumberFormat="1" applyFont="1"/>
    <xf numFmtId="178" fontId="23" fillId="0" borderId="4" xfId="0" applyNumberFormat="1" applyFont="1" applyBorder="1"/>
    <xf numFmtId="178" fontId="23" fillId="0" borderId="2" xfId="0" applyNumberFormat="1" applyFont="1" applyBorder="1"/>
    <xf numFmtId="165" fontId="24" fillId="0" borderId="1" xfId="5" applyNumberFormat="1" applyFont="1" applyBorder="1" applyAlignment="1">
      <alignment horizontal="center"/>
    </xf>
    <xf numFmtId="165" fontId="24" fillId="0" borderId="0" xfId="5" applyNumberFormat="1" applyFont="1" applyAlignment="1">
      <alignment horizontal="center"/>
    </xf>
    <xf numFmtId="167" fontId="24" fillId="0" borderId="0" xfId="5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10" fontId="23" fillId="0" borderId="1" xfId="5" applyNumberFormat="1" applyFont="1" applyBorder="1"/>
    <xf numFmtId="165" fontId="23" fillId="0" borderId="2" xfId="5" applyNumberFormat="1" applyFont="1" applyBorder="1"/>
    <xf numFmtId="165" fontId="22" fillId="0" borderId="0" xfId="5" applyNumberFormat="1" applyFont="1"/>
    <xf numFmtId="165" fontId="24" fillId="0" borderId="28" xfId="5" applyNumberFormat="1" applyFont="1" applyBorder="1" applyAlignment="1">
      <alignment horizontal="center"/>
    </xf>
    <xf numFmtId="167" fontId="24" fillId="0" borderId="28" xfId="5" applyNumberFormat="1" applyFont="1" applyBorder="1" applyAlignment="1">
      <alignment horizontal="center"/>
    </xf>
    <xf numFmtId="164" fontId="24" fillId="0" borderId="28" xfId="0" applyNumberFormat="1" applyFont="1" applyBorder="1" applyAlignment="1">
      <alignment horizontal="center"/>
    </xf>
    <xf numFmtId="10" fontId="19" fillId="0" borderId="8" xfId="0" applyNumberFormat="1" applyFont="1" applyBorder="1"/>
    <xf numFmtId="165" fontId="23" fillId="0" borderId="2" xfId="0" applyNumberFormat="1" applyFont="1" applyBorder="1"/>
    <xf numFmtId="179" fontId="20" fillId="0" borderId="0" xfId="0" applyNumberFormat="1" applyFont="1"/>
    <xf numFmtId="1" fontId="22" fillId="4" borderId="2" xfId="2" applyNumberFormat="1" applyFont="1" applyFill="1" applyBorder="1" applyAlignment="1">
      <alignment horizontal="center"/>
    </xf>
    <xf numFmtId="0" fontId="21" fillId="0" borderId="3" xfId="2" applyFont="1" applyBorder="1" applyAlignment="1"/>
    <xf numFmtId="0" fontId="22" fillId="0" borderId="11" xfId="0" applyFont="1" applyBorder="1" applyAlignment="1">
      <alignment horizontal="center"/>
    </xf>
    <xf numFmtId="0" fontId="22" fillId="0" borderId="9" xfId="0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0" fillId="0" borderId="11" xfId="2" applyFont="1" applyBorder="1" applyAlignment="1">
      <alignment horizontal="center"/>
    </xf>
    <xf numFmtId="0" fontId="21" fillId="0" borderId="12" xfId="2" applyFont="1" applyBorder="1" applyAlignment="1"/>
    <xf numFmtId="178" fontId="43" fillId="4" borderId="2" xfId="0" applyNumberFormat="1" applyFont="1" applyFill="1" applyBorder="1" applyAlignment="1">
      <alignment horizontal="center"/>
    </xf>
    <xf numFmtId="0" fontId="43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2" fillId="0" borderId="4" xfId="0" applyNumberFormat="1" applyFont="1" applyBorder="1" applyAlignment="1">
      <alignment horizontal="center"/>
    </xf>
    <xf numFmtId="10" fontId="20" fillId="0" borderId="0" xfId="0" applyNumberFormat="1" applyFont="1" applyAlignment="1">
      <alignment horizontal="center"/>
    </xf>
    <xf numFmtId="0" fontId="25" fillId="4" borderId="8" xfId="0" applyFont="1" applyFill="1" applyBorder="1"/>
    <xf numFmtId="0" fontId="25" fillId="4" borderId="2" xfId="0" applyFont="1" applyFill="1" applyBorder="1"/>
    <xf numFmtId="0" fontId="25" fillId="2" borderId="2" xfId="0" applyFont="1" applyFill="1" applyBorder="1" applyAlignment="1">
      <alignment horizontal="center"/>
    </xf>
    <xf numFmtId="178" fontId="36" fillId="4" borderId="2" xfId="0" applyNumberFormat="1" applyFont="1" applyFill="1" applyBorder="1" applyAlignment="1">
      <alignment horizontal="center"/>
    </xf>
    <xf numFmtId="177" fontId="36" fillId="4" borderId="2" xfId="0" applyNumberFormat="1" applyFont="1" applyFill="1" applyBorder="1" applyAlignment="1">
      <alignment horizontal="center"/>
    </xf>
    <xf numFmtId="165" fontId="43" fillId="0" borderId="10" xfId="5" applyNumberFormat="1" applyFont="1" applyBorder="1" applyAlignment="1">
      <alignment horizontal="center"/>
    </xf>
    <xf numFmtId="0" fontId="43" fillId="4" borderId="0" xfId="0" applyFont="1" applyFill="1" applyAlignment="1">
      <alignment horizontal="center"/>
    </xf>
    <xf numFmtId="0" fontId="43" fillId="4" borderId="0" xfId="0" applyFont="1" applyFill="1" applyAlignment="1">
      <alignment horizontal="right"/>
    </xf>
    <xf numFmtId="2" fontId="24" fillId="4" borderId="0" xfId="1" quotePrefix="1" applyNumberFormat="1" applyFont="1" applyFill="1" applyAlignment="1">
      <alignment horizontal="center"/>
    </xf>
    <xf numFmtId="0" fontId="44" fillId="4" borderId="23" xfId="5" quotePrefix="1" applyNumberFormat="1" applyFont="1" applyFill="1" applyBorder="1" applyAlignment="1">
      <alignment horizontal="center"/>
    </xf>
    <xf numFmtId="0" fontId="44" fillId="4" borderId="0" xfId="5" quotePrefix="1" applyNumberFormat="1" applyFont="1" applyFill="1" applyAlignment="1">
      <alignment horizontal="center"/>
    </xf>
    <xf numFmtId="0" fontId="44" fillId="4" borderId="0" xfId="0" quotePrefix="1" applyFont="1" applyFill="1" applyAlignment="1">
      <alignment horizontal="center"/>
    </xf>
    <xf numFmtId="0" fontId="44" fillId="4" borderId="0" xfId="5" applyNumberFormat="1" applyFont="1" applyFill="1" applyAlignment="1">
      <alignment horizontal="center"/>
    </xf>
    <xf numFmtId="167" fontId="24" fillId="0" borderId="1" xfId="5" applyNumberFormat="1" applyFont="1" applyBorder="1" applyAlignment="1">
      <alignment horizontal="center"/>
    </xf>
    <xf numFmtId="170" fontId="33" fillId="0" borderId="0" xfId="1" applyNumberFormat="1" applyFont="1"/>
    <xf numFmtId="170" fontId="33" fillId="0" borderId="0" xfId="0" applyNumberFormat="1" applyFont="1"/>
    <xf numFmtId="0" fontId="33" fillId="0" borderId="0" xfId="0" applyFont="1"/>
    <xf numFmtId="1" fontId="20" fillId="0" borderId="0" xfId="0" applyNumberFormat="1" applyFont="1"/>
    <xf numFmtId="10" fontId="33" fillId="0" borderId="0" xfId="0" applyNumberFormat="1" applyFont="1" applyAlignment="1">
      <alignment horizontal="right"/>
    </xf>
    <xf numFmtId="10" fontId="33" fillId="0" borderId="0" xfId="0" applyNumberFormat="1" applyFont="1"/>
    <xf numFmtId="180" fontId="24" fillId="0" borderId="28" xfId="5" applyNumberFormat="1" applyFont="1" applyBorder="1" applyAlignment="1">
      <alignment horizontal="center"/>
    </xf>
    <xf numFmtId="15" fontId="32" fillId="3" borderId="12" xfId="0" applyNumberFormat="1" applyFont="1" applyFill="1" applyBorder="1" applyAlignment="1">
      <alignment horizontal="center"/>
    </xf>
    <xf numFmtId="178" fontId="24" fillId="4" borderId="0" xfId="1" quotePrefix="1" applyNumberFormat="1" applyFont="1" applyFill="1" applyAlignment="1">
      <alignment horizontal="center"/>
    </xf>
    <xf numFmtId="181" fontId="0" fillId="0" borderId="0" xfId="0" applyNumberFormat="1"/>
    <xf numFmtId="181" fontId="22" fillId="5" borderId="4" xfId="0" applyNumberFormat="1" applyFont="1" applyFill="1" applyBorder="1" applyAlignment="1">
      <alignment horizontal="center"/>
    </xf>
    <xf numFmtId="0" fontId="25" fillId="2" borderId="7" xfId="0" applyFont="1" applyFill="1" applyBorder="1" applyAlignment="1">
      <alignment horizontal="center"/>
    </xf>
    <xf numFmtId="177" fontId="24" fillId="4" borderId="23" xfId="1" quotePrefix="1" applyNumberFormat="1" applyFont="1" applyFill="1" applyBorder="1" applyAlignment="1">
      <alignment horizontal="center"/>
    </xf>
    <xf numFmtId="0" fontId="25" fillId="2" borderId="7" xfId="0" applyFont="1" applyFill="1" applyBorder="1"/>
    <xf numFmtId="0" fontId="25" fillId="2" borderId="1" xfId="0" applyFont="1" applyFill="1" applyBorder="1"/>
    <xf numFmtId="177" fontId="0" fillId="0" borderId="0" xfId="0" applyNumberFormat="1"/>
    <xf numFmtId="0" fontId="25" fillId="2" borderId="5" xfId="0" applyFont="1" applyFill="1" applyBorder="1"/>
    <xf numFmtId="0" fontId="23" fillId="0" borderId="0" xfId="2" applyFont="1" applyAlignment="1">
      <alignment horizontal="center"/>
    </xf>
    <xf numFmtId="182" fontId="20" fillId="0" borderId="0" xfId="2" applyNumberFormat="1" applyFont="1" applyAlignment="1">
      <alignment horizontal="center"/>
    </xf>
    <xf numFmtId="0" fontId="33" fillId="0" borderId="9" xfId="2" applyFont="1" applyBorder="1" applyAlignment="1">
      <alignment horizontal="left"/>
    </xf>
    <xf numFmtId="0" fontId="20" fillId="7" borderId="0" xfId="2" applyFont="1" applyFill="1" applyAlignment="1"/>
    <xf numFmtId="178" fontId="20" fillId="7" borderId="0" xfId="2" applyNumberFormat="1" applyFont="1" applyFill="1" applyAlignment="1"/>
    <xf numFmtId="0" fontId="25" fillId="2" borderId="12" xfId="0" applyFont="1" applyFill="1" applyBorder="1" applyAlignment="1">
      <alignment horizontal="center"/>
    </xf>
    <xf numFmtId="0" fontId="25" fillId="2" borderId="9" xfId="0" applyFont="1" applyFill="1" applyBorder="1" applyAlignment="1">
      <alignment horizontal="center"/>
    </xf>
    <xf numFmtId="0" fontId="25" fillId="2" borderId="12" xfId="0" applyFont="1" applyFill="1" applyBorder="1"/>
    <xf numFmtId="0" fontId="37" fillId="8" borderId="0" xfId="0" applyFont="1" applyFill="1"/>
    <xf numFmtId="0" fontId="0" fillId="8" borderId="0" xfId="0" applyFill="1"/>
    <xf numFmtId="0" fontId="38" fillId="8" borderId="0" xfId="0" applyFont="1" applyFill="1" applyAlignment="1">
      <alignment horizontal="left" vertical="center" indent="1"/>
    </xf>
    <xf numFmtId="0" fontId="39" fillId="8" borderId="0" xfId="0" applyFont="1" applyFill="1" applyAlignment="1">
      <alignment horizontal="left" indent="1"/>
    </xf>
    <xf numFmtId="0" fontId="20" fillId="4" borderId="10" xfId="0" applyFont="1" applyFill="1" applyBorder="1"/>
    <xf numFmtId="0" fontId="25" fillId="2" borderId="14" xfId="0" applyFont="1" applyFill="1" applyBorder="1"/>
    <xf numFmtId="0" fontId="20" fillId="4" borderId="9" xfId="0" applyFont="1" applyFill="1" applyBorder="1"/>
    <xf numFmtId="177" fontId="46" fillId="4" borderId="1" xfId="0" applyNumberFormat="1" applyFont="1" applyFill="1" applyBorder="1"/>
    <xf numFmtId="177" fontId="46" fillId="4" borderId="7" xfId="0" applyNumberFormat="1" applyFont="1" applyFill="1" applyBorder="1"/>
    <xf numFmtId="177" fontId="46" fillId="4" borderId="23" xfId="0" applyNumberFormat="1" applyFont="1" applyFill="1" applyBorder="1"/>
    <xf numFmtId="177" fontId="46" fillId="4" borderId="8" xfId="0" applyNumberFormat="1" applyFont="1" applyFill="1" applyBorder="1"/>
    <xf numFmtId="177" fontId="46" fillId="4" borderId="2" xfId="0" applyNumberFormat="1" applyFont="1" applyFill="1" applyBorder="1"/>
    <xf numFmtId="177" fontId="46" fillId="4" borderId="3" xfId="0" applyNumberFormat="1" applyFont="1" applyFill="1" applyBorder="1"/>
    <xf numFmtId="177" fontId="46" fillId="4" borderId="28" xfId="0" applyNumberFormat="1" applyFont="1" applyFill="1" applyBorder="1"/>
    <xf numFmtId="177" fontId="46" fillId="4" borderId="4" xfId="0" applyNumberFormat="1" applyFont="1" applyFill="1" applyBorder="1"/>
    <xf numFmtId="177" fontId="46" fillId="4" borderId="10" xfId="0" applyNumberFormat="1" applyFont="1" applyFill="1" applyBorder="1"/>
    <xf numFmtId="0" fontId="33" fillId="4" borderId="10" xfId="0" applyFont="1" applyFill="1" applyBorder="1" applyAlignment="1">
      <alignment horizontal="left"/>
    </xf>
    <xf numFmtId="0" fontId="33" fillId="4" borderId="11" xfId="0" applyFont="1" applyFill="1" applyBorder="1" applyAlignment="1">
      <alignment horizontal="left"/>
    </xf>
    <xf numFmtId="177" fontId="47" fillId="4" borderId="1" xfId="0" applyNumberFormat="1" applyFont="1" applyFill="1" applyBorder="1"/>
    <xf numFmtId="177" fontId="47" fillId="4" borderId="2" xfId="0" applyNumberFormat="1" applyFont="1" applyFill="1" applyBorder="1"/>
    <xf numFmtId="177" fontId="47" fillId="4" borderId="3" xfId="0" applyNumberFormat="1" applyFont="1" applyFill="1" applyBorder="1"/>
    <xf numFmtId="177" fontId="47" fillId="4" borderId="28" xfId="0" applyNumberFormat="1" applyFont="1" applyFill="1" applyBorder="1"/>
    <xf numFmtId="177" fontId="47" fillId="4" borderId="4" xfId="0" applyNumberFormat="1" applyFont="1" applyFill="1" applyBorder="1"/>
    <xf numFmtId="0" fontId="25" fillId="2" borderId="14" xfId="0" applyFont="1" applyFill="1" applyBorder="1" applyAlignment="1">
      <alignment horizontal="center"/>
    </xf>
    <xf numFmtId="174" fontId="0" fillId="0" borderId="0" xfId="0" applyNumberFormat="1"/>
    <xf numFmtId="177" fontId="47" fillId="4" borderId="7" xfId="0" applyNumberFormat="1" applyFont="1" applyFill="1" applyBorder="1"/>
    <xf numFmtId="177" fontId="47" fillId="4" borderId="23" xfId="0" applyNumberFormat="1" applyFont="1" applyFill="1" applyBorder="1"/>
    <xf numFmtId="177" fontId="47" fillId="4" borderId="8" xfId="0" applyNumberFormat="1" applyFont="1" applyFill="1" applyBorder="1"/>
    <xf numFmtId="167" fontId="47" fillId="4" borderId="1" xfId="0" applyNumberFormat="1" applyFont="1" applyFill="1" applyBorder="1"/>
    <xf numFmtId="167" fontId="47" fillId="4" borderId="3" xfId="0" applyNumberFormat="1" applyFont="1" applyFill="1" applyBorder="1"/>
    <xf numFmtId="167" fontId="47" fillId="4" borderId="28" xfId="0" applyNumberFormat="1" applyFont="1" applyFill="1" applyBorder="1"/>
    <xf numFmtId="9" fontId="22" fillId="0" borderId="4" xfId="0" applyNumberFormat="1" applyFont="1" applyBorder="1" applyAlignment="1">
      <alignment horizontal="center"/>
    </xf>
    <xf numFmtId="10" fontId="22" fillId="0" borderId="3" xfId="1" applyNumberFormat="1" applyFont="1" applyBorder="1" applyAlignment="1">
      <alignment horizontal="center"/>
    </xf>
    <xf numFmtId="10" fontId="22" fillId="0" borderId="28" xfId="1" applyNumberFormat="1" applyFont="1" applyBorder="1" applyAlignment="1">
      <alignment horizontal="center"/>
    </xf>
    <xf numFmtId="10" fontId="24" fillId="0" borderId="3" xfId="1" applyNumberFormat="1" applyFont="1" applyBorder="1"/>
    <xf numFmtId="10" fontId="24" fillId="0" borderId="28" xfId="1" applyNumberFormat="1" applyFont="1" applyBorder="1"/>
    <xf numFmtId="10" fontId="24" fillId="0" borderId="4" xfId="1" applyNumberFormat="1" applyFont="1" applyBorder="1"/>
    <xf numFmtId="178" fontId="20" fillId="0" borderId="0" xfId="2" applyNumberFormat="1" applyFont="1" applyAlignment="1">
      <alignment horizontal="center"/>
    </xf>
    <xf numFmtId="10" fontId="20" fillId="0" borderId="0" xfId="0" applyNumberFormat="1" applyFont="1" applyAlignment="1">
      <alignment horizontal="right"/>
    </xf>
    <xf numFmtId="0" fontId="33" fillId="4" borderId="1" xfId="0" applyFont="1" applyFill="1" applyBorder="1"/>
    <xf numFmtId="0" fontId="33" fillId="4" borderId="0" xfId="0" applyFont="1" applyFill="1"/>
    <xf numFmtId="0" fontId="33" fillId="4" borderId="2" xfId="0" applyFont="1" applyFill="1" applyBorder="1"/>
    <xf numFmtId="0" fontId="33" fillId="4" borderId="3" xfId="0" applyFont="1" applyFill="1" applyBorder="1"/>
    <xf numFmtId="0" fontId="33" fillId="4" borderId="28" xfId="0" applyFont="1" applyFill="1" applyBorder="1"/>
    <xf numFmtId="0" fontId="33" fillId="4" borderId="4" xfId="0" applyFont="1" applyFill="1" applyBorder="1"/>
    <xf numFmtId="14" fontId="33" fillId="4" borderId="2" xfId="0" applyNumberFormat="1" applyFont="1" applyFill="1" applyBorder="1"/>
    <xf numFmtId="14" fontId="33" fillId="4" borderId="4" xfId="0" applyNumberFormat="1" applyFont="1" applyFill="1" applyBorder="1"/>
    <xf numFmtId="10" fontId="33" fillId="4" borderId="0" xfId="0" applyNumberFormat="1" applyFont="1" applyFill="1"/>
    <xf numFmtId="10" fontId="33" fillId="4" borderId="28" xfId="0" applyNumberFormat="1" applyFont="1" applyFill="1" applyBorder="1"/>
    <xf numFmtId="9" fontId="33" fillId="4" borderId="0" xfId="0" applyNumberFormat="1" applyFont="1" applyFill="1"/>
    <xf numFmtId="9" fontId="33" fillId="4" borderId="28" xfId="0" applyNumberFormat="1" applyFont="1" applyFill="1" applyBorder="1"/>
    <xf numFmtId="0" fontId="33" fillId="4" borderId="7" xfId="0" applyFont="1" applyFill="1" applyBorder="1"/>
    <xf numFmtId="0" fontId="33" fillId="4" borderId="23" xfId="0" applyFont="1" applyFill="1" applyBorder="1"/>
    <xf numFmtId="10" fontId="33" fillId="4" borderId="23" xfId="0" applyNumberFormat="1" applyFont="1" applyFill="1" applyBorder="1"/>
    <xf numFmtId="9" fontId="33" fillId="4" borderId="23" xfId="0" applyNumberFormat="1" applyFont="1" applyFill="1" applyBorder="1"/>
    <xf numFmtId="0" fontId="33" fillId="4" borderId="8" xfId="0" applyFont="1" applyFill="1" applyBorder="1"/>
    <xf numFmtId="0" fontId="33" fillId="4" borderId="47" xfId="0" applyFont="1" applyFill="1" applyBorder="1"/>
    <xf numFmtId="0" fontId="33" fillId="4" borderId="13" xfId="0" applyFont="1" applyFill="1" applyBorder="1"/>
    <xf numFmtId="10" fontId="33" fillId="4" borderId="13" xfId="0" applyNumberFormat="1" applyFont="1" applyFill="1" applyBorder="1"/>
    <xf numFmtId="9" fontId="33" fillId="4" borderId="13" xfId="0" applyNumberFormat="1" applyFont="1" applyFill="1" applyBorder="1"/>
    <xf numFmtId="0" fontId="33" fillId="4" borderId="48" xfId="0" applyFont="1" applyFill="1" applyBorder="1"/>
    <xf numFmtId="0" fontId="33" fillId="4" borderId="49" xfId="0" applyFont="1" applyFill="1" applyBorder="1"/>
    <xf numFmtId="0" fontId="33" fillId="4" borderId="50" xfId="0" applyFont="1" applyFill="1" applyBorder="1"/>
    <xf numFmtId="10" fontId="33" fillId="4" borderId="50" xfId="0" applyNumberFormat="1" applyFont="1" applyFill="1" applyBorder="1"/>
    <xf numFmtId="9" fontId="33" fillId="4" borderId="50" xfId="0" applyNumberFormat="1" applyFont="1" applyFill="1" applyBorder="1"/>
    <xf numFmtId="0" fontId="33" fillId="4" borderId="51" xfId="0" applyFont="1" applyFill="1" applyBorder="1"/>
    <xf numFmtId="14" fontId="33" fillId="4" borderId="8" xfId="0" applyNumberFormat="1" applyFont="1" applyFill="1" applyBorder="1"/>
    <xf numFmtId="14" fontId="33" fillId="4" borderId="48" xfId="0" applyNumberFormat="1" applyFont="1" applyFill="1" applyBorder="1"/>
    <xf numFmtId="14" fontId="33" fillId="4" borderId="51" xfId="0" applyNumberFormat="1" applyFont="1" applyFill="1" applyBorder="1"/>
    <xf numFmtId="167" fontId="20" fillId="4" borderId="0" xfId="0" applyNumberFormat="1" applyFont="1" applyFill="1"/>
    <xf numFmtId="10" fontId="0" fillId="0" borderId="0" xfId="0" applyNumberFormat="1"/>
    <xf numFmtId="0" fontId="22" fillId="0" borderId="23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0" fillId="0" borderId="5" xfId="0" applyFont="1" applyBorder="1"/>
    <xf numFmtId="0" fontId="26" fillId="3" borderId="11" xfId="0" applyFont="1" applyFill="1" applyBorder="1" applyAlignment="1">
      <alignment horizontal="center" vertical="center" wrapText="1"/>
    </xf>
    <xf numFmtId="0" fontId="26" fillId="3" borderId="6" xfId="0" applyFont="1" applyFill="1" applyBorder="1" applyAlignment="1">
      <alignment horizontal="center" vertical="center" wrapText="1"/>
    </xf>
    <xf numFmtId="0" fontId="22" fillId="0" borderId="28" xfId="0" applyFont="1" applyBorder="1" applyAlignment="1">
      <alignment horizontal="center"/>
    </xf>
    <xf numFmtId="165" fontId="24" fillId="0" borderId="24" xfId="3" applyNumberFormat="1" applyFont="1" applyBorder="1" applyAlignment="1">
      <alignment horizontal="center"/>
    </xf>
    <xf numFmtId="165" fontId="24" fillId="0" borderId="31" xfId="3" applyNumberFormat="1" applyFont="1" applyBorder="1" applyAlignment="1">
      <alignment horizontal="center"/>
    </xf>
    <xf numFmtId="165" fontId="24" fillId="0" borderId="29" xfId="3" applyNumberFormat="1" applyFont="1" applyBorder="1" applyAlignment="1">
      <alignment horizontal="center"/>
    </xf>
    <xf numFmtId="165" fontId="24" fillId="0" borderId="26" xfId="3" applyNumberFormat="1" applyFont="1" applyBorder="1" applyAlignment="1">
      <alignment horizontal="center"/>
    </xf>
    <xf numFmtId="165" fontId="24" fillId="0" borderId="32" xfId="3" applyNumberFormat="1" applyFont="1" applyBorder="1" applyAlignment="1">
      <alignment horizontal="center"/>
    </xf>
    <xf numFmtId="165" fontId="24" fillId="0" borderId="30" xfId="3" applyNumberFormat="1" applyFont="1" applyBorder="1" applyAlignment="1">
      <alignment horizontal="center"/>
    </xf>
    <xf numFmtId="165" fontId="24" fillId="0" borderId="18" xfId="3" applyNumberFormat="1" applyFont="1" applyBorder="1" applyAlignment="1">
      <alignment horizontal="center"/>
    </xf>
    <xf numFmtId="165" fontId="24" fillId="0" borderId="33" xfId="3" applyNumberFormat="1" applyFont="1" applyBorder="1" applyAlignment="1">
      <alignment horizontal="center"/>
    </xf>
    <xf numFmtId="165" fontId="24" fillId="0" borderId="20" xfId="3" applyNumberFormat="1" applyFont="1" applyBorder="1" applyAlignment="1">
      <alignment horizontal="center"/>
    </xf>
    <xf numFmtId="14" fontId="22" fillId="4" borderId="4" xfId="2" applyNumberFormat="1" applyFont="1" applyFill="1" applyBorder="1" applyAlignment="1">
      <alignment horizontal="center"/>
    </xf>
    <xf numFmtId="177" fontId="20" fillId="4" borderId="0" xfId="0" applyNumberFormat="1" applyFont="1" applyFill="1"/>
    <xf numFmtId="9" fontId="20" fillId="4" borderId="0" xfId="1" applyFont="1" applyFill="1"/>
    <xf numFmtId="183" fontId="0" fillId="0" borderId="0" xfId="7" applyNumberFormat="1" applyFont="1"/>
    <xf numFmtId="164" fontId="20" fillId="0" borderId="0" xfId="2" applyNumberFormat="1" applyFont="1" applyAlignment="1">
      <alignment horizontal="center"/>
    </xf>
    <xf numFmtId="183" fontId="20" fillId="0" borderId="0" xfId="2" applyNumberFormat="1" applyFont="1" applyAlignment="1">
      <alignment horizontal="center"/>
    </xf>
    <xf numFmtId="167" fontId="20" fillId="0" borderId="0" xfId="2" applyNumberFormat="1" applyFont="1" applyAlignment="1">
      <alignment horizontal="center"/>
    </xf>
    <xf numFmtId="167" fontId="20" fillId="0" borderId="0" xfId="1" applyNumberFormat="1" applyFont="1" applyAlignment="1">
      <alignment horizontal="center"/>
    </xf>
    <xf numFmtId="2" fontId="33" fillId="4" borderId="8" xfId="0" applyNumberFormat="1" applyFont="1" applyFill="1" applyBorder="1"/>
    <xf numFmtId="2" fontId="33" fillId="4" borderId="2" xfId="0" applyNumberFormat="1" applyFont="1" applyFill="1" applyBorder="1"/>
    <xf numFmtId="2" fontId="33" fillId="4" borderId="4" xfId="0" applyNumberFormat="1" applyFont="1" applyFill="1" applyBorder="1"/>
    <xf numFmtId="10" fontId="33" fillId="4" borderId="9" xfId="0" applyNumberFormat="1" applyFont="1" applyFill="1" applyBorder="1"/>
    <xf numFmtId="10" fontId="33" fillId="4" borderId="10" xfId="0" applyNumberFormat="1" applyFont="1" applyFill="1" applyBorder="1"/>
    <xf numFmtId="10" fontId="33" fillId="4" borderId="11" xfId="0" applyNumberFormat="1" applyFont="1" applyFill="1" applyBorder="1"/>
    <xf numFmtId="2" fontId="20" fillId="4" borderId="0" xfId="0" applyNumberFormat="1" applyFont="1" applyFill="1"/>
    <xf numFmtId="167" fontId="44" fillId="4" borderId="0" xfId="0" applyNumberFormat="1" applyFont="1" applyFill="1"/>
    <xf numFmtId="167" fontId="47" fillId="4" borderId="0" xfId="0" applyNumberFormat="1" applyFont="1" applyFill="1"/>
    <xf numFmtId="0" fontId="25" fillId="2" borderId="6" xfId="0" applyFont="1" applyFill="1" applyBorder="1"/>
    <xf numFmtId="167" fontId="44" fillId="4" borderId="2" xfId="0" applyNumberFormat="1" applyFont="1" applyFill="1" applyBorder="1"/>
    <xf numFmtId="167" fontId="44" fillId="4" borderId="28" xfId="0" applyNumberFormat="1" applyFont="1" applyFill="1" applyBorder="1"/>
    <xf numFmtId="177" fontId="47" fillId="4" borderId="0" xfId="0" applyNumberFormat="1" applyFont="1" applyFill="1"/>
    <xf numFmtId="167" fontId="20" fillId="4" borderId="28" xfId="0" applyNumberFormat="1" applyFont="1" applyFill="1" applyBorder="1"/>
    <xf numFmtId="10" fontId="46" fillId="4" borderId="10" xfId="0" applyNumberFormat="1" applyFont="1" applyFill="1" applyBorder="1"/>
    <xf numFmtId="10" fontId="46" fillId="4" borderId="9" xfId="0" applyNumberFormat="1" applyFont="1" applyFill="1" applyBorder="1"/>
    <xf numFmtId="10" fontId="46" fillId="4" borderId="11" xfId="0" applyNumberFormat="1" applyFont="1" applyFill="1" applyBorder="1"/>
    <xf numFmtId="1" fontId="46" fillId="4" borderId="9" xfId="0" applyNumberFormat="1" applyFont="1" applyFill="1" applyBorder="1"/>
    <xf numFmtId="1" fontId="46" fillId="4" borderId="10" xfId="0" applyNumberFormat="1" applyFont="1" applyFill="1" applyBorder="1"/>
    <xf numFmtId="1" fontId="46" fillId="4" borderId="11" xfId="0" applyNumberFormat="1" applyFont="1" applyFill="1" applyBorder="1"/>
    <xf numFmtId="1" fontId="33" fillId="4" borderId="23" xfId="0" applyNumberFormat="1" applyFont="1" applyFill="1" applyBorder="1"/>
    <xf numFmtId="1" fontId="33" fillId="4" borderId="0" xfId="0" applyNumberFormat="1" applyFont="1" applyFill="1"/>
    <xf numFmtId="1" fontId="33" fillId="4" borderId="13" xfId="0" applyNumberFormat="1" applyFont="1" applyFill="1" applyBorder="1"/>
    <xf numFmtId="10" fontId="46" fillId="4" borderId="53" xfId="0" applyNumberFormat="1" applyFont="1" applyFill="1" applyBorder="1"/>
    <xf numFmtId="1" fontId="46" fillId="4" borderId="53" xfId="0" applyNumberFormat="1" applyFont="1" applyFill="1" applyBorder="1"/>
    <xf numFmtId="10" fontId="46" fillId="4" borderId="54" xfId="0" applyNumberFormat="1" applyFont="1" applyFill="1" applyBorder="1"/>
    <xf numFmtId="1" fontId="46" fillId="4" borderId="54" xfId="0" applyNumberFormat="1" applyFont="1" applyFill="1" applyBorder="1"/>
    <xf numFmtId="10" fontId="46" fillId="4" borderId="52" xfId="0" applyNumberFormat="1" applyFont="1" applyFill="1" applyBorder="1"/>
    <xf numFmtId="1" fontId="46" fillId="4" borderId="52" xfId="0" applyNumberFormat="1" applyFont="1" applyFill="1" applyBorder="1"/>
    <xf numFmtId="1" fontId="33" fillId="4" borderId="50" xfId="0" applyNumberFormat="1" applyFont="1" applyFill="1" applyBorder="1"/>
    <xf numFmtId="1" fontId="33" fillId="4" borderId="28" xfId="0" applyNumberFormat="1" applyFont="1" applyFill="1" applyBorder="1"/>
    <xf numFmtId="10" fontId="33" fillId="4" borderId="0" xfId="1" applyNumberFormat="1" applyFont="1" applyFill="1"/>
    <xf numFmtId="14" fontId="31" fillId="0" borderId="12" xfId="0" applyNumberFormat="1" applyFont="1" applyBorder="1"/>
    <xf numFmtId="10" fontId="20" fillId="4" borderId="0" xfId="0" applyNumberFormat="1" applyFont="1" applyFill="1"/>
    <xf numFmtId="10" fontId="33" fillId="4" borderId="8" xfId="0" applyNumberFormat="1" applyFont="1" applyFill="1" applyBorder="1"/>
    <xf numFmtId="10" fontId="33" fillId="4" borderId="2" xfId="0" applyNumberFormat="1" applyFont="1" applyFill="1" applyBorder="1"/>
    <xf numFmtId="10" fontId="33" fillId="4" borderId="48" xfId="0" applyNumberFormat="1" applyFont="1" applyFill="1" applyBorder="1"/>
    <xf numFmtId="10" fontId="33" fillId="4" borderId="51" xfId="0" applyNumberFormat="1" applyFont="1" applyFill="1" applyBorder="1"/>
    <xf numFmtId="10" fontId="33" fillId="4" borderId="4" xfId="0" applyNumberFormat="1" applyFont="1" applyFill="1" applyBorder="1"/>
    <xf numFmtId="167" fontId="36" fillId="4" borderId="23" xfId="0" applyNumberFormat="1" applyFont="1" applyFill="1" applyBorder="1" applyAlignment="1">
      <alignment horizontal="center"/>
    </xf>
    <xf numFmtId="167" fontId="36" fillId="4" borderId="0" xfId="5" applyNumberFormat="1" applyFont="1" applyFill="1" applyAlignment="1">
      <alignment horizontal="center"/>
    </xf>
    <xf numFmtId="184" fontId="20" fillId="0" borderId="0" xfId="7" applyNumberFormat="1" applyFont="1" applyAlignment="1">
      <alignment horizontal="center"/>
    </xf>
    <xf numFmtId="10" fontId="22" fillId="0" borderId="2" xfId="0" applyNumberFormat="1" applyFont="1" applyBorder="1" applyAlignment="1">
      <alignment horizontal="center"/>
    </xf>
    <xf numFmtId="2" fontId="0" fillId="0" borderId="0" xfId="0" applyNumberFormat="1"/>
    <xf numFmtId="185" fontId="0" fillId="0" borderId="0" xfId="0" applyNumberFormat="1"/>
    <xf numFmtId="179" fontId="0" fillId="0" borderId="0" xfId="0" applyNumberFormat="1"/>
    <xf numFmtId="177" fontId="47" fillId="4" borderId="12" xfId="0" applyNumberFormat="1" applyFont="1" applyFill="1" applyBorder="1"/>
    <xf numFmtId="177" fontId="44" fillId="3" borderId="1" xfId="0" applyNumberFormat="1" applyFont="1" applyFill="1" applyBorder="1"/>
    <xf numFmtId="167" fontId="47" fillId="9" borderId="12" xfId="0" applyNumberFormat="1" applyFont="1" applyFill="1" applyBorder="1"/>
    <xf numFmtId="177" fontId="47" fillId="4" borderId="9" xfId="0" applyNumberFormat="1" applyFont="1" applyFill="1" applyBorder="1"/>
    <xf numFmtId="0" fontId="20" fillId="9" borderId="14" xfId="0" applyFont="1" applyFill="1" applyBorder="1"/>
    <xf numFmtId="167" fontId="47" fillId="3" borderId="0" xfId="0" applyNumberFormat="1" applyFont="1" applyFill="1"/>
    <xf numFmtId="0" fontId="20" fillId="9" borderId="12" xfId="0" applyFont="1" applyFill="1" applyBorder="1"/>
    <xf numFmtId="0" fontId="20" fillId="9" borderId="23" xfId="0" applyFont="1" applyFill="1" applyBorder="1"/>
    <xf numFmtId="0" fontId="20" fillId="9" borderId="6" xfId="0" applyFont="1" applyFill="1" applyBorder="1"/>
    <xf numFmtId="177" fontId="47" fillId="4" borderId="5" xfId="0" applyNumberFormat="1" applyFont="1" applyFill="1" applyBorder="1"/>
    <xf numFmtId="0" fontId="20" fillId="4" borderId="1" xfId="0" applyFont="1" applyFill="1" applyBorder="1"/>
    <xf numFmtId="0" fontId="20" fillId="4" borderId="2" xfId="0" applyFont="1" applyFill="1" applyBorder="1"/>
    <xf numFmtId="167" fontId="47" fillId="4" borderId="2" xfId="0" applyNumberFormat="1" applyFont="1" applyFill="1" applyBorder="1"/>
    <xf numFmtId="167" fontId="47" fillId="4" borderId="4" xfId="0" applyNumberFormat="1" applyFont="1" applyFill="1" applyBorder="1"/>
    <xf numFmtId="167" fontId="44" fillId="4" borderId="4" xfId="0" applyNumberFormat="1" applyFont="1" applyFill="1" applyBorder="1"/>
    <xf numFmtId="10" fontId="33" fillId="4" borderId="11" xfId="0" applyNumberFormat="1" applyFont="1" applyFill="1" applyBorder="1" applyAlignment="1">
      <alignment horizontal="center"/>
    </xf>
    <xf numFmtId="0" fontId="33" fillId="4" borderId="9" xfId="0" applyFont="1" applyFill="1" applyBorder="1" applyAlignment="1">
      <alignment horizontal="center"/>
    </xf>
    <xf numFmtId="164" fontId="20" fillId="0" borderId="0" xfId="1" applyNumberFormat="1" applyFont="1" applyAlignment="1">
      <alignment horizontal="center"/>
    </xf>
    <xf numFmtId="10" fontId="33" fillId="4" borderId="12" xfId="0" applyNumberFormat="1" applyFont="1" applyFill="1" applyBorder="1"/>
    <xf numFmtId="183" fontId="47" fillId="4" borderId="2" xfId="1" applyNumberFormat="1" applyFont="1" applyFill="1" applyBorder="1"/>
    <xf numFmtId="0" fontId="25" fillId="2" borderId="9" xfId="0" applyFont="1" applyFill="1" applyBorder="1"/>
    <xf numFmtId="177" fontId="47" fillId="4" borderId="10" xfId="0" applyNumberFormat="1" applyFont="1" applyFill="1" applyBorder="1"/>
    <xf numFmtId="177" fontId="47" fillId="4" borderId="11" xfId="0" applyNumberFormat="1" applyFont="1" applyFill="1" applyBorder="1"/>
    <xf numFmtId="177" fontId="46" fillId="4" borderId="0" xfId="0" applyNumberFormat="1" applyFont="1" applyFill="1"/>
    <xf numFmtId="10" fontId="23" fillId="0" borderId="7" xfId="5" applyNumberFormat="1" applyFont="1" applyBorder="1"/>
    <xf numFmtId="165" fontId="23" fillId="0" borderId="8" xfId="5" applyNumberFormat="1" applyFont="1" applyBorder="1"/>
    <xf numFmtId="10" fontId="23" fillId="0" borderId="3" xfId="5" applyNumberFormat="1" applyFont="1" applyBorder="1"/>
    <xf numFmtId="165" fontId="23" fillId="0" borderId="4" xfId="5" applyNumberFormat="1" applyFont="1" applyBorder="1"/>
    <xf numFmtId="2" fontId="33" fillId="4" borderId="12" xfId="0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6" fillId="3" borderId="5" xfId="0" applyFont="1" applyFill="1" applyBorder="1" applyAlignment="1">
      <alignment horizontal="center"/>
    </xf>
    <xf numFmtId="0" fontId="26" fillId="3" borderId="14" xfId="0" applyFont="1" applyFill="1" applyBorder="1" applyAlignment="1">
      <alignment horizontal="center"/>
    </xf>
    <xf numFmtId="0" fontId="26" fillId="3" borderId="6" xfId="0" applyFont="1" applyFill="1" applyBorder="1" applyAlignment="1">
      <alignment horizontal="center"/>
    </xf>
    <xf numFmtId="0" fontId="26" fillId="3" borderId="7" xfId="0" applyFont="1" applyFill="1" applyBorder="1" applyAlignment="1">
      <alignment horizontal="center"/>
    </xf>
    <xf numFmtId="0" fontId="26" fillId="3" borderId="23" xfId="0" applyFont="1" applyFill="1" applyBorder="1" applyAlignment="1">
      <alignment horizontal="center"/>
    </xf>
    <xf numFmtId="0" fontId="26" fillId="3" borderId="8" xfId="0" applyFont="1" applyFill="1" applyBorder="1" applyAlignment="1">
      <alignment horizontal="center"/>
    </xf>
    <xf numFmtId="0" fontId="21" fillId="3" borderId="5" xfId="0" applyFont="1" applyFill="1" applyBorder="1" applyAlignment="1">
      <alignment horizontal="center"/>
    </xf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0" fontId="19" fillId="0" borderId="7" xfId="0" applyFont="1" applyBorder="1" applyAlignment="1">
      <alignment horizontal="center"/>
    </xf>
    <xf numFmtId="0" fontId="19" fillId="0" borderId="8" xfId="0" applyFont="1" applyBorder="1" applyAlignment="1">
      <alignment horizontal="center"/>
    </xf>
    <xf numFmtId="15" fontId="19" fillId="4" borderId="3" xfId="0" applyNumberFormat="1" applyFont="1" applyFill="1" applyBorder="1" applyAlignment="1">
      <alignment horizontal="center"/>
    </xf>
    <xf numFmtId="15" fontId="19" fillId="4" borderId="4" xfId="0" applyNumberFormat="1" applyFont="1" applyFill="1" applyBorder="1" applyAlignment="1">
      <alignment horizontal="center"/>
    </xf>
    <xf numFmtId="0" fontId="19" fillId="0" borderId="36" xfId="0" applyFont="1" applyBorder="1" applyAlignment="1">
      <alignment horizontal="center"/>
    </xf>
    <xf numFmtId="0" fontId="19" fillId="0" borderId="37" xfId="0" applyFont="1" applyBorder="1" applyAlignment="1">
      <alignment horizontal="center"/>
    </xf>
    <xf numFmtId="0" fontId="19" fillId="0" borderId="38" xfId="0" applyFont="1" applyBorder="1" applyAlignment="1">
      <alignment horizontal="center"/>
    </xf>
    <xf numFmtId="0" fontId="23" fillId="0" borderId="39" xfId="0" applyFont="1" applyBorder="1" applyAlignment="1">
      <alignment horizontal="center"/>
    </xf>
    <xf numFmtId="0" fontId="23" fillId="0" borderId="40" xfId="0" applyFont="1" applyBorder="1" applyAlignment="1">
      <alignment horizontal="center"/>
    </xf>
    <xf numFmtId="0" fontId="23" fillId="0" borderId="41" xfId="0" applyFont="1" applyBorder="1" applyAlignment="1">
      <alignment horizontal="center"/>
    </xf>
    <xf numFmtId="0" fontId="34" fillId="0" borderId="5" xfId="0" applyFont="1" applyBorder="1" applyAlignment="1">
      <alignment horizontal="center"/>
    </xf>
    <xf numFmtId="0" fontId="34" fillId="0" borderId="6" xfId="0" applyFont="1" applyBorder="1" applyAlignment="1">
      <alignment horizontal="center"/>
    </xf>
    <xf numFmtId="0" fontId="35" fillId="0" borderId="7" xfId="0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/>
    </xf>
    <xf numFmtId="0" fontId="35" fillId="0" borderId="8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3" xfId="0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0" fontId="18" fillId="2" borderId="5" xfId="0" applyFont="1" applyFill="1" applyBorder="1" applyAlignment="1">
      <alignment horizontal="center"/>
    </xf>
    <xf numFmtId="0" fontId="18" fillId="2" borderId="6" xfId="0" applyFont="1" applyFill="1" applyBorder="1" applyAlignment="1">
      <alignment horizontal="center"/>
    </xf>
    <xf numFmtId="0" fontId="18" fillId="2" borderId="14" xfId="0" applyFont="1" applyFill="1" applyBorder="1" applyAlignment="1">
      <alignment horizontal="center"/>
    </xf>
    <xf numFmtId="0" fontId="20" fillId="4" borderId="0" xfId="0" applyFont="1" applyFill="1"/>
    <xf numFmtId="0" fontId="18" fillId="2" borderId="23" xfId="0" applyFont="1" applyFill="1" applyBorder="1" applyAlignment="1">
      <alignment horizontal="center"/>
    </xf>
    <xf numFmtId="0" fontId="18" fillId="2" borderId="8" xfId="0" applyFont="1" applyFill="1" applyBorder="1" applyAlignment="1">
      <alignment horizontal="center"/>
    </xf>
  </cellXfs>
  <cellStyles count="8">
    <cellStyle name="Comma" xfId="7" builtinId="3"/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 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0000FF"/>
      <color rgb="FFE66E0A"/>
      <color rgb="FFE6640A"/>
      <color rgb="FF0080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2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9.xml"/><Relationship Id="rId24" Type="http://schemas.microsoft.com/office/2006/relationships/vbaProject" Target="vbaProject.bin"/><Relationship Id="rId5" Type="http://schemas.openxmlformats.org/officeDocument/2006/relationships/worksheet" Target="worksheets/sheet4.xml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8.xml"/><Relationship Id="rId19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chartsheet" Target="chartsheets/sheet2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'CDS Strip'!$AH$11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Strip'!$AH$12:$AH$106</c:f>
              <c:numCache>
                <c:formatCode>0.00%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0-947B-4857-BC85-66E6A3916D15}"/>
            </c:ext>
          </c:extLst>
        </c:ser>
        <c:ser>
          <c:idx val="1"/>
          <c:order val="1"/>
          <c:tx>
            <c:strRef>
              <c:f>'CDS Strip'!$AI$11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'CDS Strip'!$AG$12:$AG$106</c:f>
              <c:numCache>
                <c:formatCode>0.000000000%</c:formatCode>
                <c:ptCount val="95"/>
              </c:numCache>
            </c:numRef>
          </c:cat>
          <c:val>
            <c:numRef>
              <c:f>'CDS Strip'!$AI$12:$AI$106</c:f>
              <c:numCache>
                <c:formatCode>0</c:formatCode>
                <c:ptCount val="95"/>
              </c:numCache>
            </c:numRef>
          </c:val>
          <c:extLst>
            <c:ext xmlns:c16="http://schemas.microsoft.com/office/drawing/2014/chart" uri="{C3380CC4-5D6E-409C-BE32-E72D297353CC}">
              <c16:uniqueId val="{00000001-947B-4857-BC85-66E6A3916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3489712"/>
        <c:axId val="403487792"/>
      </c:barChart>
      <c:catAx>
        <c:axId val="403489712"/>
        <c:scaling>
          <c:orientation val="minMax"/>
        </c:scaling>
        <c:delete val="0"/>
        <c:axPos val="b"/>
        <c:numFmt formatCode="0.0000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7792"/>
        <c:crosses val="autoZero"/>
        <c:auto val="1"/>
        <c:lblAlgn val="ctr"/>
        <c:lblOffset val="100"/>
        <c:noMultiLvlLbl val="0"/>
      </c:catAx>
      <c:valAx>
        <c:axId val="403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03489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2.2357768822976452E-3</c:v>
                </c:pt>
                <c:pt idx="1">
                  <c:v>2.2357768822977211E-3</c:v>
                </c:pt>
                <c:pt idx="2">
                  <c:v>2.2357768822979379E-3</c:v>
                </c:pt>
                <c:pt idx="3">
                  <c:v>2.2357768822977202E-3</c:v>
                </c:pt>
                <c:pt idx="4">
                  <c:v>2.23577688229747E-3</c:v>
                </c:pt>
                <c:pt idx="5">
                  <c:v>2.2357768822977232E-3</c:v>
                </c:pt>
                <c:pt idx="6">
                  <c:v>4.6291651646950564E-3</c:v>
                </c:pt>
                <c:pt idx="7">
                  <c:v>4.6291651646945733E-3</c:v>
                </c:pt>
                <c:pt idx="8">
                  <c:v>4.6291651646958813E-3</c:v>
                </c:pt>
                <c:pt idx="9">
                  <c:v>4.6291651646950625E-3</c:v>
                </c:pt>
                <c:pt idx="10">
                  <c:v>4.6291651646945733E-3</c:v>
                </c:pt>
                <c:pt idx="11">
                  <c:v>4.6291651646950625E-3</c:v>
                </c:pt>
                <c:pt idx="12">
                  <c:v>5.4771273801504285E-3</c:v>
                </c:pt>
                <c:pt idx="13">
                  <c:v>5.4771273801504285E-3</c:v>
                </c:pt>
                <c:pt idx="14">
                  <c:v>5.477127380150805E-3</c:v>
                </c:pt>
                <c:pt idx="15">
                  <c:v>5.4771273801517365E-3</c:v>
                </c:pt>
                <c:pt idx="16">
                  <c:v>5.4771273801513948E-3</c:v>
                </c:pt>
                <c:pt idx="17">
                  <c:v>5.4771273801517365E-3</c:v>
                </c:pt>
                <c:pt idx="18">
                  <c:v>5.4771273801513792E-3</c:v>
                </c:pt>
                <c:pt idx="19">
                  <c:v>5.4771273801517365E-3</c:v>
                </c:pt>
                <c:pt idx="20">
                  <c:v>5.4771273801504285E-3</c:v>
                </c:pt>
                <c:pt idx="21">
                  <c:v>5.4771273801527461E-3</c:v>
                </c:pt>
                <c:pt idx="22">
                  <c:v>5.4771273801504285E-3</c:v>
                </c:pt>
                <c:pt idx="23">
                  <c:v>5.4771273801513644E-3</c:v>
                </c:pt>
                <c:pt idx="24">
                  <c:v>7.8854713558091198E-3</c:v>
                </c:pt>
                <c:pt idx="25">
                  <c:v>7.8854713558091198E-3</c:v>
                </c:pt>
                <c:pt idx="26">
                  <c:v>7.8854713558100618E-3</c:v>
                </c:pt>
                <c:pt idx="27">
                  <c:v>7.8854713558078118E-3</c:v>
                </c:pt>
                <c:pt idx="28">
                  <c:v>7.8854713558088665E-3</c:v>
                </c:pt>
                <c:pt idx="29">
                  <c:v>7.8854713558091198E-3</c:v>
                </c:pt>
                <c:pt idx="30">
                  <c:v>7.8854713558089082E-3</c:v>
                </c:pt>
                <c:pt idx="31">
                  <c:v>7.8854713558078118E-3</c:v>
                </c:pt>
                <c:pt idx="32">
                  <c:v>7.8854713558091198E-3</c:v>
                </c:pt>
                <c:pt idx="33">
                  <c:v>7.8854713558089082E-3</c:v>
                </c:pt>
                <c:pt idx="34">
                  <c:v>7.8854713558091198E-3</c:v>
                </c:pt>
                <c:pt idx="35">
                  <c:v>7.8854713558102179E-3</c:v>
                </c:pt>
                <c:pt idx="36">
                  <c:v>8.7969883872345018E-3</c:v>
                </c:pt>
                <c:pt idx="37">
                  <c:v>8.7969883872331938E-3</c:v>
                </c:pt>
                <c:pt idx="38">
                  <c:v>8.796988387233971E-3</c:v>
                </c:pt>
                <c:pt idx="39">
                  <c:v>8.7969883872345018E-3</c:v>
                </c:pt>
                <c:pt idx="40">
                  <c:v>8.7969883872333291E-3</c:v>
                </c:pt>
                <c:pt idx="41">
                  <c:v>8.7969883872331938E-3</c:v>
                </c:pt>
                <c:pt idx="42">
                  <c:v>8.7969883872347273E-3</c:v>
                </c:pt>
                <c:pt idx="43">
                  <c:v>8.7969883872345018E-3</c:v>
                </c:pt>
                <c:pt idx="44">
                  <c:v>8.7969883872345018E-3</c:v>
                </c:pt>
                <c:pt idx="45">
                  <c:v>8.796988387233376E-3</c:v>
                </c:pt>
                <c:pt idx="46">
                  <c:v>8.7969883872345018E-3</c:v>
                </c:pt>
                <c:pt idx="47">
                  <c:v>8.7969883872346787E-3</c:v>
                </c:pt>
                <c:pt idx="48">
                  <c:v>8.7969883872345486E-3</c:v>
                </c:pt>
                <c:pt idx="49">
                  <c:v>8.7969883872331487E-3</c:v>
                </c:pt>
                <c:pt idx="50">
                  <c:v>8.7969883872345105E-3</c:v>
                </c:pt>
                <c:pt idx="51">
                  <c:v>8.7969883872332406E-3</c:v>
                </c:pt>
                <c:pt idx="52">
                  <c:v>8.7969883872333291E-3</c:v>
                </c:pt>
                <c:pt idx="53">
                  <c:v>8.7969883872345486E-3</c:v>
                </c:pt>
                <c:pt idx="54">
                  <c:v>8.7969883872346787E-3</c:v>
                </c:pt>
                <c:pt idx="55">
                  <c:v>8.7969883872332406E-3</c:v>
                </c:pt>
                <c:pt idx="56">
                  <c:v>8.7969883872331487E-3</c:v>
                </c:pt>
                <c:pt idx="57">
                  <c:v>8.7969883872334228E-3</c:v>
                </c:pt>
                <c:pt idx="58">
                  <c:v>8.7969883872344567E-3</c:v>
                </c:pt>
                <c:pt idx="59">
                  <c:v>8.7969883872333291E-3</c:v>
                </c:pt>
                <c:pt idx="60">
                  <c:v>9.3182309269464001E-3</c:v>
                </c:pt>
                <c:pt idx="61">
                  <c:v>9.3182309269476109E-3</c:v>
                </c:pt>
                <c:pt idx="62">
                  <c:v>9.3182309269470315E-3</c:v>
                </c:pt>
                <c:pt idx="63">
                  <c:v>9.3182309269464001E-3</c:v>
                </c:pt>
                <c:pt idx="64">
                  <c:v>9.3182309269461121E-3</c:v>
                </c:pt>
                <c:pt idx="65">
                  <c:v>9.3182309269477081E-3</c:v>
                </c:pt>
                <c:pt idx="66">
                  <c:v>9.3182309269461121E-3</c:v>
                </c:pt>
                <c:pt idx="67">
                  <c:v>9.3182309269464001E-3</c:v>
                </c:pt>
                <c:pt idx="68">
                  <c:v>9.318230926944995E-3</c:v>
                </c:pt>
                <c:pt idx="69">
                  <c:v>9.3182309269462128E-3</c:v>
                </c:pt>
                <c:pt idx="70">
                  <c:v>9.318230926946303E-3</c:v>
                </c:pt>
                <c:pt idx="71">
                  <c:v>9.3182309269461121E-3</c:v>
                </c:pt>
                <c:pt idx="72">
                  <c:v>9.3182309269464001E-3</c:v>
                </c:pt>
                <c:pt idx="73">
                  <c:v>9.318230926946303E-3</c:v>
                </c:pt>
                <c:pt idx="74">
                  <c:v>9.3182309269470315E-3</c:v>
                </c:pt>
                <c:pt idx="75">
                  <c:v>9.3182309269477081E-3</c:v>
                </c:pt>
                <c:pt idx="76">
                  <c:v>9.3182309269447608E-3</c:v>
                </c:pt>
                <c:pt idx="77">
                  <c:v>9.3182309269464001E-3</c:v>
                </c:pt>
                <c:pt idx="78">
                  <c:v>9.3182309269474635E-3</c:v>
                </c:pt>
                <c:pt idx="79">
                  <c:v>9.3182309269450939E-3</c:v>
                </c:pt>
                <c:pt idx="80">
                  <c:v>9.318230926946303E-3</c:v>
                </c:pt>
                <c:pt idx="81">
                  <c:v>9.3182309269475641E-3</c:v>
                </c:pt>
                <c:pt idx="82">
                  <c:v>9.318230926944995E-3</c:v>
                </c:pt>
                <c:pt idx="83">
                  <c:v>9.3182309269474635E-3</c:v>
                </c:pt>
                <c:pt idx="84">
                  <c:v>9.9618421020719189E-3</c:v>
                </c:pt>
                <c:pt idx="85">
                  <c:v>9.9618421020691971E-3</c:v>
                </c:pt>
                <c:pt idx="86">
                  <c:v>9.9618421020708902E-3</c:v>
                </c:pt>
                <c:pt idx="87">
                  <c:v>9.9618421020719189E-3</c:v>
                </c:pt>
                <c:pt idx="88">
                  <c:v>9.9618421020712666E-3</c:v>
                </c:pt>
                <c:pt idx="89">
                  <c:v>9.9618421020693012E-3</c:v>
                </c:pt>
                <c:pt idx="90">
                  <c:v>9.9618421020739693E-3</c:v>
                </c:pt>
                <c:pt idx="91">
                  <c:v>9.9618421020706109E-3</c:v>
                </c:pt>
                <c:pt idx="92">
                  <c:v>9.9618421020705068E-3</c:v>
                </c:pt>
                <c:pt idx="93">
                  <c:v>9.9618421020727255E-3</c:v>
                </c:pt>
                <c:pt idx="94">
                  <c:v>9.9618421020718148E-3</c:v>
                </c:pt>
                <c:pt idx="95">
                  <c:v>9.9618421020713742E-3</c:v>
                </c:pt>
                <c:pt idx="96">
                  <c:v>9.9618421020718148E-3</c:v>
                </c:pt>
                <c:pt idx="97">
                  <c:v>9.9618421020691971E-3</c:v>
                </c:pt>
                <c:pt idx="98">
                  <c:v>9.9618421020714297E-3</c:v>
                </c:pt>
                <c:pt idx="99">
                  <c:v>9.961842102072023E-3</c:v>
                </c:pt>
                <c:pt idx="100">
                  <c:v>9.9618421020711591E-3</c:v>
                </c:pt>
                <c:pt idx="101">
                  <c:v>9.9618421020705068E-3</c:v>
                </c:pt>
                <c:pt idx="102">
                  <c:v>9.9618421020713742E-3</c:v>
                </c:pt>
                <c:pt idx="103">
                  <c:v>9.9618421020718148E-3</c:v>
                </c:pt>
                <c:pt idx="104">
                  <c:v>9.961842102072023E-3</c:v>
                </c:pt>
                <c:pt idx="105">
                  <c:v>9.9618421020711591E-3</c:v>
                </c:pt>
                <c:pt idx="106">
                  <c:v>9.961842102072023E-3</c:v>
                </c:pt>
                <c:pt idx="107">
                  <c:v>9.961842102069806E-3</c:v>
                </c:pt>
                <c:pt idx="108">
                  <c:v>9.9618421020718148E-3</c:v>
                </c:pt>
                <c:pt idx="109">
                  <c:v>9.961842102072023E-3</c:v>
                </c:pt>
                <c:pt idx="110">
                  <c:v>9.9618421020722225E-3</c:v>
                </c:pt>
                <c:pt idx="111">
                  <c:v>9.961842102070715E-3</c:v>
                </c:pt>
                <c:pt idx="112">
                  <c:v>9.9618421020711591E-3</c:v>
                </c:pt>
                <c:pt idx="113">
                  <c:v>9.9618421020705068E-3</c:v>
                </c:pt>
                <c:pt idx="114">
                  <c:v>9.9618421020727255E-3</c:v>
                </c:pt>
                <c:pt idx="115">
                  <c:v>9.9618421020718148E-3</c:v>
                </c:pt>
                <c:pt idx="116">
                  <c:v>9.9618421020694053E-3</c:v>
                </c:pt>
                <c:pt idx="117">
                  <c:v>9.9618421020725104E-3</c:v>
                </c:pt>
                <c:pt idx="118">
                  <c:v>9.961842102072023E-3</c:v>
                </c:pt>
                <c:pt idx="119">
                  <c:v>9.961842102069806E-3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3.062239096787156E-4</c:v>
                </c:pt>
                <c:pt idx="1">
                  <c:v>4.9603563901046144E-4</c:v>
                </c:pt>
                <c:pt idx="2">
                  <c:v>6.7356882335090074E-4</c:v>
                </c:pt>
                <c:pt idx="3">
                  <c:v>8.6331080495094525E-4</c:v>
                </c:pt>
                <c:pt idx="4">
                  <c:v>1.0468977755744291E-3</c:v>
                </c:pt>
                <c:pt idx="5">
                  <c:v>1.2365688732540736E-3</c:v>
                </c:pt>
                <c:pt idx="6">
                  <c:v>1.61650542937819E-3</c:v>
                </c:pt>
                <c:pt idx="7">
                  <c:v>2.008954700686072E-3</c:v>
                </c:pt>
                <c:pt idx="8">
                  <c:v>2.4012497061920435E-3</c:v>
                </c:pt>
                <c:pt idx="9">
                  <c:v>2.7807432096262907E-3</c:v>
                </c:pt>
                <c:pt idx="10">
                  <c:v>3.1727348368816299E-3</c:v>
                </c:pt>
                <c:pt idx="11">
                  <c:v>3.551934862006112E-3</c:v>
                </c:pt>
                <c:pt idx="12">
                  <c:v>4.0153554566170202E-3</c:v>
                </c:pt>
                <c:pt idx="13">
                  <c:v>4.4785605270526441E-3</c:v>
                </c:pt>
                <c:pt idx="14">
                  <c:v>4.896754136098469E-3</c:v>
                </c:pt>
                <c:pt idx="15">
                  <c:v>5.359549292245136E-3</c:v>
                </c:pt>
                <c:pt idx="16">
                  <c:v>5.8072106405915314E-3</c:v>
                </c:pt>
                <c:pt idx="17">
                  <c:v>6.2695823684538743E-3</c:v>
                </c:pt>
                <c:pt idx="18">
                  <c:v>6.7168341349924665E-3</c:v>
                </c:pt>
                <c:pt idx="19">
                  <c:v>7.1787828219804783E-3</c:v>
                </c:pt>
                <c:pt idx="20">
                  <c:v>7.6405166693368498E-3</c:v>
                </c:pt>
                <c:pt idx="21">
                  <c:v>8.0871514146221291E-3</c:v>
                </c:pt>
                <c:pt idx="22">
                  <c:v>8.5484628047245437E-3</c:v>
                </c:pt>
                <c:pt idx="23">
                  <c:v>8.9946889074786762E-3</c:v>
                </c:pt>
                <c:pt idx="24">
                  <c:v>9.6581677052792747E-3</c:v>
                </c:pt>
                <c:pt idx="25">
                  <c:v>1.0321202303527954E-2</c:v>
                </c:pt>
                <c:pt idx="26">
                  <c:v>1.0919690711619134E-2</c:v>
                </c:pt>
                <c:pt idx="27">
                  <c:v>1.1581880719270465E-2</c:v>
                </c:pt>
                <c:pt idx="28">
                  <c:v>1.2222287640299645E-2</c:v>
                </c:pt>
                <c:pt idx="29">
                  <c:v>1.2883605558332012E-2</c:v>
                </c:pt>
                <c:pt idx="30">
                  <c:v>1.3523169077586217E-2</c:v>
                </c:pt>
                <c:pt idx="31">
                  <c:v>1.4183616054522119E-2</c:v>
                </c:pt>
                <c:pt idx="32">
                  <c:v>1.4843620861712536E-2</c:v>
                </c:pt>
                <c:pt idx="33">
                  <c:v>1.5481914465592772E-2</c:v>
                </c:pt>
                <c:pt idx="34">
                  <c:v>1.6141050061024842E-2</c:v>
                </c:pt>
                <c:pt idx="35">
                  <c:v>1.6778503046322224E-2</c:v>
                </c:pt>
                <c:pt idx="36">
                  <c:v>1.751283425138539E-2</c:v>
                </c:pt>
                <c:pt idx="37">
                  <c:v>1.8246617012053767E-2</c:v>
                </c:pt>
                <c:pt idx="38">
                  <c:v>1.8908917478881904E-2</c:v>
                </c:pt>
                <c:pt idx="39">
                  <c:v>1.9641657557426417E-2</c:v>
                </c:pt>
                <c:pt idx="40">
                  <c:v>2.0350239794414637E-2</c:v>
                </c:pt>
                <c:pt idx="41">
                  <c:v>2.108190340345939E-2</c:v>
                </c:pt>
                <c:pt idx="42">
                  <c:v>2.1789444661267754E-2</c:v>
                </c:pt>
                <c:pt idx="43">
                  <c:v>2.2520033382255833E-2</c:v>
                </c:pt>
                <c:pt idx="44">
                  <c:v>2.3250076453970037E-2</c:v>
                </c:pt>
                <c:pt idx="45">
                  <c:v>2.3956050602239043E-2</c:v>
                </c:pt>
                <c:pt idx="46">
                  <c:v>2.4685021166630183E-2</c:v>
                </c:pt>
                <c:pt idx="47">
                  <c:v>2.5389958167266191E-2</c:v>
                </c:pt>
                <c:pt idx="48">
                  <c:v>2.6117857799956345E-2</c:v>
                </c:pt>
                <c:pt idx="49">
                  <c:v>2.6845213791751643E-2</c:v>
                </c:pt>
                <c:pt idx="50">
                  <c:v>2.7525151788312274E-2</c:v>
                </c:pt>
                <c:pt idx="51">
                  <c:v>2.8251456725087332E-2</c:v>
                </c:pt>
                <c:pt idx="52">
                  <c:v>2.8953815981671238E-2</c:v>
                </c:pt>
                <c:pt idx="53">
                  <c:v>2.9679053902822772E-2</c:v>
                </c:pt>
                <c:pt idx="54">
                  <c:v>3.0380381322416272E-2</c:v>
                </c:pt>
                <c:pt idx="55">
                  <c:v>3.1104553795498258E-2</c:v>
                </c:pt>
                <c:pt idx="56">
                  <c:v>3.1828185411360899E-2</c:v>
                </c:pt>
                <c:pt idx="57">
                  <c:v>3.2527959484238145E-2</c:v>
                </c:pt>
                <c:pt idx="58">
                  <c:v>3.3250528011856795E-2</c:v>
                </c:pt>
                <c:pt idx="59">
                  <c:v>3.3949274045640521E-2</c:v>
                </c:pt>
                <c:pt idx="60">
                  <c:v>3.4713515142700158E-2</c:v>
                </c:pt>
                <c:pt idx="61">
                  <c:v>3.547715164991927E-2</c:v>
                </c:pt>
                <c:pt idx="62">
                  <c:v>3.61663685899698E-2</c:v>
                </c:pt>
                <c:pt idx="63">
                  <c:v>3.6928855747281442E-2</c:v>
                </c:pt>
                <c:pt idx="64">
                  <c:v>3.7666172210858662E-2</c:v>
                </c:pt>
                <c:pt idx="65">
                  <c:v>3.8427472876060076E-2</c:v>
                </c:pt>
                <c:pt idx="66">
                  <c:v>3.9163642015176192E-2</c:v>
                </c:pt>
                <c:pt idx="67">
                  <c:v>3.9923758034545398E-2</c:v>
                </c:pt>
                <c:pt idx="68">
                  <c:v>4.0683272727415898E-2</c:v>
                </c:pt>
                <c:pt idx="69">
                  <c:v>4.1417714851473053E-2</c:v>
                </c:pt>
                <c:pt idx="70">
                  <c:v>4.2176047677629946E-2</c:v>
                </c:pt>
                <c:pt idx="71">
                  <c:v>4.2909346949932314E-2</c:v>
                </c:pt>
                <c:pt idx="72">
                  <c:v>4.3666499748456378E-2</c:v>
                </c:pt>
                <c:pt idx="73">
                  <c:v>4.4423053564680792E-2</c:v>
                </c:pt>
                <c:pt idx="74">
                  <c:v>4.5105878051556969E-2</c:v>
                </c:pt>
                <c:pt idx="75">
                  <c:v>4.5861293178037887E-2</c:v>
                </c:pt>
                <c:pt idx="76">
                  <c:v>4.6591771067728938E-2</c:v>
                </c:pt>
                <c:pt idx="77">
                  <c:v>4.7346010706755259E-2</c:v>
                </c:pt>
                <c:pt idx="78">
                  <c:v>4.8075351913363207E-2</c:v>
                </c:pt>
                <c:pt idx="79">
                  <c:v>4.8828417894089093E-2</c:v>
                </c:pt>
                <c:pt idx="80">
                  <c:v>4.9580888125590139E-2</c:v>
                </c:pt>
                <c:pt idx="81">
                  <c:v>5.0308518335118735E-2</c:v>
                </c:pt>
                <c:pt idx="82">
                  <c:v>5.1059817661661566E-2</c:v>
                </c:pt>
                <c:pt idx="83">
                  <c:v>5.1786315619329115E-2</c:v>
                </c:pt>
                <c:pt idx="84">
                  <c:v>5.2588235521618287E-2</c:v>
                </c:pt>
                <c:pt idx="85">
                  <c:v>5.3389477227061666E-2</c:v>
                </c:pt>
                <c:pt idx="86">
                  <c:v>5.411259696506332E-2</c:v>
                </c:pt>
                <c:pt idx="87">
                  <c:v>5.4912549492972418E-2</c:v>
                </c:pt>
                <c:pt idx="88">
                  <c:v>5.568605294523632E-2</c:v>
                </c:pt>
                <c:pt idx="89">
                  <c:v>5.6484674775553856E-2</c:v>
                </c:pt>
                <c:pt idx="90">
                  <c:v>5.7256891527488918E-2</c:v>
                </c:pt>
                <c:pt idx="91">
                  <c:v>5.8054184873791659E-2</c:v>
                </c:pt>
                <c:pt idx="92">
                  <c:v>5.8850803936003282E-2</c:v>
                </c:pt>
                <c:pt idx="93">
                  <c:v>5.9621084137968072E-2</c:v>
                </c:pt>
                <c:pt idx="94">
                  <c:v>6.0416378047710939E-2</c:v>
                </c:pt>
                <c:pt idx="95">
                  <c:v>6.118537691112913E-2</c:v>
                </c:pt>
                <c:pt idx="96">
                  <c:v>6.1979347872755497E-2</c:v>
                </c:pt>
                <c:pt idx="97">
                  <c:v>6.277264736008592E-2</c:v>
                </c:pt>
                <c:pt idx="98">
                  <c:v>6.3514158848023028E-2</c:v>
                </c:pt>
                <c:pt idx="99">
                  <c:v>6.4306160320478312E-2</c:v>
                </c:pt>
                <c:pt idx="100">
                  <c:v>6.5071975605472177E-2</c:v>
                </c:pt>
                <c:pt idx="101">
                  <c:v>6.5862659606683804E-2</c:v>
                </c:pt>
                <c:pt idx="102">
                  <c:v>6.6627200980389656E-2</c:v>
                </c:pt>
                <c:pt idx="103">
                  <c:v>6.741656970193266E-2</c:v>
                </c:pt>
                <c:pt idx="104">
                  <c:v>6.8205270841369958E-2</c:v>
                </c:pt>
                <c:pt idx="105">
                  <c:v>6.8967894913268046E-2</c:v>
                </c:pt>
                <c:pt idx="106">
                  <c:v>6.9755284071469026E-2</c:v>
                </c:pt>
                <c:pt idx="107">
                  <c:v>7.0516639540568526E-2</c:v>
                </c:pt>
                <c:pt idx="108">
                  <c:v>7.1302718899975637E-2</c:v>
                </c:pt>
                <c:pt idx="109">
                  <c:v>7.2088133459144665E-2</c:v>
                </c:pt>
                <c:pt idx="110">
                  <c:v>7.2796969215434548E-2</c:v>
                </c:pt>
                <c:pt idx="111">
                  <c:v>7.3581120062545025E-2</c:v>
                </c:pt>
                <c:pt idx="112">
                  <c:v>7.433934428982647E-2</c:v>
                </c:pt>
                <c:pt idx="113">
                  <c:v>7.512219072497861E-2</c:v>
                </c:pt>
                <c:pt idx="114">
                  <c:v>7.5879153668474197E-2</c:v>
                </c:pt>
                <c:pt idx="115">
                  <c:v>7.6660697861519189E-2</c:v>
                </c:pt>
                <c:pt idx="116">
                  <c:v>7.7441581089790712E-2</c:v>
                </c:pt>
                <c:pt idx="117">
                  <c:v>7.8196645736516635E-2</c:v>
                </c:pt>
                <c:pt idx="118">
                  <c:v>7.8976229988418245E-2</c:v>
                </c:pt>
                <c:pt idx="119">
                  <c:v>7.9730038607227827E-2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FRTB!$AQ$26:$AQ$121</c:f>
              <c:numCache>
                <c:formatCode>0.0000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7-41C6-B82F-638BD7A3B886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FRTB!$AR$24:$AR$121</c:f>
              <c:numCache>
                <c:formatCode>0.0000</c:formatCode>
                <c:ptCount val="98"/>
                <c:pt idx="0">
                  <c:v>-1.0245009369197033E-2</c:v>
                </c:pt>
                <c:pt idx="1">
                  <c:v>-1.5814006893643595E-2</c:v>
                </c:pt>
                <c:pt idx="2">
                  <c:v>-2.0397075385473751E-3</c:v>
                </c:pt>
                <c:pt idx="3">
                  <c:v>1.2437532018699404E-2</c:v>
                </c:pt>
                <c:pt idx="4">
                  <c:v>-5.8451759918598523E-4</c:v>
                </c:pt>
                <c:pt idx="5">
                  <c:v>9.5295692324409709E-4</c:v>
                </c:pt>
                <c:pt idx="6">
                  <c:v>-1.9668005682900724E-2</c:v>
                </c:pt>
                <c:pt idx="7">
                  <c:v>-2.0027129030402713E-3</c:v>
                </c:pt>
                <c:pt idx="8">
                  <c:v>-5.0623852655941604E-3</c:v>
                </c:pt>
                <c:pt idx="9">
                  <c:v>-2.2791873387893069E-2</c:v>
                </c:pt>
                <c:pt idx="10">
                  <c:v>-2.2411487028448807E-2</c:v>
                </c:pt>
                <c:pt idx="11">
                  <c:v>6.6442470845612389E-3</c:v>
                </c:pt>
                <c:pt idx="12">
                  <c:v>-6.0396385082266968E-3</c:v>
                </c:pt>
                <c:pt idx="13">
                  <c:v>-1.0881104083945936E-2</c:v>
                </c:pt>
                <c:pt idx="14">
                  <c:v>2.7569316757021789E-3</c:v>
                </c:pt>
                <c:pt idx="15">
                  <c:v>-8.5499203537847124E-3</c:v>
                </c:pt>
                <c:pt idx="16">
                  <c:v>-1.6083001121226237E-2</c:v>
                </c:pt>
                <c:pt idx="17">
                  <c:v>-1.5476234539739175E-2</c:v>
                </c:pt>
                <c:pt idx="18">
                  <c:v>-1.0854064626623083E-2</c:v>
                </c:pt>
                <c:pt idx="19">
                  <c:v>-3.1483654596889954E-3</c:v>
                </c:pt>
                <c:pt idx="20">
                  <c:v>8.9915536752527281E-5</c:v>
                </c:pt>
                <c:pt idx="21">
                  <c:v>-3.2382484720159255E-3</c:v>
                </c:pt>
                <c:pt idx="22">
                  <c:v>2.2597666817156248E-3</c:v>
                </c:pt>
                <c:pt idx="23">
                  <c:v>-1.6888825037222999E-2</c:v>
                </c:pt>
                <c:pt idx="24">
                  <c:v>-2.1356517114779483E-3</c:v>
                </c:pt>
                <c:pt idx="25">
                  <c:v>-5.8781984637081286E-3</c:v>
                </c:pt>
                <c:pt idx="26">
                  <c:v>6.2665743556637454E-3</c:v>
                </c:pt>
                <c:pt idx="27">
                  <c:v>-1.3569973244170308E-2</c:v>
                </c:pt>
                <c:pt idx="28">
                  <c:v>-5.9732081536421622E-3</c:v>
                </c:pt>
                <c:pt idx="29">
                  <c:v>-1.7493356953682204E-2</c:v>
                </c:pt>
                <c:pt idx="30">
                  <c:v>-1.0202776579298578E-2</c:v>
                </c:pt>
                <c:pt idx="31">
                  <c:v>-2.1002777020565855E-2</c:v>
                </c:pt>
                <c:pt idx="32">
                  <c:v>-1.513793794920254E-2</c:v>
                </c:pt>
                <c:pt idx="33">
                  <c:v>1.1218578203592566E-2</c:v>
                </c:pt>
                <c:pt idx="34">
                  <c:v>9.8608093268558461E-3</c:v>
                </c:pt>
                <c:pt idx="35">
                  <c:v>-1.7019404266770621E-2</c:v>
                </c:pt>
                <c:pt idx="36">
                  <c:v>-2.2053379375170656E-2</c:v>
                </c:pt>
                <c:pt idx="37">
                  <c:v>-4.340765568928262E-3</c:v>
                </c:pt>
                <c:pt idx="38">
                  <c:v>-1.264981503039353E-2</c:v>
                </c:pt>
                <c:pt idx="39">
                  <c:v>1.2027308917268165E-2</c:v>
                </c:pt>
                <c:pt idx="40">
                  <c:v>-1.056331236196012E-2</c:v>
                </c:pt>
                <c:pt idx="41">
                  <c:v>1.975115219517487E-3</c:v>
                </c:pt>
                <c:pt idx="42">
                  <c:v>-1.7159872626412664E-2</c:v>
                </c:pt>
                <c:pt idx="43">
                  <c:v>-1.8644575740534408E-2</c:v>
                </c:pt>
                <c:pt idx="44">
                  <c:v>-1.085525157529349E-2</c:v>
                </c:pt>
                <c:pt idx="45">
                  <c:v>-1.4594140476596296E-2</c:v>
                </c:pt>
                <c:pt idx="46">
                  <c:v>-1.9007027160534207E-2</c:v>
                </c:pt>
                <c:pt idx="47">
                  <c:v>-5.5136991497569676E-3</c:v>
                </c:pt>
                <c:pt idx="48">
                  <c:v>-9.7746766034190191E-3</c:v>
                </c:pt>
                <c:pt idx="49">
                  <c:v>-1.9097150981650435E-2</c:v>
                </c:pt>
                <c:pt idx="50">
                  <c:v>-9.9254358143082699E-3</c:v>
                </c:pt>
                <c:pt idx="51">
                  <c:v>-6.9439400825879738E-3</c:v>
                </c:pt>
                <c:pt idx="52">
                  <c:v>-1.3525253620316535E-2</c:v>
                </c:pt>
                <c:pt idx="53">
                  <c:v>-7.3435651205892016E-3</c:v>
                </c:pt>
                <c:pt idx="54">
                  <c:v>-6.3085022530900425E-3</c:v>
                </c:pt>
                <c:pt idx="55">
                  <c:v>-7.1974001773031926E-3</c:v>
                </c:pt>
                <c:pt idx="56">
                  <c:v>-1.1926707896310951E-2</c:v>
                </c:pt>
                <c:pt idx="57">
                  <c:v>-8.6838741310403811E-3</c:v>
                </c:pt>
                <c:pt idx="58">
                  <c:v>-1.839950486352393E-2</c:v>
                </c:pt>
                <c:pt idx="59">
                  <c:v>-1.1557210137376206E-2</c:v>
                </c:pt>
                <c:pt idx="60">
                  <c:v>-1.3816378416738717E-2</c:v>
                </c:pt>
                <c:pt idx="61">
                  <c:v>-8.1497700453129207E-3</c:v>
                </c:pt>
                <c:pt idx="62">
                  <c:v>-1.1160365072258482E-2</c:v>
                </c:pt>
                <c:pt idx="63">
                  <c:v>-7.541013230690452E-3</c:v>
                </c:pt>
                <c:pt idx="64">
                  <c:v>-1.6722295346437654E-2</c:v>
                </c:pt>
                <c:pt idx="65">
                  <c:v>-1.7431447940222722E-2</c:v>
                </c:pt>
                <c:pt idx="66">
                  <c:v>-1.2528095684606722E-2</c:v>
                </c:pt>
                <c:pt idx="67">
                  <c:v>-1.593780511074111E-2</c:v>
                </c:pt>
                <c:pt idx="68">
                  <c:v>-4.6848601982287796E-3</c:v>
                </c:pt>
                <c:pt idx="69">
                  <c:v>-1.642867684907906E-2</c:v>
                </c:pt>
                <c:pt idx="70">
                  <c:v>-5.8998630577622446E-5</c:v>
                </c:pt>
                <c:pt idx="71">
                  <c:v>-1.1443524494959056E-2</c:v>
                </c:pt>
                <c:pt idx="72">
                  <c:v>-1.6897511295660084E-2</c:v>
                </c:pt>
                <c:pt idx="73">
                  <c:v>-9.1612510806565184E-3</c:v>
                </c:pt>
                <c:pt idx="74">
                  <c:v>-1.1712911316487662E-2</c:v>
                </c:pt>
                <c:pt idx="75">
                  <c:v>5.7635577300625962E-3</c:v>
                </c:pt>
                <c:pt idx="76">
                  <c:v>-2.6336889572846467E-2</c:v>
                </c:pt>
                <c:pt idx="77">
                  <c:v>-1.7017859275940406E-2</c:v>
                </c:pt>
                <c:pt idx="78">
                  <c:v>-6.0696894693766379E-3</c:v>
                </c:pt>
                <c:pt idx="79">
                  <c:v>-2.0598562602515968E-2</c:v>
                </c:pt>
                <c:pt idx="80">
                  <c:v>-1.9304474300389785E-2</c:v>
                </c:pt>
                <c:pt idx="81">
                  <c:v>-1.8814814919640266E-2</c:v>
                </c:pt>
                <c:pt idx="82">
                  <c:v>-8.8033554210148468E-3</c:v>
                </c:pt>
                <c:pt idx="83">
                  <c:v>-6.2201083019215453E-3</c:v>
                </c:pt>
                <c:pt idx="84">
                  <c:v>-6.5940286230018463E-3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7-41C6-B82F-638BD7A3B886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FRTB!$AS$24:$AS$121</c:f>
              <c:numCache>
                <c:formatCode>0.0000</c:formatCode>
                <c:ptCount val="98"/>
                <c:pt idx="0">
                  <c:v>-3.4213492955352975E-2</c:v>
                </c:pt>
                <c:pt idx="1">
                  <c:v>-2.9398602251406392E-2</c:v>
                </c:pt>
                <c:pt idx="2">
                  <c:v>-3.924194816574661E-2</c:v>
                </c:pt>
                <c:pt idx="3">
                  <c:v>2.7335214695776155E-3</c:v>
                </c:pt>
                <c:pt idx="4">
                  <c:v>-3.9827519266000977E-2</c:v>
                </c:pt>
                <c:pt idx="5">
                  <c:v>-4.021951287818909E-2</c:v>
                </c:pt>
                <c:pt idx="6">
                  <c:v>-2.5797275414914222E-2</c:v>
                </c:pt>
                <c:pt idx="7">
                  <c:v>-3.9304967542145741E-2</c:v>
                </c:pt>
                <c:pt idx="8">
                  <c:v>-3.7812334627846833E-2</c:v>
                </c:pt>
                <c:pt idx="9">
                  <c:v>-2.2729631465761901E-2</c:v>
                </c:pt>
                <c:pt idx="10">
                  <c:v>-2.3111803508267192E-2</c:v>
                </c:pt>
                <c:pt idx="11">
                  <c:v>-3.7360224482103244E-2</c:v>
                </c:pt>
                <c:pt idx="12">
                  <c:v>-3.7261954217969295E-2</c:v>
                </c:pt>
                <c:pt idx="13">
                  <c:v>-3.369974662892905E-2</c:v>
                </c:pt>
                <c:pt idx="14">
                  <c:v>-3.9852044474555148E-2</c:v>
                </c:pt>
                <c:pt idx="15">
                  <c:v>-3.5467890459922269E-2</c:v>
                </c:pt>
                <c:pt idx="16">
                  <c:v>-2.9166957361376755E-2</c:v>
                </c:pt>
                <c:pt idx="17">
                  <c:v>-2.9688606364892844E-2</c:v>
                </c:pt>
                <c:pt idx="18">
                  <c:v>-3.3691561507351919E-2</c:v>
                </c:pt>
                <c:pt idx="19">
                  <c:v>-3.8742856007451032E-2</c:v>
                </c:pt>
                <c:pt idx="20">
                  <c:v>-3.9914078503666517E-2</c:v>
                </c:pt>
                <c:pt idx="21">
                  <c:v>-3.8725409083389062E-2</c:v>
                </c:pt>
                <c:pt idx="22">
                  <c:v>-4.0088161641824605E-2</c:v>
                </c:pt>
                <c:pt idx="23">
                  <c:v>-2.8425674036022974E-2</c:v>
                </c:pt>
                <c:pt idx="24">
                  <c:v>-3.9287093417731067E-2</c:v>
                </c:pt>
                <c:pt idx="25">
                  <c:v>-3.7252760576601873E-2</c:v>
                </c:pt>
                <c:pt idx="26">
                  <c:v>-3.7972973486579742E-2</c:v>
                </c:pt>
                <c:pt idx="27">
                  <c:v>-3.1405020230465708E-2</c:v>
                </c:pt>
                <c:pt idx="28">
                  <c:v>-3.7241683278395776E-2</c:v>
                </c:pt>
                <c:pt idx="29">
                  <c:v>-2.7878995008874807E-2</c:v>
                </c:pt>
                <c:pt idx="30">
                  <c:v>-3.4239492602943455E-2</c:v>
                </c:pt>
                <c:pt idx="31">
                  <c:v>-2.4508580769405153E-2</c:v>
                </c:pt>
                <c:pt idx="32">
                  <c:v>-3.0031600611635456E-2</c:v>
                </c:pt>
                <c:pt idx="33">
                  <c:v>-2.836459128902552E-2</c:v>
                </c:pt>
                <c:pt idx="34">
                  <c:v>-2.909331543440985E-2</c:v>
                </c:pt>
                <c:pt idx="35">
                  <c:v>-2.83181916307364E-2</c:v>
                </c:pt>
                <c:pt idx="36">
                  <c:v>-2.3451150541139332E-2</c:v>
                </c:pt>
                <c:pt idx="37">
                  <c:v>-3.817396762170272E-2</c:v>
                </c:pt>
                <c:pt idx="38">
                  <c:v>-3.2201098797003447E-2</c:v>
                </c:pt>
                <c:pt idx="39">
                  <c:v>-2.2880866342631145E-2</c:v>
                </c:pt>
                <c:pt idx="40">
                  <c:v>-3.3905199760077886E-2</c:v>
                </c:pt>
                <c:pt idx="41">
                  <c:v>-4.007054771704649E-2</c:v>
                </c:pt>
                <c:pt idx="42">
                  <c:v>-2.818730725095131E-2</c:v>
                </c:pt>
                <c:pt idx="43">
                  <c:v>-2.6731466199475584E-2</c:v>
                </c:pt>
                <c:pt idx="44">
                  <c:v>-3.3779010747015503E-2</c:v>
                </c:pt>
                <c:pt idx="45">
                  <c:v>-3.0513828983236679E-2</c:v>
                </c:pt>
                <c:pt idx="46">
                  <c:v>-2.6434665163841797E-2</c:v>
                </c:pt>
                <c:pt idx="47">
                  <c:v>-3.7525962145025016E-2</c:v>
                </c:pt>
                <c:pt idx="48">
                  <c:v>-3.4553709536819965E-2</c:v>
                </c:pt>
                <c:pt idx="49">
                  <c:v>-2.6307447031960529E-2</c:v>
                </c:pt>
                <c:pt idx="50">
                  <c:v>-3.4457802134276683E-2</c:v>
                </c:pt>
                <c:pt idx="51">
                  <c:v>-3.6625417687566997E-2</c:v>
                </c:pt>
                <c:pt idx="52">
                  <c:v>-3.1461234770900404E-2</c:v>
                </c:pt>
                <c:pt idx="53">
                  <c:v>-3.6263484046171801E-2</c:v>
                </c:pt>
                <c:pt idx="54">
                  <c:v>-3.6991207346255939E-2</c:v>
                </c:pt>
                <c:pt idx="55">
                  <c:v>-3.6485426961795797E-2</c:v>
                </c:pt>
                <c:pt idx="56">
                  <c:v>-3.2824695196837061E-2</c:v>
                </c:pt>
                <c:pt idx="57">
                  <c:v>-3.5359164658481601E-2</c:v>
                </c:pt>
                <c:pt idx="58">
                  <c:v>-2.6997166795605043E-2</c:v>
                </c:pt>
                <c:pt idx="59">
                  <c:v>-3.3154906879997781E-2</c:v>
                </c:pt>
                <c:pt idx="60">
                  <c:v>-3.1217424384766268E-2</c:v>
                </c:pt>
                <c:pt idx="61">
                  <c:v>-3.5724053593723049E-2</c:v>
                </c:pt>
                <c:pt idx="62">
                  <c:v>-3.3431243745066508E-2</c:v>
                </c:pt>
                <c:pt idx="63">
                  <c:v>-3.6137652055509506E-2</c:v>
                </c:pt>
                <c:pt idx="64">
                  <c:v>-2.8583718483623288E-2</c:v>
                </c:pt>
                <c:pt idx="65">
                  <c:v>-2.7934181196998253E-2</c:v>
                </c:pt>
                <c:pt idx="66">
                  <c:v>-3.2330192470039265E-2</c:v>
                </c:pt>
                <c:pt idx="67">
                  <c:v>-2.9292103554694859E-2</c:v>
                </c:pt>
                <c:pt idx="68">
                  <c:v>-3.8083401018635221E-2</c:v>
                </c:pt>
                <c:pt idx="69">
                  <c:v>-2.883086993230094E-2</c:v>
                </c:pt>
                <c:pt idx="70">
                  <c:v>-4.0010280765991391E-2</c:v>
                </c:pt>
                <c:pt idx="71">
                  <c:v>-3.3232642369537935E-2</c:v>
                </c:pt>
                <c:pt idx="72">
                  <c:v>-2.8445682378626935E-2</c:v>
                </c:pt>
                <c:pt idx="73">
                  <c:v>-3.504165844184548E-2</c:v>
                </c:pt>
                <c:pt idx="74">
                  <c:v>-3.3037228055889323E-2</c:v>
                </c:pt>
                <c:pt idx="75">
                  <c:v>-3.8531787046430566E-2</c:v>
                </c:pt>
                <c:pt idx="76">
                  <c:v>-1.9169787267024507E-2</c:v>
                </c:pt>
                <c:pt idx="77">
                  <c:v>-2.831458020841654E-2</c:v>
                </c:pt>
                <c:pt idx="78">
                  <c:v>-3.7187373052076311E-2</c:v>
                </c:pt>
                <c:pt idx="79">
                  <c:v>-2.4911320822858019E-2</c:v>
                </c:pt>
                <c:pt idx="80">
                  <c:v>-2.6151250958182215E-2</c:v>
                </c:pt>
                <c:pt idx="81">
                  <c:v>-2.6621107373701769E-2</c:v>
                </c:pt>
                <c:pt idx="82">
                  <c:v>-3.5331127799000162E-2</c:v>
                </c:pt>
                <c:pt idx="83">
                  <c:v>-3.7105958412764484E-2</c:v>
                </c:pt>
                <c:pt idx="84">
                  <c:v>-3.683455901430116E-2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A7-41C6-B82F-638BD7A3B886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FRTB!$AT$24:$AT$121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A7-41C6-B82F-638BD7A3B886}"/>
            </c:ext>
          </c:extLst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FRTB!$AU$24:$AU$121</c:f>
              <c:numCache>
                <c:formatCode>0.0000</c:formatCode>
                <c:ptCount val="98"/>
                <c:pt idx="0">
                  <c:v>-0.11232552253158561</c:v>
                </c:pt>
                <c:pt idx="1">
                  <c:v>-0.116810722251454</c:v>
                </c:pt>
                <c:pt idx="2">
                  <c:v>-0.10491433238807733</c:v>
                </c:pt>
                <c:pt idx="3">
                  <c:v>-8.2975868461193869E-2</c:v>
                </c:pt>
                <c:pt idx="4">
                  <c:v>-0.10367522856946609</c:v>
                </c:pt>
                <c:pt idx="5">
                  <c:v>-0.10230132142767516</c:v>
                </c:pt>
                <c:pt idx="6">
                  <c:v>-6.4117675958613951E-2</c:v>
                </c:pt>
                <c:pt idx="7">
                  <c:v>-0.10496445358435763</c:v>
                </c:pt>
                <c:pt idx="8">
                  <c:v>-0.10782725948377793</c:v>
                </c:pt>
                <c:pt idx="9">
                  <c:v>-0.12228910593859815</c:v>
                </c:pt>
                <c:pt idx="10">
                  <c:v>-0.12200301913838814</c:v>
                </c:pt>
                <c:pt idx="11">
                  <c:v>-9.4818515167838013E-2</c:v>
                </c:pt>
                <c:pt idx="12">
                  <c:v>-0.10877894055665151</c:v>
                </c:pt>
                <c:pt idx="13">
                  <c:v>-0.1128473051450634</c:v>
                </c:pt>
                <c:pt idx="14">
                  <c:v>-9.9811385532340147E-2</c:v>
                </c:pt>
                <c:pt idx="15">
                  <c:v>-0.11083662118492746</c:v>
                </c:pt>
                <c:pt idx="16">
                  <c:v>-6.2674217797277554E-2</c:v>
                </c:pt>
                <c:pt idx="17">
                  <c:v>-6.239998386801858E-2</c:v>
                </c:pt>
                <c:pt idx="18">
                  <c:v>-0.11277542173426794</c:v>
                </c:pt>
                <c:pt idx="19">
                  <c:v>-0.10592641892667372</c:v>
                </c:pt>
                <c:pt idx="20">
                  <c:v>-0.10287644130088236</c:v>
                </c:pt>
                <c:pt idx="21">
                  <c:v>-0.10605431014845029</c:v>
                </c:pt>
                <c:pt idx="22">
                  <c:v>-0.15194497948996066</c:v>
                </c:pt>
                <c:pt idx="23">
                  <c:v>-0.11769175724623596</c:v>
                </c:pt>
                <c:pt idx="24">
                  <c:v>-0.10515285390762949</c:v>
                </c:pt>
                <c:pt idx="25">
                  <c:v>-0.16438400321632346</c:v>
                </c:pt>
                <c:pt idx="26">
                  <c:v>-9.5584750224900081E-2</c:v>
                </c:pt>
                <c:pt idx="27">
                  <c:v>-0.11500562149466487</c:v>
                </c:pt>
                <c:pt idx="28">
                  <c:v>-0.10860998884046799</c:v>
                </c:pt>
                <c:pt idx="29">
                  <c:v>-0.1181953804747681</c:v>
                </c:pt>
                <c:pt idx="30">
                  <c:v>-0.1122779183730485</c:v>
                </c:pt>
                <c:pt idx="31">
                  <c:v>-0.120930010255969</c:v>
                </c:pt>
                <c:pt idx="32">
                  <c:v>-0.11629872217582379</c:v>
                </c:pt>
                <c:pt idx="33">
                  <c:v>-9.1361570559093178E-2</c:v>
                </c:pt>
                <c:pt idx="34">
                  <c:v>-8.8732040472988494E-2</c:v>
                </c:pt>
                <c:pt idx="35">
                  <c:v>-0.11781540794311871</c:v>
                </c:pt>
                <c:pt idx="36">
                  <c:v>-0.1217094141006107</c:v>
                </c:pt>
                <c:pt idx="37">
                  <c:v>-0.10709244163107699</c:v>
                </c:pt>
                <c:pt idx="38">
                  <c:v>-0.1142593395140554</c:v>
                </c:pt>
                <c:pt idx="39">
                  <c:v>-8.9509156340903659E-2</c:v>
                </c:pt>
                <c:pt idx="40">
                  <c:v>-0.11250009794530234</c:v>
                </c:pt>
                <c:pt idx="41">
                  <c:v>-0.1008983621136391</c:v>
                </c:pt>
                <c:pt idx="42">
                  <c:v>-0.11792666310030989</c:v>
                </c:pt>
                <c:pt idx="43">
                  <c:v>-0.11901841221732774</c:v>
                </c:pt>
                <c:pt idx="44">
                  <c:v>-0.11292246634900167</c:v>
                </c:pt>
                <c:pt idx="45">
                  <c:v>-0.11585321847673383</c:v>
                </c:pt>
                <c:pt idx="46">
                  <c:v>-0.11937084799462262</c:v>
                </c:pt>
                <c:pt idx="47">
                  <c:v>-0.10820109227965924</c:v>
                </c:pt>
                <c:pt idx="48">
                  <c:v>-0.1118837153037025</c:v>
                </c:pt>
                <c:pt idx="49">
                  <c:v>-0.11938515119807025</c:v>
                </c:pt>
                <c:pt idx="50">
                  <c:v>-0.11204638555125682</c:v>
                </c:pt>
                <c:pt idx="51">
                  <c:v>-5.8811910933172465E-2</c:v>
                </c:pt>
                <c:pt idx="52">
                  <c:v>-6.1629332558197858E-2</c:v>
                </c:pt>
                <c:pt idx="53">
                  <c:v>-5.8903912426778199E-2</c:v>
                </c:pt>
                <c:pt idx="54">
                  <c:v>-5.8472994109134036E-2</c:v>
                </c:pt>
                <c:pt idx="55">
                  <c:v>-5.8956938990687588E-2</c:v>
                </c:pt>
                <c:pt idx="56">
                  <c:v>-6.0960765079176596E-2</c:v>
                </c:pt>
                <c:pt idx="57">
                  <c:v>-0.11093415909189933</c:v>
                </c:pt>
                <c:pt idx="58">
                  <c:v>-0.11887155916819271</c:v>
                </c:pt>
                <c:pt idx="59">
                  <c:v>-6.0826430511081699E-2</c:v>
                </c:pt>
                <c:pt idx="60">
                  <c:v>-6.1759247315394436E-2</c:v>
                </c:pt>
                <c:pt idx="61">
                  <c:v>-5.9290007263535414E-2</c:v>
                </c:pt>
                <c:pt idx="62">
                  <c:v>-6.0612795480084455E-2</c:v>
                </c:pt>
                <c:pt idx="63">
                  <c:v>-0.10987691441692413</c:v>
                </c:pt>
                <c:pt idx="64">
                  <c:v>-0.11756469836614644</c:v>
                </c:pt>
                <c:pt idx="65">
                  <c:v>-0.11814247176879555</c:v>
                </c:pt>
                <c:pt idx="66">
                  <c:v>-6.1224060159945526E-2</c:v>
                </c:pt>
                <c:pt idx="67">
                  <c:v>-0.1169194951197372</c:v>
                </c:pt>
                <c:pt idx="68">
                  <c:v>-7.5265954977330352E-2</c:v>
                </c:pt>
                <c:pt idx="69">
                  <c:v>-8.183640544670652E-2</c:v>
                </c:pt>
                <c:pt idx="70">
                  <c:v>-0.10325134558605742</c:v>
                </c:pt>
                <c:pt idx="71">
                  <c:v>-7.9139678883149017E-2</c:v>
                </c:pt>
                <c:pt idx="72">
                  <c:v>-8.2139468511932989E-2</c:v>
                </c:pt>
                <c:pt idx="73">
                  <c:v>-0.11139559151018824</c:v>
                </c:pt>
                <c:pt idx="74">
                  <c:v>-0.11356682832984488</c:v>
                </c:pt>
                <c:pt idx="75">
                  <c:v>-6.7569979220732421E-2</c:v>
                </c:pt>
                <c:pt idx="76">
                  <c:v>-0.12499154311170346</c:v>
                </c:pt>
                <c:pt idx="77">
                  <c:v>-8.218365149048755E-2</c:v>
                </c:pt>
                <c:pt idx="78">
                  <c:v>-7.6025177067389135E-2</c:v>
                </c:pt>
                <c:pt idx="79">
                  <c:v>-8.4085476387465358E-2</c:v>
                </c:pt>
                <c:pt idx="80">
                  <c:v>-8.3396190663460795E-2</c:v>
                </c:pt>
                <c:pt idx="81">
                  <c:v>-8.3139189762908475E-2</c:v>
                </c:pt>
                <c:pt idx="82">
                  <c:v>-0.11113952454547354</c:v>
                </c:pt>
                <c:pt idx="83">
                  <c:v>-7.6133933663670827E-2</c:v>
                </c:pt>
                <c:pt idx="84">
                  <c:v>-0.10914498944387661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A7-41C6-B82F-638BD7A3B886}"/>
            </c:ext>
          </c:extLst>
        </c:ser>
        <c:ser>
          <c:idx val="5"/>
          <c:order val="5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FRTB!$AV$24:$AV$121</c:f>
              <c:numCache>
                <c:formatCode>0.0000</c:formatCode>
                <c:ptCount val="98"/>
                <c:pt idx="0">
                  <c:v>3.8940566746476987E-3</c:v>
                </c:pt>
                <c:pt idx="1">
                  <c:v>-1.4586031633200928E-3</c:v>
                </c:pt>
                <c:pt idx="2">
                  <c:v>1.9049627551355027E-2</c:v>
                </c:pt>
                <c:pt idx="3">
                  <c:v>0.11584197960207468</c:v>
                </c:pt>
                <c:pt idx="4">
                  <c:v>2.2904064279144012E-2</c:v>
                </c:pt>
                <c:pt idx="5">
                  <c:v>2.7629018432864843E-2</c:v>
                </c:pt>
                <c:pt idx="6">
                  <c:v>4.2403775956172604E-3</c:v>
                </c:pt>
                <c:pt idx="7">
                  <c:v>1.9053900442141745E-2</c:v>
                </c:pt>
                <c:pt idx="8">
                  <c:v>1.2103809023835635E-2</c:v>
                </c:pt>
                <c:pt idx="9">
                  <c:v>-4.8831002180476542E-3</c:v>
                </c:pt>
                <c:pt idx="10">
                  <c:v>-4.778177802944367E-3</c:v>
                </c:pt>
                <c:pt idx="11">
                  <c:v>5.7246536173367696E-2</c:v>
                </c:pt>
                <c:pt idx="12">
                  <c:v>1.019644834674201E-2</c:v>
                </c:pt>
                <c:pt idx="13">
                  <c:v>3.1323784915127141E-3</c:v>
                </c:pt>
                <c:pt idx="14">
                  <c:v>3.5272698732633251E-2</c:v>
                </c:pt>
                <c:pt idx="15">
                  <c:v>6.2356279732959548E-3</c:v>
                </c:pt>
                <c:pt idx="16">
                  <c:v>7.3275932395822536E-3</c:v>
                </c:pt>
                <c:pt idx="17">
                  <c:v>7.9620553743390832E-3</c:v>
                </c:pt>
                <c:pt idx="18">
                  <c:v>3.2020229845908521E-3</c:v>
                </c:pt>
                <c:pt idx="19">
                  <c:v>1.635721681450001E-2</c:v>
                </c:pt>
                <c:pt idx="20">
                  <c:v>2.5117712973533862E-2</c:v>
                </c:pt>
                <c:pt idx="21">
                  <c:v>1.610204237352118E-2</c:v>
                </c:pt>
                <c:pt idx="22">
                  <c:v>1.5376564786388963E-2</c:v>
                </c:pt>
                <c:pt idx="23">
                  <c:v>-2.2151961125847289E-3</c:v>
                </c:pt>
                <c:pt idx="24">
                  <c:v>1.8647808539654174E-2</c:v>
                </c:pt>
                <c:pt idx="25">
                  <c:v>-4.7464352208584637E-3</c:v>
                </c:pt>
                <c:pt idx="26">
                  <c:v>5.4079540791308792E-2</c:v>
                </c:pt>
                <c:pt idx="27">
                  <c:v>3.756971677131779E-4</c:v>
                </c:pt>
                <c:pt idx="28">
                  <c:v>1.041002343352488E-2</c:v>
                </c:pt>
                <c:pt idx="29">
                  <c:v>-2.6099600536250087E-3</c:v>
                </c:pt>
                <c:pt idx="30">
                  <c:v>3.9558286306059891E-3</c:v>
                </c:pt>
                <c:pt idx="31">
                  <c:v>-4.3127324927584032E-3</c:v>
                </c:pt>
                <c:pt idx="32">
                  <c:v>-9.7049667516071331E-4</c:v>
                </c:pt>
                <c:pt idx="33">
                  <c:v>0.10111256707860046</c:v>
                </c:pt>
                <c:pt idx="34">
                  <c:v>9.3464786975341593E-2</c:v>
                </c:pt>
                <c:pt idx="35">
                  <c:v>-2.3128391464523855E-3</c:v>
                </c:pt>
                <c:pt idx="36">
                  <c:v>-4.6559460039151124E-3</c:v>
                </c:pt>
                <c:pt idx="37">
                  <c:v>1.3646279031601701E-2</c:v>
                </c:pt>
                <c:pt idx="38">
                  <c:v>1.2512016906170986E-3</c:v>
                </c:pt>
                <c:pt idx="39">
                  <c:v>0.1192259539624493</c:v>
                </c:pt>
                <c:pt idx="40">
                  <c:v>3.575584985750651E-3</c:v>
                </c:pt>
                <c:pt idx="41">
                  <c:v>3.1764806348948418E-2</c:v>
                </c:pt>
                <c:pt idx="42">
                  <c:v>-2.4015991735598166E-3</c:v>
                </c:pt>
                <c:pt idx="43">
                  <c:v>-3.1987439455709483E-3</c:v>
                </c:pt>
                <c:pt idx="44">
                  <c:v>3.0967226798259868E-3</c:v>
                </c:pt>
                <c:pt idx="45">
                  <c:v>-5.2812657189208953E-4</c:v>
                </c:pt>
                <c:pt idx="46">
                  <c:v>-3.4347654418357028E-3</c:v>
                </c:pt>
                <c:pt idx="47">
                  <c:v>1.1261395695496321E-2</c:v>
                </c:pt>
                <c:pt idx="48">
                  <c:v>4.5275711745508054E-3</c:v>
                </c:pt>
                <c:pt idx="49">
                  <c:v>-3.439082654861654E-3</c:v>
                </c:pt>
                <c:pt idx="50">
                  <c:v>4.3053860580223105E-3</c:v>
                </c:pt>
                <c:pt idx="51">
                  <c:v>2.002813057680846E-2</c:v>
                </c:pt>
                <c:pt idx="52">
                  <c:v>1.0085667079572752E-2</c:v>
                </c:pt>
                <c:pt idx="53">
                  <c:v>1.9389554793628298E-2</c:v>
                </c:pt>
                <c:pt idx="54">
                  <c:v>2.132927757475464E-2</c:v>
                </c:pt>
                <c:pt idx="55">
                  <c:v>1.9516299325365992E-2</c:v>
                </c:pt>
                <c:pt idx="56">
                  <c:v>1.2089611904485391E-2</c:v>
                </c:pt>
                <c:pt idx="57">
                  <c:v>6.0568406464084415E-3</c:v>
                </c:pt>
                <c:pt idx="58">
                  <c:v>-3.1024202000449926E-3</c:v>
                </c:pt>
                <c:pt idx="59">
                  <c:v>1.2565925952060799E-2</c:v>
                </c:pt>
                <c:pt idx="60">
                  <c:v>9.7367582115584338E-3</c:v>
                </c:pt>
                <c:pt idx="61">
                  <c:v>1.7906585392612112E-2</c:v>
                </c:pt>
                <c:pt idx="62">
                  <c:v>1.3158938854425858E-2</c:v>
                </c:pt>
                <c:pt idx="63">
                  <c:v>7.8443169082680238E-3</c:v>
                </c:pt>
                <c:pt idx="64">
                  <c:v>-2.1100736845000474E-3</c:v>
                </c:pt>
                <c:pt idx="65">
                  <c:v>-2.569863560506952E-3</c:v>
                </c:pt>
                <c:pt idx="66">
                  <c:v>1.129900051980252E-2</c:v>
                </c:pt>
                <c:pt idx="67">
                  <c:v>-1.5554276688182871E-3</c:v>
                </c:pt>
                <c:pt idx="68">
                  <c:v>2.067449841386635E-2</c:v>
                </c:pt>
                <c:pt idx="69">
                  <c:v>4.0412254689388295E-3</c:v>
                </c:pt>
                <c:pt idx="70">
                  <c:v>2.4397022637184716E-2</c:v>
                </c:pt>
                <c:pt idx="71">
                  <c:v>9.322980881699916E-3</c:v>
                </c:pt>
                <c:pt idx="72">
                  <c:v>3.6060142784258911E-3</c:v>
                </c:pt>
                <c:pt idx="73">
                  <c:v>5.3217130185719275E-3</c:v>
                </c:pt>
                <c:pt idx="74">
                  <c:v>2.1706910444533739E-3</c:v>
                </c:pt>
                <c:pt idx="75">
                  <c:v>5.9466100526550117E-2</c:v>
                </c:pt>
                <c:pt idx="76">
                  <c:v>-5.5361008846971423E-3</c:v>
                </c:pt>
                <c:pt idx="77">
                  <c:v>3.5198736940579567E-3</c:v>
                </c:pt>
                <c:pt idx="78">
                  <c:v>1.7911039464719624E-2</c:v>
                </c:pt>
                <c:pt idx="79">
                  <c:v>9.9004972446424706E-4</c:v>
                </c:pt>
                <c:pt idx="80">
                  <c:v>1.8146393034373966E-3</c:v>
                </c:pt>
                <c:pt idx="81">
                  <c:v>2.1504028347639672E-3</c:v>
                </c:pt>
                <c:pt idx="82">
                  <c:v>5.8043900796680425E-3</c:v>
                </c:pt>
                <c:pt idx="83">
                  <c:v>1.7600321479941221E-2</c:v>
                </c:pt>
                <c:pt idx="84">
                  <c:v>9.3241833425011071E-3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A7-41C6-B82F-638BD7A3B886}"/>
            </c:ext>
          </c:extLst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FRTB!$AW$24:$AW$121</c:f>
              <c:numCache>
                <c:formatCode>0.0000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A7-41C6-B82F-638BD7A3B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5246240"/>
        <c:axId val="325252000"/>
      </c:barChart>
      <c:catAx>
        <c:axId val="325246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52000"/>
        <c:crosses val="autoZero"/>
        <c:auto val="1"/>
        <c:lblAlgn val="ctr"/>
        <c:lblOffset val="100"/>
        <c:noMultiLvlLbl val="0"/>
      </c:catAx>
      <c:valAx>
        <c:axId val="32525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5246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BBA3753-841D-490E-A1B5-E939560D9887}">
  <sheetPr codeName="Chart1"/>
  <sheetViews>
    <sheetView zoomScale="12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C110393-92B1-496A-AB1F-D5353159A188}">
  <sheetPr codeName="Chart2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76200</xdr:rowOff>
        </xdr:from>
        <xdr:to>
          <xdr:col>10</xdr:col>
          <xdr:colOff>488950</xdr:colOff>
          <xdr:row>12</xdr:row>
          <xdr:rowOff>107950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793750</xdr:colOff>
          <xdr:row>3</xdr:row>
          <xdr:rowOff>19050</xdr:rowOff>
        </xdr:from>
        <xdr:to>
          <xdr:col>5</xdr:col>
          <xdr:colOff>31750</xdr:colOff>
          <xdr:row>5</xdr:row>
          <xdr:rowOff>31750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</xdr:colOff>
          <xdr:row>4</xdr:row>
          <xdr:rowOff>184150</xdr:rowOff>
        </xdr:from>
        <xdr:to>
          <xdr:col>5</xdr:col>
          <xdr:colOff>755650</xdr:colOff>
          <xdr:row>6</xdr:row>
          <xdr:rowOff>165100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514350</xdr:colOff>
          <xdr:row>362</xdr:row>
          <xdr:rowOff>127000</xdr:rowOff>
        </xdr:from>
        <xdr:to>
          <xdr:col>45</xdr:col>
          <xdr:colOff>298450</xdr:colOff>
          <xdr:row>364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88900</xdr:colOff>
          <xdr:row>4</xdr:row>
          <xdr:rowOff>165100</xdr:rowOff>
        </xdr:from>
        <xdr:to>
          <xdr:col>5</xdr:col>
          <xdr:colOff>0</xdr:colOff>
          <xdr:row>6</xdr:row>
          <xdr:rowOff>171450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69850</xdr:rowOff>
        </xdr:from>
        <xdr:to>
          <xdr:col>6</xdr:col>
          <xdr:colOff>12700</xdr:colOff>
          <xdr:row>13</xdr:row>
          <xdr:rowOff>107950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6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641350</xdr:colOff>
          <xdr:row>5</xdr:row>
          <xdr:rowOff>107950</xdr:rowOff>
        </xdr:from>
        <xdr:to>
          <xdr:col>9</xdr:col>
          <xdr:colOff>723900</xdr:colOff>
          <xdr:row>6</xdr:row>
          <xdr:rowOff>184150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7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836332</xdr:colOff>
      <xdr:row>0</xdr:row>
      <xdr:rowOff>38653</xdr:rowOff>
    </xdr:from>
    <xdr:to>
      <xdr:col>15</xdr:col>
      <xdr:colOff>355248</xdr:colOff>
      <xdr:row>6</xdr:row>
      <xdr:rowOff>69557</xdr:rowOff>
    </xdr:to>
    <xdr:pic>
      <xdr:nvPicPr>
        <xdr:cNvPr id="2" name="Picture 1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61702" y="38653"/>
          <a:ext cx="3116743" cy="113566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7051" cy="607320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937E31-2820-D7B7-1E7C-2C5ED9255B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1534353</xdr:colOff>
      <xdr:row>0</xdr:row>
      <xdr:rowOff>229842</xdr:rowOff>
    </xdr:from>
    <xdr:to>
      <xdr:col>17</xdr:col>
      <xdr:colOff>327577</xdr:colOff>
      <xdr:row>1</xdr:row>
      <xdr:rowOff>533815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2859570" y="229842"/>
          <a:ext cx="9038811" cy="6766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7200" b="1" i="0" u="none" strike="noStrike" baseline="30000">
              <a:solidFill>
                <a:schemeClr val="bg1"/>
              </a:solidFill>
              <a:latin typeface="Arial"/>
              <a:cs typeface="Arial"/>
            </a:rPr>
            <a:t>FRTB</a:t>
          </a:r>
        </a:p>
      </xdr:txBody>
    </xdr:sp>
    <xdr:clientData/>
  </xdr:twoCellAnchor>
  <xdr:twoCellAnchor editAs="oneCell">
    <xdr:from>
      <xdr:col>1</xdr:col>
      <xdr:colOff>198782</xdr:colOff>
      <xdr:row>0</xdr:row>
      <xdr:rowOff>190499</xdr:rowOff>
    </xdr:from>
    <xdr:to>
      <xdr:col>4</xdr:col>
      <xdr:colOff>784391</xdr:colOff>
      <xdr:row>2</xdr:row>
      <xdr:rowOff>256295</xdr:rowOff>
    </xdr:to>
    <xdr:pic>
      <xdr:nvPicPr>
        <xdr:cNvPr id="5" name="Picture 4" descr="A picture containing drawing&#10;&#10;Description automatically generated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82" y="190499"/>
          <a:ext cx="3099288" cy="11310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387350</xdr:colOff>
          <xdr:row>5</xdr:row>
          <xdr:rowOff>12700</xdr:rowOff>
        </xdr:from>
        <xdr:to>
          <xdr:col>24</xdr:col>
          <xdr:colOff>342900</xdr:colOff>
          <xdr:row>6</xdr:row>
          <xdr:rowOff>88900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9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4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G16"/>
  <sheetViews>
    <sheetView showGridLines="0" workbookViewId="0">
      <selection activeCell="D39" sqref="D39"/>
    </sheetView>
  </sheetViews>
  <sheetFormatPr defaultColWidth="11.453125" defaultRowHeight="14.5"/>
  <cols>
    <col min="2" max="2" width="18" customWidth="1"/>
    <col min="3" max="3" width="4.453125" customWidth="1"/>
    <col min="4" max="4" width="16.26953125" customWidth="1"/>
    <col min="5" max="5" width="11.453125" bestFit="1" customWidth="1"/>
  </cols>
  <sheetData>
    <row r="1" spans="2:7" ht="15" thickBot="1"/>
    <row r="2" spans="2:7" ht="15" thickBot="1">
      <c r="B2" s="42" t="s">
        <v>33</v>
      </c>
      <c r="D2" s="42" t="s">
        <v>430</v>
      </c>
      <c r="F2" s="42" t="s">
        <v>34</v>
      </c>
    </row>
    <row r="3" spans="2:7">
      <c r="B3" s="38" t="s">
        <v>7</v>
      </c>
      <c r="D3" s="38" t="s">
        <v>32</v>
      </c>
      <c r="F3" s="37" t="s">
        <v>0</v>
      </c>
    </row>
    <row r="4" spans="2:7" ht="15" thickBot="1">
      <c r="B4" s="41" t="s">
        <v>30</v>
      </c>
      <c r="D4" s="41" t="s">
        <v>31</v>
      </c>
      <c r="F4" s="38" t="s">
        <v>2</v>
      </c>
    </row>
    <row r="5" spans="2:7" ht="15" thickBot="1">
      <c r="F5" s="41" t="s">
        <v>1</v>
      </c>
    </row>
    <row r="6" spans="2:7" ht="15" thickBot="1">
      <c r="B6" s="57" t="s">
        <v>44</v>
      </c>
    </row>
    <row r="7" spans="2:7" ht="15" thickBot="1">
      <c r="B7" s="141" t="s">
        <v>45</v>
      </c>
      <c r="D7" s="92" t="s">
        <v>429</v>
      </c>
      <c r="E7" s="603">
        <v>45261</v>
      </c>
    </row>
    <row r="8" spans="2:7">
      <c r="B8" s="142" t="s">
        <v>46</v>
      </c>
    </row>
    <row r="9" spans="2:7">
      <c r="B9" s="142" t="s">
        <v>43</v>
      </c>
    </row>
    <row r="10" spans="2:7">
      <c r="B10" s="142" t="s">
        <v>41</v>
      </c>
    </row>
    <row r="11" spans="2:7" ht="15" thickBot="1">
      <c r="B11" s="143" t="s">
        <v>42</v>
      </c>
    </row>
    <row r="12" spans="2:7">
      <c r="G12" s="168"/>
    </row>
    <row r="13" spans="2:7" ht="15" thickBot="1"/>
    <row r="14" spans="2:7" ht="15" thickBot="1">
      <c r="B14" s="57" t="s">
        <v>420</v>
      </c>
      <c r="D14" s="57" t="s">
        <v>421</v>
      </c>
    </row>
    <row r="15" spans="2:7">
      <c r="B15" s="37" t="b">
        <v>1</v>
      </c>
      <c r="D15" s="37" t="s">
        <v>83</v>
      </c>
    </row>
    <row r="16" spans="2:7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defaultColWidth="11.453125" defaultRowHeight="14.5"/>
  <cols>
    <col min="1" max="1" width="6.1796875" customWidth="1"/>
    <col min="2" max="2" width="12.54296875" customWidth="1"/>
    <col min="4" max="4" width="13.453125" customWidth="1"/>
    <col min="5" max="5" width="9.81640625" customWidth="1"/>
    <col min="6" max="6" width="12" customWidth="1"/>
    <col min="7" max="7" width="25.453125" customWidth="1"/>
    <col min="8" max="8" width="11.54296875" customWidth="1"/>
    <col min="9" max="9" width="10.54296875" customWidth="1"/>
    <col min="10" max="10" width="10.1796875" customWidth="1"/>
    <col min="11" max="11" width="9.453125" customWidth="1"/>
    <col min="12" max="12" width="12.81640625" customWidth="1"/>
    <col min="13" max="13" width="10" customWidth="1"/>
    <col min="14" max="14" width="5.54296875" customWidth="1"/>
    <col min="15" max="15" width="12.1796875" customWidth="1"/>
    <col min="16" max="16" width="10.54296875" customWidth="1"/>
    <col min="17" max="17" width="8" style="48" customWidth="1"/>
    <col min="23" max="23" width="10" customWidth="1"/>
    <col min="24" max="24" width="11.54296875" customWidth="1"/>
    <col min="25" max="25" width="8.453125" customWidth="1"/>
    <col min="26" max="26" width="12.453125" customWidth="1"/>
    <col min="27" max="27" width="10" customWidth="1"/>
  </cols>
  <sheetData>
    <row r="1" spans="1:23" ht="24.65" customHeight="1" thickBot="1"/>
    <row r="2" spans="1:23" ht="31.4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648" t="s">
        <v>21</v>
      </c>
      <c r="D5" s="649"/>
      <c r="F5" s="646" t="s">
        <v>23</v>
      </c>
      <c r="G5" s="647"/>
      <c r="I5" s="646" t="s">
        <v>22</v>
      </c>
      <c r="J5" s="647"/>
      <c r="R5" s="648" t="s">
        <v>39</v>
      </c>
      <c r="S5" s="649"/>
      <c r="U5" s="646" t="s">
        <v>40</v>
      </c>
      <c r="V5" s="647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20.895980277159474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4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648" t="s">
        <v>21</v>
      </c>
      <c r="C20" s="650"/>
      <c r="D20" s="650"/>
      <c r="E20" s="650"/>
      <c r="F20" s="650"/>
      <c r="G20" s="650"/>
      <c r="H20" s="650"/>
      <c r="I20" s="650"/>
      <c r="J20" s="649"/>
      <c r="L20" s="648" t="s">
        <v>23</v>
      </c>
      <c r="M20" s="649"/>
      <c r="O20" s="648" t="s">
        <v>22</v>
      </c>
      <c r="P20" s="649"/>
      <c r="R20" s="651" t="s">
        <v>39</v>
      </c>
      <c r="S20" s="652"/>
      <c r="T20" s="652"/>
      <c r="U20" s="652"/>
      <c r="V20" s="652"/>
      <c r="W20" s="652"/>
      <c r="X20" s="653"/>
      <c r="Z20" s="646" t="s">
        <v>40</v>
      </c>
      <c r="AA20" s="647"/>
    </row>
    <row r="21" spans="2:27" ht="15" thickBot="1">
      <c r="B21" s="117" t="s">
        <v>91</v>
      </c>
      <c r="C21" s="158" t="s">
        <v>14</v>
      </c>
      <c r="D21" s="159" t="s">
        <v>27</v>
      </c>
      <c r="E21" s="158" t="s">
        <v>11</v>
      </c>
      <c r="F21" s="159" t="s">
        <v>3</v>
      </c>
      <c r="G21" s="158" t="s">
        <v>8</v>
      </c>
      <c r="H21" s="159" t="s">
        <v>9</v>
      </c>
      <c r="I21" s="158" t="s">
        <v>10</v>
      </c>
      <c r="J21" s="160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8.9173400537655034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50800</xdr:colOff>
                    <xdr:row>10</xdr:row>
                    <xdr:rowOff>76200</xdr:rowOff>
                  </from>
                  <to>
                    <xdr:col>10</xdr:col>
                    <xdr:colOff>488950</xdr:colOff>
                    <xdr:row>12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23"/>
  <sheetViews>
    <sheetView showGridLines="0" zoomScale="145" zoomScaleNormal="145" workbookViewId="0">
      <selection activeCell="F14" sqref="F14"/>
    </sheetView>
  </sheetViews>
  <sheetFormatPr defaultColWidth="11.453125" defaultRowHeight="14.5"/>
  <cols>
    <col min="2" max="2" width="11.81640625" bestFit="1" customWidth="1"/>
    <col min="6" max="17" width="11.1796875" customWidth="1"/>
  </cols>
  <sheetData>
    <row r="6" spans="2:17" ht="15" thickBot="1"/>
    <row r="7" spans="2:17" ht="15" thickBot="1">
      <c r="B7" s="109" t="s">
        <v>47</v>
      </c>
      <c r="C7" s="103">
        <f ca="1">Parameter_Date</f>
        <v>45261</v>
      </c>
      <c r="D7" s="110"/>
      <c r="E7" s="111"/>
      <c r="F7" s="654" t="s">
        <v>48</v>
      </c>
      <c r="G7" s="655"/>
      <c r="H7" s="655"/>
      <c r="I7" s="655"/>
      <c r="J7" s="655"/>
      <c r="K7" s="655"/>
      <c r="L7" s="655"/>
      <c r="M7" s="655"/>
      <c r="N7" s="655"/>
      <c r="O7" s="655"/>
      <c r="P7" s="655"/>
      <c r="Q7" s="656"/>
    </row>
    <row r="8" spans="2:17" ht="21.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608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3.4180000000000002E-2</v>
      </c>
      <c r="G10" s="71">
        <v>3.039E-2</v>
      </c>
      <c r="H10" s="71">
        <v>2.8570000000000002E-2</v>
      </c>
      <c r="I10" s="71">
        <v>2.7535E-2</v>
      </c>
      <c r="J10" s="71">
        <v>2.6499999999999999E-2</v>
      </c>
      <c r="K10" s="71">
        <v>2.6334999999999997E-2</v>
      </c>
      <c r="L10" s="71">
        <v>2.6169999999999999E-2</v>
      </c>
      <c r="M10" s="71">
        <v>2.6169999999999999E-2</v>
      </c>
      <c r="N10" s="71">
        <v>2.63E-2</v>
      </c>
      <c r="O10" s="71">
        <v>2.6409999999999999E-2</v>
      </c>
      <c r="P10" s="71">
        <v>2.6950000000000002E-2</v>
      </c>
      <c r="Q10" s="72">
        <v>2.6950000000000002E-2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657" t="s">
        <v>68</v>
      </c>
      <c r="G13" s="658"/>
      <c r="H13" s="658"/>
      <c r="I13" s="658"/>
      <c r="J13" s="658"/>
      <c r="K13" s="658"/>
      <c r="L13" s="658"/>
      <c r="M13" s="658"/>
      <c r="N13" s="658"/>
      <c r="O13" s="658"/>
      <c r="P13" s="658"/>
      <c r="Q13" s="659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0.99026486554709214</v>
      </c>
      <c r="G14" s="82">
        <f ca="1"/>
        <v>0.97955132951766355</v>
      </c>
      <c r="H14" s="82">
        <f ca="1"/>
        <v>0.96745311120557065</v>
      </c>
      <c r="I14" s="82">
        <f ca="1"/>
        <v>0.9528717060040055</v>
      </c>
      <c r="J14" s="82">
        <f ca="1"/>
        <v>0.93654274821305272</v>
      </c>
      <c r="K14" s="82">
        <f ca="1"/>
        <v>0.91863114161470505</v>
      </c>
      <c r="L14" s="82">
        <f ca="1"/>
        <v>0.89927550630413933</v>
      </c>
      <c r="M14" s="82">
        <f ca="1"/>
        <v>0.87875748181745994</v>
      </c>
      <c r="N14" s="82">
        <f ca="1"/>
        <v>0.85696887813521094</v>
      </c>
      <c r="O14" s="82">
        <f ca="1"/>
        <v>0.83446052711676966</v>
      </c>
      <c r="P14" s="82">
        <f ca="1"/>
        <v>0.72136230718434935</v>
      </c>
      <c r="Q14" s="83">
        <f ca="1"/>
        <v>0.61571362603602431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0.96694965961684576</v>
      </c>
      <c r="G15" s="86">
        <f ca="1"/>
        <v>0.94198739759961247</v>
      </c>
      <c r="H15" s="86">
        <f ca="1"/>
        <v>0.91920011340248742</v>
      </c>
      <c r="I15" s="86">
        <f ca="1"/>
        <v>0.89741686067770965</v>
      </c>
      <c r="J15" s="86">
        <f ca="1"/>
        <v>0.87800565775087214</v>
      </c>
      <c r="K15" s="86">
        <f ca="1"/>
        <v>0.85621678653285538</v>
      </c>
      <c r="L15" s="86">
        <f ca="1"/>
        <v>0.83525893676350116</v>
      </c>
      <c r="M15" s="86">
        <f ca="1"/>
        <v>0.81395766425581839</v>
      </c>
      <c r="N15" s="86">
        <f ca="1"/>
        <v>0.79219865557188807</v>
      </c>
      <c r="O15" s="86">
        <f ca="1"/>
        <v>0.77096823738996856</v>
      </c>
      <c r="P15" s="86">
        <f ca="1"/>
        <v>0.67065808472622623</v>
      </c>
      <c r="Q15" s="87">
        <f ca="1"/>
        <v>0.58715760840680808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0.95576366713024452</v>
      </c>
      <c r="G16" s="90">
        <f ca="1"/>
        <v>0.91549240713546298</v>
      </c>
      <c r="H16" s="90">
        <f ca="1"/>
        <v>0.87429435475494</v>
      </c>
      <c r="I16" s="90">
        <f ca="1"/>
        <v>0.83268438327554051</v>
      </c>
      <c r="J16" s="90">
        <f ca="1"/>
        <v>0.79151882707073262</v>
      </c>
      <c r="K16" s="90">
        <f ca="1"/>
        <v>0.75156883361098881</v>
      </c>
      <c r="L16" s="90">
        <f ca="1"/>
        <v>0.71290426137381979</v>
      </c>
      <c r="M16" s="90">
        <f ca="1"/>
        <v>0.67584296803214672</v>
      </c>
      <c r="N16" s="90">
        <f ca="1"/>
        <v>0.64002813667522718</v>
      </c>
      <c r="O16" s="90">
        <f ca="1"/>
        <v>0.6058551841799954</v>
      </c>
      <c r="P16" s="90">
        <f ca="1"/>
        <v>0.45924837428882676</v>
      </c>
      <c r="Q16" s="91">
        <f ca="1"/>
        <v>0.34827904778688729</v>
      </c>
    </row>
    <row r="17" spans="2:17" ht="15" thickBot="1"/>
    <row r="18" spans="2:17" ht="15" thickBot="1">
      <c r="B18" s="128" t="s">
        <v>666</v>
      </c>
      <c r="C18" s="42" cm="1">
        <f t="array" aca="1" ref="C18" ca="1">GetStoreCurve(B21:B23,C21:C23,D21:D23,E21:E23,F21:F23,H21:O23,H20:O20,G21:G23)</f>
        <v>0</v>
      </c>
    </row>
    <row r="19" spans="2:17" ht="15" thickBot="1">
      <c r="B19" s="128" t="s">
        <v>654</v>
      </c>
      <c r="C19" s="550"/>
      <c r="D19" s="101"/>
      <c r="E19" s="101"/>
      <c r="F19" s="101"/>
      <c r="G19" s="102"/>
      <c r="H19" s="654" t="s">
        <v>48</v>
      </c>
      <c r="I19" s="655"/>
      <c r="J19" s="655"/>
      <c r="K19" s="655"/>
      <c r="L19" s="655"/>
      <c r="M19" s="655"/>
      <c r="N19" s="655"/>
      <c r="O19" s="656"/>
    </row>
    <row r="20" spans="2:17" ht="21.5" thickBot="1">
      <c r="B20" s="128" t="s">
        <v>49</v>
      </c>
      <c r="C20" s="551" t="s">
        <v>50</v>
      </c>
      <c r="D20" s="551" t="s">
        <v>51</v>
      </c>
      <c r="E20" s="551" t="s">
        <v>52</v>
      </c>
      <c r="F20" s="128" t="s">
        <v>655</v>
      </c>
      <c r="G20" s="552" t="s">
        <v>656</v>
      </c>
      <c r="H20" s="58" t="s">
        <v>608</v>
      </c>
      <c r="I20" s="59" t="s">
        <v>54</v>
      </c>
      <c r="J20" s="59" t="s">
        <v>55</v>
      </c>
      <c r="K20" s="59" t="s">
        <v>57</v>
      </c>
      <c r="L20" s="59" t="s">
        <v>59</v>
      </c>
      <c r="M20" s="59" t="s">
        <v>62</v>
      </c>
      <c r="N20" s="59" t="s">
        <v>63</v>
      </c>
      <c r="O20" s="335" t="s">
        <v>607</v>
      </c>
    </row>
    <row r="21" spans="2:17">
      <c r="B21" s="61" t="s">
        <v>66</v>
      </c>
      <c r="C21" s="548" t="s">
        <v>42</v>
      </c>
      <c r="D21" s="548">
        <v>1</v>
      </c>
      <c r="E21" s="548">
        <v>6</v>
      </c>
      <c r="F21" s="548" t="s">
        <v>660</v>
      </c>
      <c r="G21" s="63" t="s">
        <v>657</v>
      </c>
      <c r="H21" s="554">
        <v>3.4180000000000002E-2</v>
      </c>
      <c r="I21" s="555">
        <v>3.039E-2</v>
      </c>
      <c r="J21" s="555">
        <v>2.8570000000000002E-2</v>
      </c>
      <c r="K21" s="555">
        <v>2.708E-2</v>
      </c>
      <c r="L21" s="555">
        <v>2.665E-2</v>
      </c>
      <c r="M21" s="555">
        <v>2.6720000000000001E-2</v>
      </c>
      <c r="N21" s="555">
        <v>2.7040000000000002E-2</v>
      </c>
      <c r="O21" s="556">
        <v>2.436E-2</v>
      </c>
      <c r="P21" s="547"/>
      <c r="Q21" s="547"/>
    </row>
    <row r="22" spans="2:17">
      <c r="B22" s="67" t="s">
        <v>66</v>
      </c>
      <c r="C22" s="549" t="s">
        <v>42</v>
      </c>
      <c r="D22" s="549">
        <v>1</v>
      </c>
      <c r="E22" s="549">
        <v>3</v>
      </c>
      <c r="F22" s="549" t="s">
        <v>661</v>
      </c>
      <c r="G22" s="69" t="s">
        <v>657</v>
      </c>
      <c r="H22" s="557">
        <v>3.3070000000000002E-2</v>
      </c>
      <c r="I22" s="558">
        <v>2.955E-2</v>
      </c>
      <c r="J22" s="558">
        <v>2.784E-2</v>
      </c>
      <c r="K22" s="558">
        <v>2.6499999999999999E-2</v>
      </c>
      <c r="L22" s="558">
        <v>2.6169999999999999E-2</v>
      </c>
      <c r="M22" s="558">
        <v>2.6409999999999999E-2</v>
      </c>
      <c r="N22" s="558">
        <v>2.6950000000000002E-2</v>
      </c>
      <c r="O22" s="559">
        <v>2.4729999999999999E-2</v>
      </c>
      <c r="P22" s="547"/>
      <c r="Q22" s="547"/>
    </row>
    <row r="23" spans="2:17" ht="15" thickBot="1">
      <c r="B23" s="73" t="s">
        <v>67</v>
      </c>
      <c r="C23" s="553" t="s">
        <v>43</v>
      </c>
      <c r="D23" s="553">
        <v>1.0865</v>
      </c>
      <c r="E23" s="553">
        <v>1</v>
      </c>
      <c r="F23" s="553" t="s">
        <v>659</v>
      </c>
      <c r="G23" s="75" t="s">
        <v>658</v>
      </c>
      <c r="H23" s="560">
        <v>4.7559999999999998E-2</v>
      </c>
      <c r="I23" s="561">
        <v>4.2529999999999998E-2</v>
      </c>
      <c r="J23" s="561">
        <v>3.9980000000000002E-2</v>
      </c>
      <c r="K23" s="561">
        <v>3.7789999999999997E-2</v>
      </c>
      <c r="L23" s="561">
        <v>3.7139999999999999E-2</v>
      </c>
      <c r="M23" s="561">
        <v>3.6999999999999998E-2</v>
      </c>
      <c r="N23" s="561">
        <v>3.7330000000000002E-2</v>
      </c>
      <c r="O23" s="562">
        <v>3.5560000000000001E-2</v>
      </c>
    </row>
  </sheetData>
  <mergeCells count="3">
    <mergeCell ref="H19:O19"/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793750</xdr:colOff>
                    <xdr:row>3</xdr:row>
                    <xdr:rowOff>19050</xdr:rowOff>
                  </from>
                  <to>
                    <xdr:col>5</xdr:col>
                    <xdr:colOff>31750</xdr:colOff>
                    <xdr:row>5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BA467"/>
  <sheetViews>
    <sheetView showGridLines="0" topLeftCell="G1" zoomScale="115" zoomScaleNormal="115" workbookViewId="0">
      <selection activeCell="N12" sqref="N12"/>
    </sheetView>
  </sheetViews>
  <sheetFormatPr defaultColWidth="11.453125" defaultRowHeight="14.5"/>
  <cols>
    <col min="2" max="2" width="30.453125" bestFit="1" customWidth="1"/>
    <col min="5" max="9" width="9.453125" customWidth="1"/>
    <col min="10" max="10" width="11.26953125" customWidth="1"/>
    <col min="11" max="13" width="9.453125" customWidth="1"/>
    <col min="14" max="31" width="8.453125" customWidth="1"/>
    <col min="33" max="33" width="14.54296875" customWidth="1"/>
    <col min="34" max="34" width="13.26953125" bestFit="1" customWidth="1"/>
    <col min="35" max="35" width="15.8164062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654" t="s">
        <v>72</v>
      </c>
      <c r="H2" s="655"/>
      <c r="I2" s="655"/>
      <c r="J2" s="144" t="b">
        <v>1</v>
      </c>
    </row>
    <row r="3" spans="1:50" ht="15" thickBot="1">
      <c r="J3" s="99"/>
    </row>
    <row r="4" spans="1:50" ht="15" thickBot="1">
      <c r="G4" s="654" t="s">
        <v>73</v>
      </c>
      <c r="H4" s="655"/>
      <c r="I4" s="656"/>
      <c r="J4" s="140" t="b">
        <v>0</v>
      </c>
    </row>
    <row r="5" spans="1:50" ht="16.399999999999999" customHeight="1" thickBot="1">
      <c r="J5" s="99"/>
    </row>
    <row r="6" spans="1:50" s="79" customFormat="1" ht="15.65" customHeight="1" thickBot="1">
      <c r="B6" s="145" t="s">
        <v>70</v>
      </c>
      <c r="C6" s="663" t="b">
        <v>1</v>
      </c>
      <c r="D6" s="664"/>
      <c r="E6" s="85"/>
      <c r="F6" s="85"/>
      <c r="G6" s="654" t="s">
        <v>74</v>
      </c>
      <c r="H6" s="655"/>
      <c r="I6" s="656"/>
      <c r="J6" s="140" t="s">
        <v>422</v>
      </c>
      <c r="K6" s="85"/>
      <c r="L6" s="93"/>
      <c r="M6" s="437"/>
      <c r="N6" s="268"/>
      <c r="O6" s="268"/>
      <c r="P6" s="268"/>
      <c r="Q6" s="268"/>
      <c r="R6" s="268"/>
      <c r="S6" s="268"/>
      <c r="T6" s="268"/>
      <c r="U6" s="268"/>
      <c r="V6" s="268"/>
      <c r="W6" s="268"/>
      <c r="X6" s="268"/>
    </row>
    <row r="7" spans="1:50" s="79" customFormat="1" ht="13.5" customHeight="1" thickBot="1">
      <c r="B7" s="146" t="s">
        <v>71</v>
      </c>
      <c r="C7" s="665">
        <f ca="1">GetCDSRefDate(Parameter_Date,C6)</f>
        <v>45280</v>
      </c>
      <c r="D7" s="666"/>
      <c r="E7" s="85"/>
      <c r="F7" s="85"/>
    </row>
    <row r="8" spans="1:50" s="79" customFormat="1" ht="10.5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8"/>
      <c r="B9" s="148"/>
      <c r="C9" s="148"/>
      <c r="D9" s="147"/>
      <c r="E9" s="654" t="s">
        <v>76</v>
      </c>
      <c r="F9" s="655"/>
      <c r="G9" s="655"/>
      <c r="H9" s="655"/>
      <c r="I9" s="655"/>
      <c r="J9" s="655"/>
      <c r="K9" s="655"/>
      <c r="L9" s="655"/>
      <c r="M9" s="656"/>
      <c r="N9" s="660" t="s">
        <v>77</v>
      </c>
      <c r="O9" s="661"/>
      <c r="P9" s="661"/>
      <c r="Q9" s="661"/>
      <c r="R9" s="661"/>
      <c r="S9" s="661"/>
      <c r="T9" s="661"/>
      <c r="U9" s="661"/>
      <c r="V9" s="662"/>
      <c r="W9" s="660" t="s">
        <v>78</v>
      </c>
      <c r="X9" s="661"/>
      <c r="Y9" s="661"/>
      <c r="Z9" s="661"/>
      <c r="AA9" s="661"/>
      <c r="AB9" s="661"/>
      <c r="AC9" s="661"/>
      <c r="AD9" s="661"/>
      <c r="AE9" s="662"/>
    </row>
    <row r="10" spans="1:50" s="79" customFormat="1" ht="15" customHeight="1" thickBot="1">
      <c r="A10" s="179" t="s">
        <v>79</v>
      </c>
      <c r="B10" s="184" t="s">
        <v>80</v>
      </c>
      <c r="C10" s="183" t="s">
        <v>81</v>
      </c>
      <c r="D10" s="179" t="s">
        <v>82</v>
      </c>
      <c r="E10" s="110" t="s">
        <v>83</v>
      </c>
      <c r="F10" s="153" t="s">
        <v>84</v>
      </c>
      <c r="G10" s="153" t="s">
        <v>53</v>
      </c>
      <c r="H10" s="153" t="s">
        <v>54</v>
      </c>
      <c r="I10" s="153" t="s">
        <v>55</v>
      </c>
      <c r="J10" s="153" t="s">
        <v>56</v>
      </c>
      <c r="K10" s="153" t="s">
        <v>57</v>
      </c>
      <c r="L10" s="153" t="s">
        <v>59</v>
      </c>
      <c r="M10" s="111" t="s">
        <v>62</v>
      </c>
      <c r="N10" s="185" t="str">
        <f t="shared" ref="N10:V10" ca="1" si="0">IF(E10="","",E10)</f>
        <v>3M</v>
      </c>
      <c r="O10" s="163" t="str">
        <f t="shared" ca="1" si="0"/>
        <v>6M</v>
      </c>
      <c r="P10" s="163" t="str">
        <f t="shared" ca="1" si="0"/>
        <v>1Y</v>
      </c>
      <c r="Q10" s="163" t="str">
        <f t="shared" ca="1" si="0"/>
        <v>2Y</v>
      </c>
      <c r="R10" s="163" t="str">
        <f t="shared" ca="1" si="0"/>
        <v>3Y</v>
      </c>
      <c r="S10" s="163" t="str">
        <f t="shared" ca="1" si="0"/>
        <v>4Y</v>
      </c>
      <c r="T10" s="163" t="str">
        <f t="shared" ca="1" si="0"/>
        <v>5Y</v>
      </c>
      <c r="U10" s="163" t="str">
        <f t="shared" ca="1" si="0"/>
        <v>7Y</v>
      </c>
      <c r="V10" s="163" t="str">
        <f t="shared" ca="1" si="0"/>
        <v>10Y</v>
      </c>
      <c r="W10" s="185" t="str">
        <f t="shared" ref="W10:AE10" ca="1" si="1">IF(E10="","",E10)</f>
        <v>3M</v>
      </c>
      <c r="X10" s="163" t="str">
        <f t="shared" ca="1" si="1"/>
        <v>6M</v>
      </c>
      <c r="Y10" s="163" t="str">
        <f t="shared" ca="1" si="1"/>
        <v>1Y</v>
      </c>
      <c r="Z10" s="163" t="str">
        <f t="shared" ca="1" si="1"/>
        <v>2Y</v>
      </c>
      <c r="AA10" s="163" t="str">
        <f t="shared" ca="1" si="1"/>
        <v>3Y</v>
      </c>
      <c r="AB10" s="163" t="str">
        <f t="shared" ca="1" si="1"/>
        <v>4Y</v>
      </c>
      <c r="AC10" s="163" t="str">
        <f t="shared" ca="1" si="1"/>
        <v>5Y</v>
      </c>
      <c r="AD10" s="163" t="str">
        <f t="shared" ca="1" si="1"/>
        <v>7Y</v>
      </c>
      <c r="AE10" s="164" t="str">
        <f t="shared" ca="1" si="1"/>
        <v>10Y</v>
      </c>
    </row>
    <row r="11" spans="1:50" s="79" customFormat="1" ht="15" customHeight="1" thickBot="1">
      <c r="A11" s="181"/>
      <c r="B11" s="182"/>
      <c r="C11" s="180" t="s">
        <v>85</v>
      </c>
      <c r="D11" s="183"/>
      <c r="E11" s="151" cm="1">
        <f t="array" aca="1" ref="E11" ca="1">IF(E10="","",GetConvertDate(CDSRollDate,E10))</f>
        <v>45371</v>
      </c>
      <c r="F11" s="151" cm="1">
        <f t="array" aca="1" ref="F11" ca="1">IF(F10="","",GetConvertDate(CDSRollDate,F10))</f>
        <v>45463</v>
      </c>
      <c r="G11" s="151" cm="1">
        <f t="array" aca="1" ref="G11" ca="1">IF(G10="","",GetConvertDate(CDSRollDate,G10))</f>
        <v>45646</v>
      </c>
      <c r="H11" s="151" cm="1">
        <f t="array" aca="1" ref="H11" ca="1">IF(H10="","",GetConvertDate(CDSRollDate,H10))</f>
        <v>46011</v>
      </c>
      <c r="I11" s="151" cm="1">
        <f t="array" aca="1" ref="I11" ca="1">IF(I10="","",GetConvertDate(CDSRollDate,I10))</f>
        <v>46376</v>
      </c>
      <c r="J11" s="151" cm="1">
        <f t="array" aca="1" ref="J11" ca="1">IF(J10="","",GetConvertDate(CDSRollDate,J10))</f>
        <v>46741</v>
      </c>
      <c r="K11" s="151" cm="1">
        <f t="array" aca="1" ref="K11" ca="1">IF(K10="","",GetConvertDate(CDSRollDate,K10))</f>
        <v>47107</v>
      </c>
      <c r="L11" s="151" cm="1">
        <f t="array" aca="1" ref="L11" ca="1">IF(L10="","",GetConvertDate(CDSRollDate,L10))</f>
        <v>47837</v>
      </c>
      <c r="M11" s="459" cm="1">
        <f t="array" aca="1" ref="M11" ca="1">IF(M10="","",GetConvertDate(CDSRollDate,M10))</f>
        <v>48933</v>
      </c>
      <c r="N11" s="150"/>
      <c r="O11" s="150"/>
      <c r="P11" s="150"/>
      <c r="Q11" s="150"/>
      <c r="R11" s="150"/>
      <c r="S11" s="150"/>
      <c r="T11" s="150"/>
      <c r="U11" s="150"/>
      <c r="V11" s="150"/>
      <c r="W11" s="149"/>
      <c r="X11" s="150"/>
      <c r="Y11" s="150"/>
      <c r="Z11" s="150"/>
      <c r="AA11" s="150"/>
      <c r="AB11" s="150"/>
      <c r="AC11" s="150"/>
      <c r="AD11" s="150"/>
      <c r="AE11" s="152"/>
    </row>
    <row r="12" spans="1:50" s="79" customFormat="1" ht="10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3.2599999999999999E-3</v>
      </c>
      <c r="J12" s="131"/>
      <c r="K12" s="131">
        <v>4.0000000000000001E-3</v>
      </c>
      <c r="L12" s="131">
        <v>4.4000000000000003E-3</v>
      </c>
      <c r="M12" s="131">
        <v>4.7999999999999996E-3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13">
        <f ca="1"/>
        <v>1.2365688732540736E-3</v>
      </c>
      <c r="P12" s="133">
        <f ca="1"/>
        <v>3.5519348620060009E-3</v>
      </c>
      <c r="Q12" s="133">
        <f ca="1"/>
        <v>8.9946889074786762E-3</v>
      </c>
      <c r="R12" s="133">
        <f ca="1"/>
        <v>1.6778503046322224E-2</v>
      </c>
      <c r="S12" s="133">
        <f ca="1"/>
        <v>0</v>
      </c>
      <c r="T12" s="133">
        <f ca="1"/>
        <v>3.3949274045640521E-2</v>
      </c>
      <c r="U12" s="133">
        <f ca="1"/>
        <v>5.1786315619329115E-2</v>
      </c>
      <c r="V12" s="134">
        <f ca="1"/>
        <v>7.9730038607227827E-2</v>
      </c>
      <c r="W12" s="132">
        <f ca="1"/>
        <v>0</v>
      </c>
      <c r="X12" s="133">
        <f ca="1"/>
        <v>1.3294795538730808E-3</v>
      </c>
      <c r="Y12" s="133">
        <f ca="1"/>
        <v>3.7179957007343889E-3</v>
      </c>
      <c r="Z12" s="133">
        <f ca="1"/>
        <v>9.3249689614605114E-3</v>
      </c>
      <c r="AA12" s="133">
        <f ca="1"/>
        <v>1.7269990912599731E-2</v>
      </c>
      <c r="AB12" s="133">
        <f ca="1"/>
        <v>0</v>
      </c>
      <c r="AC12" s="133">
        <f ca="1"/>
        <v>3.4773568015021405E-2</v>
      </c>
      <c r="AD12" s="133">
        <f ca="1"/>
        <v>5.2916301459913773E-2</v>
      </c>
      <c r="AE12" s="134">
        <f ca="1"/>
        <v>8.1290461313695883E-2</v>
      </c>
      <c r="AG12" s="452"/>
      <c r="AH12" s="456"/>
      <c r="AI12" s="455"/>
      <c r="AJ12" s="457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4">
        <v>8.0000000000000004E-4</v>
      </c>
      <c r="G13" s="154">
        <v>1.1000000000000001E-3</v>
      </c>
      <c r="H13" s="154">
        <v>1.6000000000000001E-3</v>
      </c>
      <c r="I13" s="154">
        <v>2.3E-3</v>
      </c>
      <c r="J13" s="154" t="s">
        <v>87</v>
      </c>
      <c r="K13" s="154">
        <v>3.5999999999999999E-3</v>
      </c>
      <c r="L13" s="154">
        <v>4.3E-3</v>
      </c>
      <c r="M13" s="154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55">
        <f ca="1"/>
        <v>7.4398417212018231E-4</v>
      </c>
      <c r="P13" s="155">
        <f ca="1"/>
        <v>1.9536571421092663E-3</v>
      </c>
      <c r="Q13" s="155">
        <f ca="1"/>
        <v>5.5491142120741577E-3</v>
      </c>
      <c r="R13" s="155">
        <f ca="1"/>
        <v>1.1901391272565287E-2</v>
      </c>
      <c r="S13" s="155">
        <f ca="1"/>
        <v>0</v>
      </c>
      <c r="T13" s="155">
        <f ca="1"/>
        <v>3.0868410292011816E-2</v>
      </c>
      <c r="U13" s="155">
        <f ca="1"/>
        <v>5.1173590853936912E-2</v>
      </c>
      <c r="V13" s="138">
        <f ca="1"/>
        <v>8.9310613967052976E-2</v>
      </c>
      <c r="W13" s="137">
        <f ca="1"/>
        <v>0</v>
      </c>
      <c r="X13" s="155">
        <f ca="1"/>
        <v>8.3694231015207787E-4</v>
      </c>
      <c r="Y13" s="155">
        <f ca="1"/>
        <v>2.1199843382578853E-3</v>
      </c>
      <c r="Z13" s="155">
        <f ca="1"/>
        <v>5.8805425995489546E-3</v>
      </c>
      <c r="AA13" s="155">
        <f ca="1"/>
        <v>1.2395317085200142E-2</v>
      </c>
      <c r="AB13" s="155">
        <f ca="1"/>
        <v>0</v>
      </c>
      <c r="AC13" s="155">
        <f ca="1"/>
        <v>3.1696299453621846E-2</v>
      </c>
      <c r="AD13" s="155">
        <f ca="1"/>
        <v>5.2306720256028005E-2</v>
      </c>
      <c r="AE13" s="138">
        <f ca="1"/>
        <v>9.0857954354961468E-2</v>
      </c>
      <c r="AG13" s="453"/>
      <c r="AH13" s="456"/>
      <c r="AI13" s="455"/>
      <c r="AJ13" s="457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4">
        <v>5.9999999999999995E-4</v>
      </c>
      <c r="G14" s="154">
        <v>1E-3</v>
      </c>
      <c r="H14" s="154">
        <v>1.8E-3</v>
      </c>
      <c r="I14" s="154">
        <v>2.7000000000000001E-3</v>
      </c>
      <c r="J14" s="154" t="s">
        <v>87</v>
      </c>
      <c r="K14" s="154">
        <v>4.0000000000000001E-3</v>
      </c>
      <c r="L14" s="154">
        <v>5.1000000000000004E-3</v>
      </c>
      <c r="M14" s="154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55">
        <f ca="1"/>
        <v>5.5804003710946404E-4</v>
      </c>
      <c r="P14" s="155">
        <f ca="1"/>
        <v>1.7783909212492066E-3</v>
      </c>
      <c r="Q14" s="155">
        <f ca="1"/>
        <v>6.2564960805897574E-3</v>
      </c>
      <c r="R14" s="155">
        <f ca="1"/>
        <v>1.3988136327168665E-2</v>
      </c>
      <c r="S14" s="155">
        <f ca="1"/>
        <v>0</v>
      </c>
      <c r="T14" s="155">
        <f ca="1"/>
        <v>3.4234964024173364E-2</v>
      </c>
      <c r="U14" s="155">
        <f ca="1"/>
        <v>6.0669536948478986E-2</v>
      </c>
      <c r="V14" s="138">
        <f ca="1"/>
        <v>0.10394100188680244</v>
      </c>
      <c r="W14" s="137">
        <f ca="1"/>
        <v>0</v>
      </c>
      <c r="X14" s="155">
        <f ca="1"/>
        <v>6.5101587709581743E-4</v>
      </c>
      <c r="Y14" s="155">
        <f ca="1"/>
        <v>1.9447473260030268E-3</v>
      </c>
      <c r="Z14" s="155">
        <f ca="1"/>
        <v>6.587688713394324E-3</v>
      </c>
      <c r="AA14" s="155">
        <f ca="1"/>
        <v>1.4481019028051767E-2</v>
      </c>
      <c r="AB14" s="155">
        <f ca="1"/>
        <v>0</v>
      </c>
      <c r="AC14" s="155">
        <f ca="1"/>
        <v>3.5060015265678035E-2</v>
      </c>
      <c r="AD14" s="155">
        <f ca="1"/>
        <v>6.1792162931969097E-2</v>
      </c>
      <c r="AE14" s="138">
        <f ca="1"/>
        <v>0.10546236409133225</v>
      </c>
      <c r="AG14" s="454"/>
      <c r="AH14" s="456"/>
      <c r="AI14" s="455"/>
      <c r="AJ14" s="457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4">
        <v>1.2600000000000001E-3</v>
      </c>
      <c r="G15" s="154">
        <v>1.7700000000000001E-3</v>
      </c>
      <c r="H15" s="154">
        <v>2.3999999999999998E-3</v>
      </c>
      <c r="I15" s="154">
        <v>2.9099999999999998E-3</v>
      </c>
      <c r="J15" s="154" t="s">
        <v>87</v>
      </c>
      <c r="K15" s="154">
        <v>3.8E-3</v>
      </c>
      <c r="L15" s="154">
        <v>4.2599999999999999E-3</v>
      </c>
      <c r="M15" s="154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55">
        <f ca="1"/>
        <v>1.1715244322775265E-3</v>
      </c>
      <c r="P15" s="155">
        <f ca="1"/>
        <v>3.1425019700190848E-3</v>
      </c>
      <c r="Q15" s="155">
        <f ca="1"/>
        <v>8.3079613296177524E-3</v>
      </c>
      <c r="R15" s="155">
        <f ca="1"/>
        <v>1.4978894761792483E-2</v>
      </c>
      <c r="S15" s="155">
        <f ca="1"/>
        <v>0</v>
      </c>
      <c r="T15" s="155">
        <f ca="1"/>
        <v>3.2333085872965017E-2</v>
      </c>
      <c r="U15" s="155">
        <f ca="1"/>
        <v>5.0294550399788807E-2</v>
      </c>
      <c r="V15" s="138">
        <f ca="1"/>
        <v>7.6561563672128963E-2</v>
      </c>
      <c r="W15" s="137">
        <f ca="1"/>
        <v>0</v>
      </c>
      <c r="X15" s="155">
        <f ca="1"/>
        <v>1.2644414277479532E-3</v>
      </c>
      <c r="Y15" s="155">
        <f ca="1"/>
        <v>3.3086310418813936E-3</v>
      </c>
      <c r="Z15" s="155">
        <f ca="1"/>
        <v>8.6384702546261627E-3</v>
      </c>
      <c r="AA15" s="155">
        <f ca="1"/>
        <v>1.5471282207299319E-2</v>
      </c>
      <c r="AB15" s="155">
        <f ca="1"/>
        <v>0</v>
      </c>
      <c r="AC15" s="155">
        <f ca="1"/>
        <v>3.3158931545423709E-2</v>
      </c>
      <c r="AD15" s="155">
        <f ca="1"/>
        <v>5.1426821107621867E-2</v>
      </c>
      <c r="AE15" s="138">
        <f ca="1"/>
        <v>7.8128095176401402E-2</v>
      </c>
      <c r="AG15" s="454"/>
      <c r="AH15" s="456"/>
      <c r="AI15" s="455"/>
      <c r="AJ15" s="457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4">
        <v>5.0000000000000001E-4</v>
      </c>
      <c r="G16" s="154">
        <v>5.9999999999999995E-4</v>
      </c>
      <c r="H16" s="154">
        <v>1.1000000000000001E-3</v>
      </c>
      <c r="I16" s="154">
        <v>1.5E-3</v>
      </c>
      <c r="J16" s="154" t="s">
        <v>87</v>
      </c>
      <c r="K16" s="154">
        <v>2.5000000000000001E-3</v>
      </c>
      <c r="L16" s="154">
        <v>3.2000000000000002E-3</v>
      </c>
      <c r="M16" s="154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55">
        <f ca="1"/>
        <v>4.6505499562699004E-4</v>
      </c>
      <c r="P16" s="155">
        <f ca="1"/>
        <v>1.0649548260907027E-3</v>
      </c>
      <c r="Q16" s="155">
        <f ca="1"/>
        <v>3.8249753594747915E-3</v>
      </c>
      <c r="R16" s="155">
        <f ca="1"/>
        <v>7.7732519223243646E-3</v>
      </c>
      <c r="S16" s="155">
        <f ca="1"/>
        <v>0</v>
      </c>
      <c r="T16" s="155">
        <f ca="1"/>
        <v>2.1539511978792336E-2</v>
      </c>
      <c r="U16" s="155">
        <f ca="1"/>
        <v>3.8435218601684196E-2</v>
      </c>
      <c r="V16" s="138">
        <f ca="1"/>
        <v>6.6425883742914804E-2</v>
      </c>
      <c r="W16" s="137">
        <f ca="1"/>
        <v>0</v>
      </c>
      <c r="X16" s="155">
        <f ca="1"/>
        <v>5.5803964578249321E-4</v>
      </c>
      <c r="Y16" s="155">
        <f ca="1"/>
        <v>1.2314301269625849E-3</v>
      </c>
      <c r="Z16" s="155">
        <f ca="1"/>
        <v>4.1569783640942326E-3</v>
      </c>
      <c r="AA16" s="155">
        <f ca="1"/>
        <v>8.2692412886727906E-3</v>
      </c>
      <c r="AB16" s="155">
        <f ca="1"/>
        <v>0</v>
      </c>
      <c r="AC16" s="155">
        <f ca="1"/>
        <v>2.2375169205223977E-2</v>
      </c>
      <c r="AD16" s="155">
        <f ca="1"/>
        <v>3.9583201603288209E-2</v>
      </c>
      <c r="AE16" s="138">
        <f ca="1"/>
        <v>6.8014450284473726E-2</v>
      </c>
      <c r="AG16" s="454"/>
      <c r="AH16" s="456"/>
      <c r="AI16" s="455"/>
      <c r="AJ16" s="457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4">
        <v>1.23E-3</v>
      </c>
      <c r="G17" s="154">
        <v>1.5900000000000001E-3</v>
      </c>
      <c r="H17" s="154">
        <v>2.2100000000000002E-3</v>
      </c>
      <c r="I17" s="154">
        <v>2.5200000000000001E-3</v>
      </c>
      <c r="J17" s="154" t="s">
        <v>87</v>
      </c>
      <c r="K17" s="154">
        <v>3.2000000000000002E-3</v>
      </c>
      <c r="L17" s="154">
        <v>3.63E-3</v>
      </c>
      <c r="M17" s="154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55">
        <f ca="1"/>
        <v>1.1436469470406108E-3</v>
      </c>
      <c r="P17" s="155">
        <f ca="1"/>
        <v>2.8215612782542809E-3</v>
      </c>
      <c r="Q17" s="155">
        <f ca="1"/>
        <v>7.652804171005112E-3</v>
      </c>
      <c r="R17" s="155">
        <f ca="1"/>
        <v>1.2963275936844432E-2</v>
      </c>
      <c r="S17" s="155">
        <f ca="1"/>
        <v>0</v>
      </c>
      <c r="T17" s="155">
        <f ca="1"/>
        <v>2.7239813078189234E-2</v>
      </c>
      <c r="U17" s="155">
        <f ca="1"/>
        <v>4.2976210211126853E-2</v>
      </c>
      <c r="V17" s="138">
        <f ca="1"/>
        <v>6.876834016499267E-2</v>
      </c>
      <c r="W17" s="137">
        <f ca="1"/>
        <v>0</v>
      </c>
      <c r="X17" s="155">
        <f ca="1"/>
        <v>1.236566644428061E-3</v>
      </c>
      <c r="Y17" s="155">
        <f ca="1"/>
        <v>2.987743835767942E-3</v>
      </c>
      <c r="Z17" s="155">
        <f ca="1"/>
        <v>7.9835314453521322E-3</v>
      </c>
      <c r="AA17" s="155">
        <f ca="1"/>
        <v>1.3456670939863691E-2</v>
      </c>
      <c r="AB17" s="155">
        <f ca="1"/>
        <v>0</v>
      </c>
      <c r="AC17" s="155">
        <f ca="1"/>
        <v>2.8069781032835972E-2</v>
      </c>
      <c r="AD17" s="155">
        <f ca="1"/>
        <v>4.4116726767836734E-2</v>
      </c>
      <c r="AE17" s="138">
        <f ca="1"/>
        <v>7.0349042925472283E-2</v>
      </c>
      <c r="AG17" s="454"/>
      <c r="AH17" s="456"/>
      <c r="AI17" s="455"/>
      <c r="AJ17" s="457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4">
        <v>5.0000000000000001E-4</v>
      </c>
      <c r="G18" s="154">
        <v>1.4E-3</v>
      </c>
      <c r="H18" s="154">
        <v>2.3999999999999998E-3</v>
      </c>
      <c r="I18" s="154">
        <v>3.5000000000000001E-3</v>
      </c>
      <c r="J18" s="154" t="s">
        <v>87</v>
      </c>
      <c r="K18" s="154">
        <v>5.7000000000000002E-3</v>
      </c>
      <c r="L18" s="154">
        <v>7.0000000000000001E-3</v>
      </c>
      <c r="M18" s="154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55">
        <f ca="1"/>
        <v>4.6505499562699004E-4</v>
      </c>
      <c r="P18" s="155">
        <f ca="1"/>
        <v>2.4950500580267487E-3</v>
      </c>
      <c r="Q18" s="155">
        <f ca="1"/>
        <v>8.3381981653454229E-3</v>
      </c>
      <c r="R18" s="155">
        <f ca="1"/>
        <v>1.8100049741855084E-2</v>
      </c>
      <c r="S18" s="155">
        <f ca="1"/>
        <v>0</v>
      </c>
      <c r="T18" s="155">
        <f ca="1"/>
        <v>4.8649970980021551E-2</v>
      </c>
      <c r="U18" s="155">
        <f ca="1"/>
        <v>8.2527367774752003E-2</v>
      </c>
      <c r="V18" s="138">
        <f ca="1"/>
        <v>0.14029456414615105</v>
      </c>
      <c r="W18" s="137">
        <f ca="1"/>
        <v>0</v>
      </c>
      <c r="X18" s="155">
        <f ca="1"/>
        <v>5.5803964578249321E-4</v>
      </c>
      <c r="Y18" s="155">
        <f ca="1"/>
        <v>2.6612870295530389E-3</v>
      </c>
      <c r="Z18" s="155">
        <f ca="1"/>
        <v>8.6686970130787078E-3</v>
      </c>
      <c r="AA18" s="155">
        <f ca="1"/>
        <v>1.8590876999932671E-2</v>
      </c>
      <c r="AB18" s="155">
        <f ca="1"/>
        <v>0</v>
      </c>
      <c r="AC18" s="155">
        <f ca="1"/>
        <v>4.9462121703466755E-2</v>
      </c>
      <c r="AD18" s="155">
        <f ca="1"/>
        <v>8.3624366429145613E-2</v>
      </c>
      <c r="AE18" s="138">
        <f ca="1"/>
        <v>0.14178101988022784</v>
      </c>
      <c r="AG18" s="454"/>
      <c r="AH18" s="456"/>
      <c r="AI18" s="455"/>
      <c r="AJ18" s="457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4">
        <v>1.2999999999999999E-3</v>
      </c>
      <c r="G19" s="154">
        <v>1.4E-3</v>
      </c>
      <c r="H19" s="154">
        <v>2.5999999999999999E-3</v>
      </c>
      <c r="I19" s="154">
        <v>3.3E-3</v>
      </c>
      <c r="J19" s="154" t="s">
        <v>87</v>
      </c>
      <c r="K19" s="154">
        <v>5.1999999999999998E-3</v>
      </c>
      <c r="L19" s="154">
        <v>6.6E-3</v>
      </c>
      <c r="M19" s="154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55">
        <f ca="1"/>
        <v>1.2086932027426389E-3</v>
      </c>
      <c r="P19" s="155">
        <f ca="1"/>
        <v>2.4809347302925389E-3</v>
      </c>
      <c r="Q19" s="155">
        <f ca="1"/>
        <v>9.0218541297311106E-3</v>
      </c>
      <c r="R19" s="155">
        <f ca="1"/>
        <v>1.7015824228803322E-2</v>
      </c>
      <c r="S19" s="155">
        <f ca="1"/>
        <v>0</v>
      </c>
      <c r="T19" s="155">
        <f ca="1"/>
        <v>4.4348913092876474E-2</v>
      </c>
      <c r="U19" s="155">
        <f ca="1"/>
        <v>7.7991263783229514E-2</v>
      </c>
      <c r="V19" s="138">
        <f ca="1"/>
        <v>0.13076584911268041</v>
      </c>
      <c r="W19" s="137">
        <f ca="1"/>
        <v>0</v>
      </c>
      <c r="X19" s="155">
        <f ca="1"/>
        <v>1.3016065915011366E-3</v>
      </c>
      <c r="Y19" s="155">
        <f ca="1"/>
        <v>2.6471740541723632E-3</v>
      </c>
      <c r="Z19" s="155">
        <f ca="1"/>
        <v>9.3521251301267316E-3</v>
      </c>
      <c r="AA19" s="155">
        <f ca="1"/>
        <v>1.7507193464136761E-2</v>
      </c>
      <c r="AB19" s="155">
        <f ca="1"/>
        <v>0</v>
      </c>
      <c r="AC19" s="155">
        <f ca="1"/>
        <v>4.5164760168610152E-2</v>
      </c>
      <c r="AD19" s="155">
        <f ca="1"/>
        <v>7.909331435412037E-2</v>
      </c>
      <c r="AE19" s="138">
        <f ca="1"/>
        <v>0.13226567421383384</v>
      </c>
      <c r="AG19" s="454"/>
      <c r="AH19" s="456"/>
      <c r="AI19" s="455"/>
      <c r="AJ19" s="457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4">
        <v>2.9999999999999997E-4</v>
      </c>
      <c r="G20" s="154">
        <v>5.9999999999999995E-4</v>
      </c>
      <c r="H20" s="154">
        <v>1.1000000000000001E-3</v>
      </c>
      <c r="I20" s="154">
        <v>1.6000000000000001E-3</v>
      </c>
      <c r="J20" s="154" t="s">
        <v>87</v>
      </c>
      <c r="K20" s="154">
        <v>2.3E-3</v>
      </c>
      <c r="L20" s="154">
        <v>2.8E-3</v>
      </c>
      <c r="M20" s="154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55">
        <f ca="1"/>
        <v>2.7905895862256891E-4</v>
      </c>
      <c r="P20" s="155">
        <f ca="1"/>
        <v>1.068353042610326E-3</v>
      </c>
      <c r="Q20" s="155">
        <f ca="1"/>
        <v>3.8284513697161016E-3</v>
      </c>
      <c r="R20" s="155">
        <f ca="1"/>
        <v>8.3029823922798895E-3</v>
      </c>
      <c r="S20" s="155">
        <f ca="1"/>
        <v>0</v>
      </c>
      <c r="T20" s="155">
        <f ca="1"/>
        <v>1.9771346376910692E-2</v>
      </c>
      <c r="U20" s="155">
        <f ca="1"/>
        <v>3.355152449226384E-2</v>
      </c>
      <c r="V20" s="138">
        <f ca="1"/>
        <v>6.3332201377273356E-2</v>
      </c>
      <c r="W20" s="137">
        <f ca="1"/>
        <v>0</v>
      </c>
      <c r="X20" s="155">
        <f ca="1"/>
        <v>3.7206114936716439E-4</v>
      </c>
      <c r="Y20" s="155">
        <f ca="1"/>
        <v>1.2348277771475624E-3</v>
      </c>
      <c r="Z20" s="155">
        <f ca="1"/>
        <v>4.1604532158860952E-3</v>
      </c>
      <c r="AA20" s="155">
        <f ca="1"/>
        <v>8.7987069596286993E-3</v>
      </c>
      <c r="AB20" s="155">
        <f ca="1"/>
        <v>0</v>
      </c>
      <c r="AC20" s="155">
        <f ca="1"/>
        <v>2.0608182400214448E-2</v>
      </c>
      <c r="AD20" s="155">
        <f ca="1"/>
        <v>3.4704105994797563E-2</v>
      </c>
      <c r="AE20" s="138">
        <f ca="1"/>
        <v>6.4925788407499296E-2</v>
      </c>
      <c r="AG20" s="454"/>
      <c r="AH20" s="456"/>
      <c r="AI20" s="455"/>
      <c r="AJ20" s="457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4">
        <v>1.1900000000000001E-3</v>
      </c>
      <c r="G21" s="154">
        <v>1.4300000000000001E-3</v>
      </c>
      <c r="H21" s="154">
        <v>1.91E-3</v>
      </c>
      <c r="I21" s="154">
        <v>2.32E-3</v>
      </c>
      <c r="J21" s="154" t="s">
        <v>87</v>
      </c>
      <c r="K21" s="154">
        <v>3.0999999999999999E-3</v>
      </c>
      <c r="L21" s="154">
        <v>3.5100000000000001E-3</v>
      </c>
      <c r="M21" s="154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55">
        <f ca="1"/>
        <v>1.1064757568105543E-3</v>
      </c>
      <c r="P21" s="155">
        <f ca="1"/>
        <v>2.5364678481504255E-3</v>
      </c>
      <c r="Q21" s="155">
        <f ca="1"/>
        <v>6.6121366802779358E-3</v>
      </c>
      <c r="R21" s="155">
        <f ca="1"/>
        <v>1.1952924219692296E-2</v>
      </c>
      <c r="S21" s="155">
        <f ca="1"/>
        <v>0</v>
      </c>
      <c r="T21" s="155">
        <f ca="1"/>
        <v>2.6455400604514123E-2</v>
      </c>
      <c r="U21" s="155">
        <f ca="1"/>
        <v>4.1633652317086933E-2</v>
      </c>
      <c r="V21" s="138">
        <f ca="1"/>
        <v>6.5461417120872278E-2</v>
      </c>
      <c r="W21" s="137">
        <f ca="1"/>
        <v>0</v>
      </c>
      <c r="X21" s="155">
        <f ca="1"/>
        <v>1.1993990526423248E-3</v>
      </c>
      <c r="Y21" s="155">
        <f ca="1"/>
        <v>2.702697917293162E-3</v>
      </c>
      <c r="Z21" s="155">
        <f ca="1"/>
        <v>6.9432107859795922E-3</v>
      </c>
      <c r="AA21" s="155">
        <f ca="1"/>
        <v>1.2446824272265178E-2</v>
      </c>
      <c r="AB21" s="155">
        <f ca="1"/>
        <v>0</v>
      </c>
      <c r="AC21" s="155">
        <f ca="1"/>
        <v>2.728627696704311E-2</v>
      </c>
      <c r="AD21" s="155">
        <f ca="1"/>
        <v>4.2776017767478636E-2</v>
      </c>
      <c r="AE21" s="138">
        <f ca="1"/>
        <v>6.7047872001312125E-2</v>
      </c>
      <c r="AG21" s="454"/>
      <c r="AH21" s="456"/>
      <c r="AI21" s="455"/>
      <c r="AJ21" s="457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4">
        <v>1.25E-3</v>
      </c>
      <c r="G22" s="154">
        <v>1.6299999999999999E-3</v>
      </c>
      <c r="H22" s="154">
        <v>2.2599999999999999E-3</v>
      </c>
      <c r="I22" s="154">
        <v>2.64E-3</v>
      </c>
      <c r="J22" s="154" t="s">
        <v>87</v>
      </c>
      <c r="K22" s="154">
        <v>3.3999999999999998E-3</v>
      </c>
      <c r="L22" s="154">
        <v>3.8500000000000001E-3</v>
      </c>
      <c r="M22" s="154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55">
        <f ca="1"/>
        <v>1.1622320236017725E-3</v>
      </c>
      <c r="P22" s="155">
        <f ca="1"/>
        <v>2.8926486884492952E-3</v>
      </c>
      <c r="Q22" s="155">
        <f ca="1"/>
        <v>7.8253498523533915E-3</v>
      </c>
      <c r="R22" s="155">
        <f ca="1"/>
        <v>1.3585103384060493E-2</v>
      </c>
      <c r="S22" s="155">
        <f ca="1"/>
        <v>0</v>
      </c>
      <c r="T22" s="155">
        <f ca="1"/>
        <v>2.8944095695721317E-2</v>
      </c>
      <c r="U22" s="155">
        <f ca="1"/>
        <v>4.5548533165593263E-2</v>
      </c>
      <c r="V22" s="138">
        <f ca="1"/>
        <v>7.196163941190048E-2</v>
      </c>
      <c r="W22" s="137">
        <f ca="1"/>
        <v>0</v>
      </c>
      <c r="X22" s="155">
        <f ca="1"/>
        <v>1.2551499200385008E-3</v>
      </c>
      <c r="Y22" s="155">
        <f ca="1"/>
        <v>3.0588193990594981E-3</v>
      </c>
      <c r="Z22" s="155">
        <f ca="1"/>
        <v>8.1560196210327396E-3</v>
      </c>
      <c r="AA22" s="155">
        <f ca="1"/>
        <v>1.4078187551070154E-2</v>
      </c>
      <c r="AB22" s="155">
        <f ca="1"/>
        <v>0</v>
      </c>
      <c r="AC22" s="155">
        <f ca="1"/>
        <v>2.9772716029048185E-2</v>
      </c>
      <c r="AD22" s="155">
        <f ca="1"/>
        <v>4.6686210740164769E-2</v>
      </c>
      <c r="AE22" s="138">
        <f ca="1"/>
        <v>7.353672968738334E-2</v>
      </c>
      <c r="AG22" s="454"/>
      <c r="AH22" s="456"/>
      <c r="AI22" s="455"/>
      <c r="AJ22" s="457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4">
        <v>1.0499999999999999E-3</v>
      </c>
      <c r="G23" s="154">
        <v>2.0500000000000002E-3</v>
      </c>
      <c r="H23" s="154">
        <v>3.1099999999999999E-3</v>
      </c>
      <c r="I23" s="154">
        <v>3.6900000000000001E-3</v>
      </c>
      <c r="J23" s="154" t="s">
        <v>87</v>
      </c>
      <c r="K23" s="154">
        <v>4.4999999999999997E-3</v>
      </c>
      <c r="L23" s="154">
        <v>5.0499999999999998E-3</v>
      </c>
      <c r="M23" s="154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55">
        <f ca="1"/>
        <v>9.7636570085479768E-4</v>
      </c>
      <c r="P23" s="155">
        <f ca="1"/>
        <v>3.6462937511052562E-3</v>
      </c>
      <c r="Q23" s="155">
        <f ca="1"/>
        <v>1.0776851433298207E-2</v>
      </c>
      <c r="R23" s="155">
        <f ca="1"/>
        <v>1.8974912471574568E-2</v>
      </c>
      <c r="S23" s="155">
        <f ca="1"/>
        <v>0</v>
      </c>
      <c r="T23" s="155">
        <f ca="1"/>
        <v>3.8117481639656559E-2</v>
      </c>
      <c r="U23" s="155">
        <f ca="1"/>
        <v>5.9312761526007618E-2</v>
      </c>
      <c r="V23" s="138">
        <f ca="1"/>
        <v>9.1823257505738054E-2</v>
      </c>
      <c r="W23" s="137">
        <f ca="1"/>
        <v>0</v>
      </c>
      <c r="X23" s="155">
        <f ca="1"/>
        <v>1.0693015543306039E-3</v>
      </c>
      <c r="Y23" s="155">
        <f ca="1"/>
        <v>3.8123388646741363E-3</v>
      </c>
      <c r="Z23" s="155">
        <f ca="1"/>
        <v>1.1106537532064698E-2</v>
      </c>
      <c r="AA23" s="155">
        <f ca="1"/>
        <v>1.9465302407634111E-2</v>
      </c>
      <c r="AB23" s="155">
        <f ca="1"/>
        <v>0</v>
      </c>
      <c r="AC23" s="155">
        <f ca="1"/>
        <v>3.8938110238041501E-2</v>
      </c>
      <c r="AD23" s="155">
        <f ca="1"/>
        <v>6.0434123839259613E-2</v>
      </c>
      <c r="AE23" s="138">
        <f ca="1"/>
        <v>9.3362523969161226E-2</v>
      </c>
      <c r="AG23" s="454"/>
      <c r="AH23" s="456"/>
      <c r="AI23" s="455"/>
      <c r="AJ23" s="457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4">
        <v>1.5399999999999999E-3</v>
      </c>
      <c r="G24" s="154">
        <v>2.3600000000000001E-3</v>
      </c>
      <c r="H24" s="154">
        <v>3.0799999999999998E-3</v>
      </c>
      <c r="I24" s="154">
        <v>3.3800000000000002E-3</v>
      </c>
      <c r="J24" s="154" t="s">
        <v>87</v>
      </c>
      <c r="K24" s="154">
        <v>4.0000000000000001E-3</v>
      </c>
      <c r="L24" s="154">
        <v>4.4000000000000003E-3</v>
      </c>
      <c r="M24" s="154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55">
        <f ca="1"/>
        <v>1.4316767935639296E-3</v>
      </c>
      <c r="P24" s="155">
        <f ca="1"/>
        <v>4.1907230201334578E-3</v>
      </c>
      <c r="Q24" s="155">
        <f ca="1"/>
        <v>1.064888162709221E-2</v>
      </c>
      <c r="R24" s="155">
        <f ca="1"/>
        <v>1.733368064025087E-2</v>
      </c>
      <c r="S24" s="155">
        <f ca="1"/>
        <v>0</v>
      </c>
      <c r="T24" s="155">
        <f ca="1"/>
        <v>3.3846018509402165E-2</v>
      </c>
      <c r="U24" s="155">
        <f ca="1"/>
        <v>5.1682509433584323E-2</v>
      </c>
      <c r="V24" s="138">
        <f ca="1"/>
        <v>8.3164172395480573E-2</v>
      </c>
      <c r="W24" s="137">
        <f ca="1"/>
        <v>0</v>
      </c>
      <c r="X24" s="155">
        <f ca="1"/>
        <v>1.5245684411269167E-3</v>
      </c>
      <c r="Y24" s="155">
        <f ca="1"/>
        <v>4.3566774030470157E-3</v>
      </c>
      <c r="Z24" s="155">
        <f ca="1"/>
        <v>1.0978610375375286E-2</v>
      </c>
      <c r="AA24" s="155">
        <f ca="1"/>
        <v>1.7824890987103825E-2</v>
      </c>
      <c r="AB24" s="155">
        <f ca="1"/>
        <v>0</v>
      </c>
      <c r="AC24" s="155">
        <f ca="1"/>
        <v>3.4669941487237677E-2</v>
      </c>
      <c r="AD24" s="155">
        <f ca="1"/>
        <v>5.2812049848302678E-2</v>
      </c>
      <c r="AE24" s="138">
        <f ca="1"/>
        <v>8.4718457175627537E-2</v>
      </c>
      <c r="AG24" s="454"/>
      <c r="AH24" s="456"/>
      <c r="AI24" s="455"/>
      <c r="AJ24" s="457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4">
        <v>5.0000000000000001E-4</v>
      </c>
      <c r="G25" s="154">
        <v>5.9999999999999995E-4</v>
      </c>
      <c r="H25" s="154">
        <v>8.0000000000000004E-4</v>
      </c>
      <c r="I25" s="154">
        <v>1.1999999999999999E-3</v>
      </c>
      <c r="J25" s="154" t="s">
        <v>87</v>
      </c>
      <c r="K25" s="154">
        <v>1.9E-3</v>
      </c>
      <c r="L25" s="154">
        <v>2.3999999999999998E-3</v>
      </c>
      <c r="M25" s="154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55">
        <f ca="1"/>
        <v>4.6505499562699004E-4</v>
      </c>
      <c r="P25" s="155">
        <f ca="1"/>
        <v>1.0649548260907027E-3</v>
      </c>
      <c r="Q25" s="155">
        <f ca="1"/>
        <v>2.7739426879686002E-3</v>
      </c>
      <c r="R25" s="155">
        <f ca="1"/>
        <v>6.2231951063448365E-3</v>
      </c>
      <c r="S25" s="155">
        <f ca="1"/>
        <v>0</v>
      </c>
      <c r="T25" s="155">
        <f ca="1"/>
        <v>1.6381625224918261E-2</v>
      </c>
      <c r="U25" s="155">
        <f ca="1"/>
        <v>2.88902612126547E-2</v>
      </c>
      <c r="V25" s="138">
        <f ca="1"/>
        <v>5.3256880865752976E-2</v>
      </c>
      <c r="W25" s="137">
        <f ca="1"/>
        <v>0</v>
      </c>
      <c r="X25" s="155">
        <f ca="1"/>
        <v>5.5803964578249321E-4</v>
      </c>
      <c r="Y25" s="155">
        <f ca="1"/>
        <v>1.2314301269625849E-3</v>
      </c>
      <c r="Z25" s="155">
        <f ca="1"/>
        <v>3.1062959784547983E-3</v>
      </c>
      <c r="AA25" s="155">
        <f ca="1"/>
        <v>6.7199593074070973E-3</v>
      </c>
      <c r="AB25" s="155">
        <f ca="1"/>
        <v>0</v>
      </c>
      <c r="AC25" s="155">
        <f ca="1"/>
        <v>1.7221246732693651E-2</v>
      </c>
      <c r="AD25" s="155">
        <f ca="1"/>
        <v>3.0048329204726665E-2</v>
      </c>
      <c r="AE25" s="138">
        <f ca="1"/>
        <v>5.4867712656329171E-2</v>
      </c>
      <c r="AG25" s="454"/>
      <c r="AH25" s="456"/>
      <c r="AI25" s="455"/>
      <c r="AJ25" s="457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4">
        <v>2.9999999999999997E-4</v>
      </c>
      <c r="G26" s="154">
        <v>8.9999999999999998E-4</v>
      </c>
      <c r="H26" s="154">
        <v>1.5E-3</v>
      </c>
      <c r="I26" s="154">
        <v>2E-3</v>
      </c>
      <c r="J26" s="154" t="s">
        <v>87</v>
      </c>
      <c r="K26" s="154">
        <v>3.3E-3</v>
      </c>
      <c r="L26" s="154">
        <v>4.1000000000000003E-3</v>
      </c>
      <c r="M26" s="154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55">
        <f ca="1"/>
        <v>2.7905895862256891E-4</v>
      </c>
      <c r="P26" s="155">
        <f ca="1"/>
        <v>1.6048011235291204E-3</v>
      </c>
      <c r="Q26" s="155">
        <f ca="1"/>
        <v>5.2164903453797429E-3</v>
      </c>
      <c r="R26" s="155">
        <f ca="1"/>
        <v>1.0353459441834412E-2</v>
      </c>
      <c r="S26" s="155">
        <f ca="1"/>
        <v>0</v>
      </c>
      <c r="T26" s="155">
        <f ca="1"/>
        <v>2.8356766922474574E-2</v>
      </c>
      <c r="U26" s="155">
        <f ca="1"/>
        <v>4.8974632712344146E-2</v>
      </c>
      <c r="V26" s="138">
        <f ca="1"/>
        <v>8.8031372898744964E-2</v>
      </c>
      <c r="W26" s="137">
        <f ca="1"/>
        <v>0</v>
      </c>
      <c r="X26" s="155">
        <f ca="1"/>
        <v>3.7206114936716439E-4</v>
      </c>
      <c r="Y26" s="155">
        <f ca="1"/>
        <v>1.7711864575095104E-3</v>
      </c>
      <c r="Z26" s="155">
        <f ca="1"/>
        <v>5.5480295889915876E-3</v>
      </c>
      <c r="AA26" s="155">
        <f ca="1"/>
        <v>1.0848159026915605E-2</v>
      </c>
      <c r="AB26" s="155">
        <f ca="1"/>
        <v>0</v>
      </c>
      <c r="AC26" s="155">
        <f ca="1"/>
        <v>2.9186850539245413E-2</v>
      </c>
      <c r="AD26" s="155">
        <f ca="1"/>
        <v>5.0110737525390303E-2</v>
      </c>
      <c r="AE26" s="138">
        <f ca="1"/>
        <v>8.9581848547990783E-2</v>
      </c>
      <c r="AG26" s="454"/>
      <c r="AH26" s="456"/>
      <c r="AI26" s="455"/>
      <c r="AJ26" s="457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4">
        <v>5.9999999999999995E-4</v>
      </c>
      <c r="G27" s="154">
        <v>5.9999999999999995E-4</v>
      </c>
      <c r="H27" s="154">
        <v>1.1000000000000001E-3</v>
      </c>
      <c r="I27" s="154">
        <v>1.5E-3</v>
      </c>
      <c r="J27" s="154" t="s">
        <v>87</v>
      </c>
      <c r="K27" s="154">
        <v>2.5000000000000001E-3</v>
      </c>
      <c r="L27" s="154">
        <v>3.3E-3</v>
      </c>
      <c r="M27" s="154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55">
        <f ca="1"/>
        <v>5.5804003710946404E-4</v>
      </c>
      <c r="P27" s="155">
        <f ca="1"/>
        <v>1.0632559145480336E-3</v>
      </c>
      <c r="Q27" s="155">
        <f ca="1"/>
        <v>3.8232375172002619E-3</v>
      </c>
      <c r="R27" s="155">
        <f ca="1"/>
        <v>7.7714850182866169E-3</v>
      </c>
      <c r="S27" s="155">
        <f ca="1"/>
        <v>0</v>
      </c>
      <c r="T27" s="155">
        <f ca="1"/>
        <v>2.1537676634409086E-2</v>
      </c>
      <c r="U27" s="155">
        <f ca="1"/>
        <v>3.967389690267209E-2</v>
      </c>
      <c r="V27" s="138">
        <f ca="1"/>
        <v>7.3479117352218237E-2</v>
      </c>
      <c r="W27" s="137">
        <f ca="1"/>
        <v>0</v>
      </c>
      <c r="X27" s="155">
        <f ca="1"/>
        <v>6.5101587709581743E-4</v>
      </c>
      <c r="Y27" s="155">
        <f ca="1"/>
        <v>1.2297314985548757E-3</v>
      </c>
      <c r="Z27" s="155">
        <f ca="1"/>
        <v>4.1552411010310486E-3</v>
      </c>
      <c r="AA27" s="155">
        <f ca="1"/>
        <v>8.2674752678768559E-3</v>
      </c>
      <c r="AB27" s="155">
        <f ca="1"/>
        <v>0</v>
      </c>
      <c r="AC27" s="155">
        <f ca="1"/>
        <v>2.2373326277568606E-2</v>
      </c>
      <c r="AD27" s="155">
        <f ca="1"/>
        <v>4.0820722622543992E-2</v>
      </c>
      <c r="AE27" s="138">
        <f ca="1"/>
        <v>7.5056353567423351E-2</v>
      </c>
      <c r="AG27" s="454"/>
      <c r="AH27" s="456"/>
      <c r="AI27" s="455"/>
      <c r="AJ27" s="457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4">
        <v>1.1299999999999999E-3</v>
      </c>
      <c r="G28" s="154">
        <v>1.83E-3</v>
      </c>
      <c r="H28" s="154">
        <v>2.63E-3</v>
      </c>
      <c r="I28" s="154">
        <v>2.8999999999999998E-3</v>
      </c>
      <c r="J28" s="154" t="s">
        <v>87</v>
      </c>
      <c r="K28" s="154">
        <v>3.3E-3</v>
      </c>
      <c r="L28" s="154">
        <v>3.65E-3</v>
      </c>
      <c r="M28" s="154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55">
        <f ca="1"/>
        <v>1.0507163786889206E-3</v>
      </c>
      <c r="P28" s="155">
        <f ca="1"/>
        <v>3.2519886158794975E-3</v>
      </c>
      <c r="Q28" s="155">
        <f ca="1"/>
        <v>9.1106511519294386E-3</v>
      </c>
      <c r="R28" s="155">
        <f ca="1"/>
        <v>1.4901783181753392E-2</v>
      </c>
      <c r="S28" s="155">
        <f ca="1"/>
        <v>0</v>
      </c>
      <c r="T28" s="155">
        <f ca="1"/>
        <v>2.7967265283594167E-2</v>
      </c>
      <c r="U28" s="155">
        <f ca="1"/>
        <v>4.3026675335661846E-2</v>
      </c>
      <c r="V28" s="138">
        <f ca="1"/>
        <v>6.8550379181996024E-2</v>
      </c>
      <c r="W28" s="137">
        <f ca="1"/>
        <v>0</v>
      </c>
      <c r="X28" s="155">
        <f ca="1"/>
        <v>1.1436450633418582E-3</v>
      </c>
      <c r="Y28" s="155">
        <f ca="1"/>
        <v>3.4180994414810817E-3</v>
      </c>
      <c r="Z28" s="155">
        <f ca="1"/>
        <v>9.4408925582660785E-3</v>
      </c>
      <c r="AA28" s="155">
        <f ca="1"/>
        <v>1.539420917341805E-2</v>
      </c>
      <c r="AB28" s="155">
        <f ca="1"/>
        <v>0</v>
      </c>
      <c r="AC28" s="155">
        <f ca="1"/>
        <v>2.8796173981427975E-2</v>
      </c>
      <c r="AD28" s="155">
        <f ca="1"/>
        <v>4.4166200401058453E-2</v>
      </c>
      <c r="AE28" s="138">
        <f ca="1"/>
        <v>7.0130314199262189E-2</v>
      </c>
      <c r="AG28" s="454"/>
      <c r="AH28" s="456"/>
      <c r="AI28" s="455"/>
      <c r="AJ28" s="457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4">
        <v>6.9999999999999999E-4</v>
      </c>
      <c r="G29" s="154">
        <v>8.0000000000000004E-4</v>
      </c>
      <c r="H29" s="154">
        <v>1.4E-3</v>
      </c>
      <c r="I29" s="154">
        <v>1.9E-3</v>
      </c>
      <c r="J29" s="154" t="s">
        <v>87</v>
      </c>
      <c r="K29" s="154">
        <v>3.0999999999999999E-3</v>
      </c>
      <c r="L29" s="154">
        <v>3.8999999999999998E-3</v>
      </c>
      <c r="M29" s="154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55">
        <f ca="1"/>
        <v>6.5101642887865907E-4</v>
      </c>
      <c r="P29" s="155">
        <f ca="1"/>
        <v>1.4191382420905008E-3</v>
      </c>
      <c r="Q29" s="155">
        <f ca="1"/>
        <v>4.8636143680008681E-3</v>
      </c>
      <c r="R29" s="155">
        <f ca="1"/>
        <v>9.83507057505284E-3</v>
      </c>
      <c r="S29" s="155">
        <f ca="1"/>
        <v>0</v>
      </c>
      <c r="T29" s="155">
        <f ca="1"/>
        <v>2.6644342355534145E-2</v>
      </c>
      <c r="U29" s="155">
        <f ca="1"/>
        <v>4.6645538782755347E-2</v>
      </c>
      <c r="V29" s="138">
        <f ca="1"/>
        <v>9.0168171756688675E-2</v>
      </c>
      <c r="W29" s="137">
        <f ca="1"/>
        <v>0</v>
      </c>
      <c r="X29" s="155">
        <f ca="1"/>
        <v>7.4398343160742009E-4</v>
      </c>
      <c r="Y29" s="155">
        <f ca="1"/>
        <v>1.58555451730924E-3</v>
      </c>
      <c r="Z29" s="155">
        <f ca="1"/>
        <v>5.1952712173340965E-3</v>
      </c>
      <c r="AA29" s="155">
        <f ca="1"/>
        <v>1.0330029289760345E-2</v>
      </c>
      <c r="AB29" s="155">
        <f ca="1"/>
        <v>0</v>
      </c>
      <c r="AC29" s="155">
        <f ca="1"/>
        <v>2.7475810080723639E-2</v>
      </c>
      <c r="AD29" s="155">
        <f ca="1"/>
        <v>4.7784279471626778E-2</v>
      </c>
      <c r="AE29" s="138">
        <f ca="1"/>
        <v>9.1714601644185545E-2</v>
      </c>
      <c r="AG29" s="454"/>
      <c r="AH29" s="456"/>
      <c r="AI29" s="455"/>
      <c r="AJ29" s="457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4">
        <v>5.0000000000000001E-4</v>
      </c>
      <c r="G30" s="154">
        <v>8.0000000000000004E-4</v>
      </c>
      <c r="H30" s="154">
        <v>1.1999999999999999E-3</v>
      </c>
      <c r="I30" s="154">
        <v>1.6000000000000001E-3</v>
      </c>
      <c r="J30" s="154" t="s">
        <v>87</v>
      </c>
      <c r="K30" s="154">
        <v>2.5999999999999999E-3</v>
      </c>
      <c r="L30" s="154">
        <v>3.2000000000000002E-3</v>
      </c>
      <c r="M30" s="154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55">
        <f ca="1"/>
        <v>4.6505499562699004E-4</v>
      </c>
      <c r="P30" s="155">
        <f ca="1"/>
        <v>1.4225689316275103E-3</v>
      </c>
      <c r="Q30" s="155">
        <f ca="1"/>
        <v>4.1669498427368001E-3</v>
      </c>
      <c r="R30" s="155">
        <f ca="1"/>
        <v>8.2811186400733039E-3</v>
      </c>
      <c r="S30" s="155">
        <f ca="1"/>
        <v>0</v>
      </c>
      <c r="T30" s="155">
        <f ca="1"/>
        <v>2.2372244806550312E-2</v>
      </c>
      <c r="U30" s="155">
        <f ca="1"/>
        <v>3.8340700108231207E-2</v>
      </c>
      <c r="V30" s="138">
        <f ca="1"/>
        <v>6.0951958318920529E-2</v>
      </c>
      <c r="W30" s="137">
        <f ca="1"/>
        <v>0</v>
      </c>
      <c r="X30" s="155">
        <f ca="1"/>
        <v>5.5803964578249321E-4</v>
      </c>
      <c r="Y30" s="155">
        <f ca="1"/>
        <v>1.5889846351196946E-3</v>
      </c>
      <c r="Z30" s="155">
        <f ca="1"/>
        <v>4.4988388748716801E-3</v>
      </c>
      <c r="AA30" s="155">
        <f ca="1"/>
        <v>8.7768541365541575E-3</v>
      </c>
      <c r="AB30" s="155">
        <f ca="1"/>
        <v>0</v>
      </c>
      <c r="AC30" s="155">
        <f ca="1"/>
        <v>2.3207136303632914E-2</v>
      </c>
      <c r="AD30" s="155">
        <f ca="1"/>
        <v>3.9488385235491585E-2</v>
      </c>
      <c r="AE30" s="138">
        <f ca="1"/>
        <v>6.2548240035105507E-2</v>
      </c>
      <c r="AG30" s="454"/>
      <c r="AH30" s="456"/>
      <c r="AI30" s="455"/>
      <c r="AJ30" s="457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4">
        <v>6.4000000000000005E-4</v>
      </c>
      <c r="G31" s="154">
        <v>1.1800000000000001E-3</v>
      </c>
      <c r="H31" s="154">
        <v>1.66E-3</v>
      </c>
      <c r="I31" s="154">
        <v>2.1099999999999999E-3</v>
      </c>
      <c r="J31" s="154" t="s">
        <v>87</v>
      </c>
      <c r="K31" s="154">
        <v>3.0000000000000001E-3</v>
      </c>
      <c r="L31" s="154">
        <v>3.5999999999999999E-3</v>
      </c>
      <c r="M31" s="154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55">
        <f ca="1"/>
        <v>5.9523163171881777E-4</v>
      </c>
      <c r="P31" s="155">
        <f ca="1"/>
        <v>2.0994244552344776E-3</v>
      </c>
      <c r="Q31" s="155">
        <f ca="1"/>
        <v>5.7584684952419751E-3</v>
      </c>
      <c r="R31" s="155">
        <f ca="1"/>
        <v>1.0896895133754025E-2</v>
      </c>
      <c r="S31" s="155">
        <f ca="1"/>
        <v>0</v>
      </c>
      <c r="T31" s="155">
        <f ca="1"/>
        <v>2.568037544161561E-2</v>
      </c>
      <c r="U31" s="155">
        <f ca="1"/>
        <v>4.2896838669826187E-2</v>
      </c>
      <c r="V31" s="138">
        <f ca="1"/>
        <v>6.3732435971805557E-2</v>
      </c>
      <c r="W31" s="137">
        <f ca="1"/>
        <v>0</v>
      </c>
      <c r="X31" s="155">
        <f ca="1"/>
        <v>6.8820394007651498E-4</v>
      </c>
      <c r="Y31" s="155">
        <f ca="1"/>
        <v>2.265727358857772E-3</v>
      </c>
      <c r="Z31" s="155">
        <f ca="1"/>
        <v>6.0898271095705114E-3</v>
      </c>
      <c r="AA31" s="155">
        <f ca="1"/>
        <v>1.1391323068920212E-2</v>
      </c>
      <c r="AB31" s="155">
        <f ca="1"/>
        <v>0</v>
      </c>
      <c r="AC31" s="155">
        <f ca="1"/>
        <v>2.6512195803409022E-2</v>
      </c>
      <c r="AD31" s="155">
        <f ca="1"/>
        <v>4.403872242043072E-2</v>
      </c>
      <c r="AE31" s="138">
        <f ca="1"/>
        <v>6.5322208288970618E-2</v>
      </c>
      <c r="AG31" s="454"/>
      <c r="AH31" s="456"/>
      <c r="AI31" s="455"/>
      <c r="AJ31" s="457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4">
        <v>1.1000000000000001E-3</v>
      </c>
      <c r="G32" s="154">
        <v>1.6000000000000001E-3</v>
      </c>
      <c r="H32" s="154">
        <v>2.0999999999999999E-3</v>
      </c>
      <c r="I32" s="154">
        <v>3.0000000000000001E-3</v>
      </c>
      <c r="J32" s="154" t="s">
        <v>87</v>
      </c>
      <c r="K32" s="154">
        <v>3.8999999999999998E-3</v>
      </c>
      <c r="L32" s="154">
        <v>4.5999999999999999E-3</v>
      </c>
      <c r="M32" s="154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55">
        <f ca="1"/>
        <v>1.0228355227774877E-3</v>
      </c>
      <c r="P32" s="155">
        <f ca="1"/>
        <v>2.8417371980472561E-3</v>
      </c>
      <c r="Q32" s="155">
        <f ca="1"/>
        <v>7.2704397673225563E-3</v>
      </c>
      <c r="R32" s="155">
        <f ca="1"/>
        <v>1.5493136888113379E-2</v>
      </c>
      <c r="S32" s="155">
        <f ca="1"/>
        <v>0</v>
      </c>
      <c r="T32" s="155">
        <f ca="1"/>
        <v>3.3223452189056535E-2</v>
      </c>
      <c r="U32" s="155">
        <f ca="1"/>
        <v>5.4441022755711055E-2</v>
      </c>
      <c r="V32" s="138">
        <f ca="1"/>
        <v>9.5610581648830961E-2</v>
      </c>
      <c r="W32" s="137">
        <f ca="1"/>
        <v>0</v>
      </c>
      <c r="X32" s="155">
        <f ca="1"/>
        <v>1.1157668979256963E-3</v>
      </c>
      <c r="Y32" s="155">
        <f ca="1"/>
        <v>3.0079163931993058E-3</v>
      </c>
      <c r="Z32" s="155">
        <f ca="1"/>
        <v>7.6012944752074096E-3</v>
      </c>
      <c r="AA32" s="155">
        <f ca="1"/>
        <v>1.5985267276839132E-2</v>
      </c>
      <c r="AB32" s="155">
        <f ca="1"/>
        <v>0</v>
      </c>
      <c r="AC32" s="155">
        <f ca="1"/>
        <v>3.4048823781318016E-2</v>
      </c>
      <c r="AD32" s="155">
        <f ca="1"/>
        <v>5.5569303081379751E-2</v>
      </c>
      <c r="AE32" s="138">
        <f ca="1"/>
        <v>9.7145039985830905E-2</v>
      </c>
      <c r="AG32" s="454"/>
      <c r="AH32" s="456"/>
      <c r="AI32" s="455"/>
      <c r="AJ32" s="457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4">
        <v>7.7999999999999999E-4</v>
      </c>
      <c r="G33" s="154">
        <v>1.3699999999999999E-3</v>
      </c>
      <c r="H33" s="154">
        <v>2.3E-3</v>
      </c>
      <c r="I33" s="154">
        <v>2.7000000000000001E-3</v>
      </c>
      <c r="J33" s="154" t="s">
        <v>87</v>
      </c>
      <c r="K33" s="154">
        <v>3.3E-3</v>
      </c>
      <c r="L33" s="154">
        <v>3.7000000000000002E-3</v>
      </c>
      <c r="M33" s="154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55">
        <f ca="1"/>
        <v>7.2539131528415179E-4</v>
      </c>
      <c r="P33" s="155">
        <f ca="1"/>
        <v>2.4365044348073628E-3</v>
      </c>
      <c r="Q33" s="155">
        <f ca="1"/>
        <v>7.9850315340376232E-3</v>
      </c>
      <c r="R33" s="155">
        <f ca="1"/>
        <v>1.3915692499917309E-2</v>
      </c>
      <c r="S33" s="155">
        <f ca="1"/>
        <v>0</v>
      </c>
      <c r="T33" s="155">
        <f ca="1"/>
        <v>2.8076766757758942E-2</v>
      </c>
      <c r="U33" s="155">
        <f ca="1"/>
        <v>4.3753839607518219E-2</v>
      </c>
      <c r="V33" s="138">
        <f ca="1"/>
        <v>6.6826229574627249E-2</v>
      </c>
      <c r="W33" s="137">
        <f ca="1"/>
        <v>0</v>
      </c>
      <c r="X33" s="155">
        <f ca="1"/>
        <v>8.1835122846896091E-4</v>
      </c>
      <c r="Y33" s="155">
        <f ca="1"/>
        <v>2.602751163131467E-3</v>
      </c>
      <c r="Z33" s="155">
        <f ca="1"/>
        <v>8.3156480843742386E-3</v>
      </c>
      <c r="AA33" s="155">
        <f ca="1"/>
        <v>1.4408611413674999E-2</v>
      </c>
      <c r="AB33" s="155">
        <f ca="1"/>
        <v>0</v>
      </c>
      <c r="AC33" s="155">
        <f ca="1"/>
        <v>2.8906062830424739E-2</v>
      </c>
      <c r="AD33" s="155">
        <f ca="1"/>
        <v>4.4893298946651838E-2</v>
      </c>
      <c r="AE33" s="138">
        <f ca="1"/>
        <v>6.840934223585271E-2</v>
      </c>
      <c r="AG33" s="454"/>
      <c r="AH33" s="456"/>
      <c r="AI33" s="455"/>
      <c r="AJ33" s="457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4">
        <v>5.0000000000000001E-4</v>
      </c>
      <c r="G34" s="154">
        <v>8.9999999999999998E-4</v>
      </c>
      <c r="H34" s="154">
        <v>1.6000000000000001E-3</v>
      </c>
      <c r="I34" s="154">
        <v>2.3999999999999998E-3</v>
      </c>
      <c r="J34" s="154" t="s">
        <v>87</v>
      </c>
      <c r="K34" s="154">
        <v>3.5999999999999999E-3</v>
      </c>
      <c r="L34" s="154">
        <v>4.5999999999999999E-3</v>
      </c>
      <c r="M34" s="154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55">
        <f ca="1"/>
        <v>4.6505499562699004E-4</v>
      </c>
      <c r="P34" s="155">
        <f ca="1"/>
        <v>1.6013534052684575E-3</v>
      </c>
      <c r="Q34" s="155">
        <f ca="1"/>
        <v>5.5628756926116019E-3</v>
      </c>
      <c r="R34" s="155">
        <f ca="1"/>
        <v>1.244070461714597E-2</v>
      </c>
      <c r="S34" s="155">
        <f ca="1"/>
        <v>0</v>
      </c>
      <c r="T34" s="155">
        <f ca="1"/>
        <v>3.0859617539621964E-2</v>
      </c>
      <c r="U34" s="155">
        <f ca="1"/>
        <v>5.4857370776846714E-2</v>
      </c>
      <c r="V34" s="138">
        <f ca="1"/>
        <v>9.7802762233167639E-2</v>
      </c>
      <c r="W34" s="137">
        <f ca="1"/>
        <v>0</v>
      </c>
      <c r="X34" s="155">
        <f ca="1"/>
        <v>5.5803964578249321E-4</v>
      </c>
      <c r="Y34" s="155">
        <f ca="1"/>
        <v>1.7677393138134656E-3</v>
      </c>
      <c r="Z34" s="155">
        <f ca="1"/>
        <v>5.8942994936811433E-3</v>
      </c>
      <c r="AA34" s="155">
        <f ca="1"/>
        <v>1.2934360840497927E-2</v>
      </c>
      <c r="AB34" s="155">
        <f ca="1"/>
        <v>0</v>
      </c>
      <c r="AC34" s="155">
        <f ca="1"/>
        <v>3.1687553709606187E-2</v>
      </c>
      <c r="AD34" s="155">
        <f ca="1"/>
        <v>5.5986764520940979E-2</v>
      </c>
      <c r="AE34" s="138">
        <f ca="1"/>
        <v>9.9335411121950767E-2</v>
      </c>
      <c r="AG34" s="454"/>
      <c r="AH34" s="456"/>
      <c r="AI34" s="455"/>
      <c r="AJ34" s="457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4">
        <v>1.15E-3</v>
      </c>
      <c r="G35" s="154">
        <v>1.81E-3</v>
      </c>
      <c r="H35" s="154">
        <v>2.8E-3</v>
      </c>
      <c r="I35" s="154">
        <v>3.5000000000000001E-3</v>
      </c>
      <c r="J35" s="154" t="s">
        <v>87</v>
      </c>
      <c r="K35" s="154">
        <v>4.5999999999999999E-3</v>
      </c>
      <c r="L35" s="154">
        <v>5.1999999999999998E-3</v>
      </c>
      <c r="M35" s="154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55">
        <f ca="1"/>
        <v>1.0693031837868405E-3</v>
      </c>
      <c r="P35" s="155">
        <f ca="1"/>
        <v>3.2159117106301816E-3</v>
      </c>
      <c r="Q35" s="155">
        <f ca="1"/>
        <v>9.7044457131680861E-3</v>
      </c>
      <c r="R35" s="155">
        <f ca="1"/>
        <v>1.8024697668141076E-2</v>
      </c>
      <c r="S35" s="155">
        <f ca="1"/>
        <v>0</v>
      </c>
      <c r="T35" s="155">
        <f ca="1"/>
        <v>3.9074189189502895E-2</v>
      </c>
      <c r="U35" s="155">
        <f ca="1"/>
        <v>6.1183406730358048E-2</v>
      </c>
      <c r="V35" s="138">
        <f ca="1"/>
        <v>9.4330983660937839E-2</v>
      </c>
      <c r="W35" s="137">
        <f ca="1"/>
        <v>0</v>
      </c>
      <c r="X35" s="155">
        <f ca="1"/>
        <v>1.1622300733186153E-3</v>
      </c>
      <c r="Y35" s="155">
        <f ca="1"/>
        <v>3.3820285485609558E-3</v>
      </c>
      <c r="Z35" s="155">
        <f ca="1"/>
        <v>1.0034489220950848E-2</v>
      </c>
      <c r="AA35" s="155">
        <f ca="1"/>
        <v>1.851556259286169E-2</v>
      </c>
      <c r="AB35" s="155">
        <f ca="1"/>
        <v>0</v>
      </c>
      <c r="AC35" s="155">
        <f ca="1"/>
        <v>3.9894333640201451E-2</v>
      </c>
      <c r="AD35" s="155">
        <f ca="1"/>
        <v>6.2303321450526528E-2</v>
      </c>
      <c r="AE35" s="138">
        <f ca="1"/>
        <v>9.586652564636533E-2</v>
      </c>
      <c r="AG35" s="454"/>
      <c r="AH35" s="456"/>
      <c r="AI35" s="455"/>
      <c r="AJ35" s="457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4">
        <v>5.0000000000000001E-4</v>
      </c>
      <c r="G36" s="154">
        <v>6.9999999999999999E-4</v>
      </c>
      <c r="H36" s="154">
        <v>1.1000000000000001E-3</v>
      </c>
      <c r="I36" s="154">
        <v>1.6000000000000001E-3</v>
      </c>
      <c r="J36" s="154" t="s">
        <v>87</v>
      </c>
      <c r="K36" s="154">
        <v>2.3E-3</v>
      </c>
      <c r="L36" s="154">
        <v>2.8999999999999998E-3</v>
      </c>
      <c r="M36" s="154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55">
        <f ca="1"/>
        <v>4.6505499562699004E-4</v>
      </c>
      <c r="P36" s="155">
        <f ca="1"/>
        <v>1.2437694058637927E-3</v>
      </c>
      <c r="Q36" s="155">
        <f ca="1"/>
        <v>3.8208714895480167E-3</v>
      </c>
      <c r="R36" s="155">
        <f ca="1"/>
        <v>8.2952265556373028E-3</v>
      </c>
      <c r="S36" s="155">
        <f ca="1"/>
        <v>0</v>
      </c>
      <c r="T36" s="155">
        <f ca="1"/>
        <v>1.9763372215437891E-2</v>
      </c>
      <c r="U36" s="155">
        <f ca="1"/>
        <v>3.4786073715067922E-2</v>
      </c>
      <c r="V36" s="138">
        <f ca="1"/>
        <v>6.3222304132099949E-2</v>
      </c>
      <c r="W36" s="137">
        <f ca="1"/>
        <v>0</v>
      </c>
      <c r="X36" s="155">
        <f ca="1"/>
        <v>5.5803964578249321E-4</v>
      </c>
      <c r="Y36" s="155">
        <f ca="1"/>
        <v>1.4102149067779512E-3</v>
      </c>
      <c r="Z36" s="155">
        <f ca="1"/>
        <v>4.1528758618992745E-3</v>
      </c>
      <c r="AA36" s="155">
        <f ca="1"/>
        <v>8.7909549999354297E-3</v>
      </c>
      <c r="AB36" s="155">
        <f ca="1"/>
        <v>0</v>
      </c>
      <c r="AC36" s="155">
        <f ca="1"/>
        <v>2.0600172265770489E-2</v>
      </c>
      <c r="AD36" s="155">
        <f ca="1"/>
        <v>3.5937517791274964E-2</v>
      </c>
      <c r="AE36" s="138">
        <f ca="1"/>
        <v>6.4816118055428418E-2</v>
      </c>
      <c r="AG36" s="454"/>
      <c r="AH36" s="456"/>
      <c r="AI36" s="455"/>
      <c r="AJ36" s="457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4">
        <v>8.9999999999999998E-4</v>
      </c>
      <c r="G37" s="154">
        <v>2.2000000000000001E-3</v>
      </c>
      <c r="H37" s="154">
        <v>3.3E-3</v>
      </c>
      <c r="I37" s="154">
        <v>4.4999999999999997E-3</v>
      </c>
      <c r="J37" s="154" t="s">
        <v>87</v>
      </c>
      <c r="K37" s="154">
        <v>6.7999999999999996E-3</v>
      </c>
      <c r="L37" s="154">
        <v>8.3999999999999995E-3</v>
      </c>
      <c r="M37" s="154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55">
        <f ca="1"/>
        <v>8.3694326804184538E-4</v>
      </c>
      <c r="P37" s="155">
        <f ca="1"/>
        <v>3.9168602155890131E-3</v>
      </c>
      <c r="Q37" s="155">
        <f ca="1"/>
        <v>1.1435278673845417E-2</v>
      </c>
      <c r="R37" s="155">
        <f ca="1"/>
        <v>2.3180172678410105E-2</v>
      </c>
      <c r="S37" s="155">
        <f ca="1"/>
        <v>0</v>
      </c>
      <c r="T37" s="155">
        <f ca="1"/>
        <v>5.767039764238413E-2</v>
      </c>
      <c r="U37" s="155">
        <f ca="1"/>
        <v>9.8277446029163107E-2</v>
      </c>
      <c r="V37" s="138">
        <f ca="1"/>
        <v>0.16466365323803056</v>
      </c>
      <c r="W37" s="137">
        <f ca="1"/>
        <v>0</v>
      </c>
      <c r="X37" s="155">
        <f ca="1"/>
        <v>9.2989251347452839E-4</v>
      </c>
      <c r="Y37" s="155">
        <f ca="1"/>
        <v>4.0828602385009072E-3</v>
      </c>
      <c r="Z37" s="155">
        <f ca="1"/>
        <v>1.1764745333441962E-2</v>
      </c>
      <c r="AA37" s="155">
        <f ca="1"/>
        <v>2.3668460509943534E-2</v>
      </c>
      <c r="AB37" s="155">
        <f ca="1"/>
        <v>0</v>
      </c>
      <c r="AC37" s="155">
        <f ca="1"/>
        <v>5.8455345204134868E-2</v>
      </c>
      <c r="AD37" s="155">
        <f ca="1"/>
        <v>9.9355254133183912E-2</v>
      </c>
      <c r="AE37" s="138">
        <f ca="1"/>
        <v>0.16611475628134442</v>
      </c>
      <c r="AG37" s="454"/>
      <c r="AH37" s="456"/>
      <c r="AI37" s="455"/>
      <c r="AJ37" s="457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4">
        <v>5.0000000000000001E-4</v>
      </c>
      <c r="G38" s="154">
        <v>5.9999999999999995E-4</v>
      </c>
      <c r="H38" s="154">
        <v>1.1999999999999999E-3</v>
      </c>
      <c r="I38" s="154">
        <v>1.6000000000000001E-3</v>
      </c>
      <c r="J38" s="154" t="s">
        <v>87</v>
      </c>
      <c r="K38" s="154">
        <v>2.3E-3</v>
      </c>
      <c r="L38" s="154">
        <v>2.7000000000000001E-3</v>
      </c>
      <c r="M38" s="154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55">
        <f ca="1"/>
        <v>4.6505499562699004E-4</v>
      </c>
      <c r="P38" s="155">
        <f ca="1"/>
        <v>1.0649548260907027E-3</v>
      </c>
      <c r="Q38" s="155">
        <f ca="1"/>
        <v>4.1752021605023781E-3</v>
      </c>
      <c r="R38" s="155">
        <f ca="1"/>
        <v>8.2895278700093611E-3</v>
      </c>
      <c r="S38" s="155">
        <f ca="1"/>
        <v>0</v>
      </c>
      <c r="T38" s="155">
        <f ca="1"/>
        <v>1.9757460155239825E-2</v>
      </c>
      <c r="U38" s="155">
        <f ca="1"/>
        <v>3.2294364936979347E-2</v>
      </c>
      <c r="V38" s="138">
        <f ca="1"/>
        <v>5.6226556329444954E-2</v>
      </c>
      <c r="W38" s="137">
        <f ca="1"/>
        <v>0</v>
      </c>
      <c r="X38" s="155">
        <f ca="1"/>
        <v>5.5803964578249321E-4</v>
      </c>
      <c r="Y38" s="155">
        <f ca="1"/>
        <v>1.2314301269625849E-3</v>
      </c>
      <c r="Z38" s="155">
        <f ca="1"/>
        <v>4.5070884423187296E-3</v>
      </c>
      <c r="AA38" s="155">
        <f ca="1"/>
        <v>8.7852591629286048E-3</v>
      </c>
      <c r="AB38" s="155">
        <f ca="1"/>
        <v>0</v>
      </c>
      <c r="AC38" s="155">
        <f ca="1"/>
        <v>2.0594227062585291E-2</v>
      </c>
      <c r="AD38" s="155">
        <f ca="1"/>
        <v>3.3447969949576883E-2</v>
      </c>
      <c r="AE38" s="138">
        <f ca="1"/>
        <v>5.7830914896271235E-2</v>
      </c>
      <c r="AG38" s="454"/>
      <c r="AH38" s="456"/>
      <c r="AI38" s="455"/>
      <c r="AJ38" s="457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4">
        <v>1E-3</v>
      </c>
      <c r="G39" s="154">
        <v>1.2999999999999999E-3</v>
      </c>
      <c r="H39" s="154">
        <v>2.3E-3</v>
      </c>
      <c r="I39" s="154">
        <v>3.3999999999999998E-3</v>
      </c>
      <c r="J39" s="154" t="s">
        <v>87</v>
      </c>
      <c r="K39" s="154">
        <v>5.1000000000000004E-3</v>
      </c>
      <c r="L39" s="154">
        <v>6.4999999999999997E-3</v>
      </c>
      <c r="M39" s="154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55">
        <f ca="1"/>
        <v>9.2989371787344233E-4</v>
      </c>
      <c r="P39" s="155">
        <f ca="1"/>
        <v>2.3075589355034953E-3</v>
      </c>
      <c r="Q39" s="155">
        <f ca="1"/>
        <v>7.9840575679024361E-3</v>
      </c>
      <c r="R39" s="155">
        <f ca="1"/>
        <v>1.7582439323447385E-2</v>
      </c>
      <c r="S39" s="155">
        <f ca="1"/>
        <v>0</v>
      </c>
      <c r="T39" s="155">
        <f ca="1"/>
        <v>4.3506051035054227E-2</v>
      </c>
      <c r="U39" s="155">
        <f ca="1"/>
        <v>7.6857723717280169E-2</v>
      </c>
      <c r="V39" s="138">
        <f ca="1"/>
        <v>0.12578072393134232</v>
      </c>
      <c r="W39" s="137">
        <f ca="1"/>
        <v>0</v>
      </c>
      <c r="X39" s="155">
        <f ca="1"/>
        <v>1.0228340424542903E-3</v>
      </c>
      <c r="Y39" s="155">
        <f ca="1"/>
        <v>2.4738271529521905E-3</v>
      </c>
      <c r="Z39" s="155">
        <f ca="1"/>
        <v>8.3146744428531649E-3</v>
      </c>
      <c r="AA39" s="155">
        <f ca="1"/>
        <v>1.8073525322064743E-2</v>
      </c>
      <c r="AB39" s="155">
        <f ca="1"/>
        <v>0</v>
      </c>
      <c r="AC39" s="155">
        <f ca="1"/>
        <v>4.4322905184660089E-2</v>
      </c>
      <c r="AD39" s="155">
        <f ca="1"/>
        <v>7.7961127382236151E-2</v>
      </c>
      <c r="AE39" s="138">
        <f ca="1"/>
        <v>0.12728661910367856</v>
      </c>
      <c r="AG39" s="454"/>
      <c r="AH39" s="456"/>
      <c r="AI39" s="455"/>
      <c r="AJ39" s="457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4">
        <v>1.91E-3</v>
      </c>
      <c r="G40" s="154">
        <v>2.1800000000000001E-3</v>
      </c>
      <c r="H40" s="154">
        <v>2.9099999999999998E-3</v>
      </c>
      <c r="I40" s="154">
        <v>3.48E-3</v>
      </c>
      <c r="J40" s="154" t="s">
        <v>87</v>
      </c>
      <c r="K40" s="154">
        <v>4.3E-3</v>
      </c>
      <c r="L40" s="154">
        <v>4.7499999999999999E-3</v>
      </c>
      <c r="M40" s="154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55">
        <f ca="1"/>
        <v>1.7753456843576654E-3</v>
      </c>
      <c r="P40" s="155">
        <f ca="1"/>
        <v>3.862687665371678E-3</v>
      </c>
      <c r="Q40" s="155">
        <f ca="1"/>
        <v>1.0057293586719585E-2</v>
      </c>
      <c r="R40" s="155">
        <f ca="1"/>
        <v>1.7876408605773442E-2</v>
      </c>
      <c r="S40" s="155">
        <f ca="1"/>
        <v>0</v>
      </c>
      <c r="T40" s="155">
        <f ca="1"/>
        <v>3.6439201614234085E-2</v>
      </c>
      <c r="U40" s="155">
        <f ca="1"/>
        <v>5.580468016290363E-2</v>
      </c>
      <c r="V40" s="138">
        <f ca="1"/>
        <v>8.4385715637236514E-2</v>
      </c>
      <c r="W40" s="137">
        <f ca="1"/>
        <v>0</v>
      </c>
      <c r="X40" s="155">
        <f ca="1"/>
        <v>1.8682034657326874E-3</v>
      </c>
      <c r="Y40" s="155">
        <f ca="1"/>
        <v>4.0286967162957987E-3</v>
      </c>
      <c r="Z40" s="155">
        <f ca="1"/>
        <v>1.0387219498141254E-2</v>
      </c>
      <c r="AA40" s="155">
        <f ca="1"/>
        <v>1.8367347656489286E-2</v>
      </c>
      <c r="AB40" s="155">
        <f ca="1"/>
        <v>0</v>
      </c>
      <c r="AC40" s="155">
        <f ca="1"/>
        <v>3.7261218548976904E-2</v>
      </c>
      <c r="AD40" s="155">
        <f ca="1"/>
        <v>5.6929944780685138E-2</v>
      </c>
      <c r="AE40" s="138">
        <f ca="1"/>
        <v>8.5937643499270133E-2</v>
      </c>
      <c r="AG40" s="454"/>
      <c r="AH40" s="456"/>
      <c r="AI40" s="455"/>
      <c r="AJ40" s="457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4">
        <v>4.0000000000000002E-4</v>
      </c>
      <c r="G41" s="154">
        <v>6.9999999999999999E-4</v>
      </c>
      <c r="H41" s="154">
        <v>1.1999999999999999E-3</v>
      </c>
      <c r="I41" s="154">
        <v>1.9E-3</v>
      </c>
      <c r="J41" s="154" t="s">
        <v>87</v>
      </c>
      <c r="K41" s="154">
        <v>2.8E-3</v>
      </c>
      <c r="L41" s="154">
        <v>3.5999999999999999E-3</v>
      </c>
      <c r="M41" s="154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55">
        <f ca="1"/>
        <v>3.7206130320088793E-4</v>
      </c>
      <c r="P41" s="155">
        <f ca="1"/>
        <v>1.2454766991428778E-3</v>
      </c>
      <c r="Q41" s="155">
        <f ca="1"/>
        <v>4.17282171915212E-3</v>
      </c>
      <c r="R41" s="155">
        <f ca="1"/>
        <v>9.8648904600681098E-3</v>
      </c>
      <c r="S41" s="155">
        <f ca="1"/>
        <v>0</v>
      </c>
      <c r="T41" s="155">
        <f ca="1"/>
        <v>2.4057870401716364E-2</v>
      </c>
      <c r="U41" s="155">
        <f ca="1"/>
        <v>4.3128389004615131E-2</v>
      </c>
      <c r="V41" s="138">
        <f ca="1"/>
        <v>7.4680704793021579E-2</v>
      </c>
      <c r="W41" s="137">
        <f ca="1"/>
        <v>0</v>
      </c>
      <c r="X41" s="155">
        <f ca="1"/>
        <v>4.6505473678803977E-4</v>
      </c>
      <c r="Y41" s="155">
        <f ca="1"/>
        <v>1.4119219155342977E-3</v>
      </c>
      <c r="Z41" s="155">
        <f ca="1"/>
        <v>4.5047087943315134E-3</v>
      </c>
      <c r="AA41" s="155">
        <f ca="1"/>
        <v>1.0359834268583779E-2</v>
      </c>
      <c r="AB41" s="155">
        <f ca="1"/>
        <v>0</v>
      </c>
      <c r="AC41" s="155">
        <f ca="1"/>
        <v>2.4891402092380277E-2</v>
      </c>
      <c r="AD41" s="155">
        <f ca="1"/>
        <v>4.4270990921970954E-2</v>
      </c>
      <c r="AE41" s="138">
        <f ca="1"/>
        <v>7.6254965903498895E-2</v>
      </c>
      <c r="AG41" s="454"/>
      <c r="AH41" s="456"/>
      <c r="AI41" s="455"/>
      <c r="AJ41" s="457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4">
        <v>8.9999999999999998E-4</v>
      </c>
      <c r="G42" s="154">
        <v>1.8E-3</v>
      </c>
      <c r="H42" s="154">
        <v>3.5000000000000001E-3</v>
      </c>
      <c r="I42" s="154">
        <v>4.1000000000000003E-3</v>
      </c>
      <c r="J42" s="154" t="s">
        <v>87</v>
      </c>
      <c r="K42" s="154">
        <v>5.8999999999999999E-3</v>
      </c>
      <c r="L42" s="154">
        <v>7.1999999999999998E-3</v>
      </c>
      <c r="M42" s="154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55">
        <f ca="1"/>
        <v>8.3694326804184538E-4</v>
      </c>
      <c r="P42" s="155">
        <f ca="1"/>
        <v>3.2025460033593411E-3</v>
      </c>
      <c r="Q42" s="155">
        <f ca="1"/>
        <v>1.2150863054514405E-2</v>
      </c>
      <c r="R42" s="155">
        <f ca="1"/>
        <v>2.1088082931283614E-2</v>
      </c>
      <c r="S42" s="155">
        <f ca="1"/>
        <v>0</v>
      </c>
      <c r="T42" s="155">
        <f ca="1"/>
        <v>5.0050744545684145E-2</v>
      </c>
      <c r="U42" s="155">
        <f ca="1"/>
        <v>8.4492533805590631E-2</v>
      </c>
      <c r="V42" s="138">
        <f ca="1"/>
        <v>0.13958468016677583</v>
      </c>
      <c r="W42" s="137">
        <f ca="1"/>
        <v>0</v>
      </c>
      <c r="X42" s="155">
        <f ca="1"/>
        <v>9.2989251347452839E-4</v>
      </c>
      <c r="Y42" s="155">
        <f ca="1"/>
        <v>3.3686650687140274E-3</v>
      </c>
      <c r="Z42" s="155">
        <f ca="1"/>
        <v>1.2480091225765877E-2</v>
      </c>
      <c r="AA42" s="155">
        <f ca="1"/>
        <v>2.1577416546206485E-2</v>
      </c>
      <c r="AB42" s="155">
        <f ca="1"/>
        <v>0</v>
      </c>
      <c r="AC42" s="155">
        <f ca="1"/>
        <v>5.0861004709131352E-2</v>
      </c>
      <c r="AD42" s="155">
        <f ca="1"/>
        <v>8.558568629951846E-2</v>
      </c>
      <c r="AE42" s="138">
        <f ca="1"/>
        <v>0.14106899506243631</v>
      </c>
      <c r="AG42" s="454"/>
      <c r="AH42" s="456"/>
      <c r="AI42" s="455"/>
      <c r="AJ42" s="457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4">
        <v>3.3E-4</v>
      </c>
      <c r="G43" s="154">
        <v>9.1E-4</v>
      </c>
      <c r="H43" s="154">
        <v>1.64E-3</v>
      </c>
      <c r="I43" s="154">
        <v>2.1800000000000001E-3</v>
      </c>
      <c r="J43" s="154" t="s">
        <v>87</v>
      </c>
      <c r="K43" s="154">
        <v>3.0000000000000001E-3</v>
      </c>
      <c r="L43" s="154">
        <v>3.4499999999999999E-3</v>
      </c>
      <c r="M43" s="154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55">
        <f ca="1"/>
        <v>3.0696057055534798E-4</v>
      </c>
      <c r="P43" s="155">
        <f ca="1"/>
        <v>1.6221629536352644E-3</v>
      </c>
      <c r="Q43" s="155">
        <f ca="1"/>
        <v>5.7054347603796574E-3</v>
      </c>
      <c r="R43" s="155">
        <f ca="1"/>
        <v>1.1283900844834216E-2</v>
      </c>
      <c r="S43" s="155">
        <f ca="1"/>
        <v>0</v>
      </c>
      <c r="T43" s="155">
        <f ca="1"/>
        <v>2.5684302703663286E-2</v>
      </c>
      <c r="U43" s="155">
        <f ca="1"/>
        <v>4.1045683540022027E-2</v>
      </c>
      <c r="V43" s="138">
        <f ca="1"/>
        <v>6.3888802542931944E-2</v>
      </c>
      <c r="W43" s="137">
        <f ca="1"/>
        <v>0</v>
      </c>
      <c r="X43" s="155">
        <f ca="1"/>
        <v>3.9996013688403664E-4</v>
      </c>
      <c r="Y43" s="155">
        <f ca="1"/>
        <v>1.7885453942293461E-3</v>
      </c>
      <c r="Z43" s="155">
        <f ca="1"/>
        <v>6.0368110496809013E-3</v>
      </c>
      <c r="AA43" s="155">
        <f ca="1"/>
        <v>1.1778135325507866E-2</v>
      </c>
      <c r="AB43" s="155">
        <f ca="1"/>
        <v>0</v>
      </c>
      <c r="AC43" s="155">
        <f ca="1"/>
        <v>2.6516183318238573E-2</v>
      </c>
      <c r="AD43" s="155">
        <f ca="1"/>
        <v>4.2189270180662874E-2</v>
      </c>
      <c r="AE43" s="138">
        <f ca="1"/>
        <v>6.5478432277161991E-2</v>
      </c>
      <c r="AG43" s="454"/>
      <c r="AH43" s="456"/>
      <c r="AI43" s="455"/>
      <c r="AJ43" s="457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4">
        <v>8.3000000000000001E-4</v>
      </c>
      <c r="G44" s="154">
        <v>1.7600000000000001E-3</v>
      </c>
      <c r="H44" s="154">
        <v>2.8300000000000001E-3</v>
      </c>
      <c r="I44" s="154">
        <v>3.5100000000000001E-3</v>
      </c>
      <c r="J44" s="154" t="s">
        <v>87</v>
      </c>
      <c r="K44" s="154">
        <v>4.7999999999999996E-3</v>
      </c>
      <c r="L44" s="154">
        <v>5.3E-3</v>
      </c>
      <c r="M44" s="154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55">
        <f ca="1"/>
        <v>7.7187280880275377E-4</v>
      </c>
      <c r="P44" s="155">
        <f ca="1"/>
        <v>3.132357250947182E-3</v>
      </c>
      <c r="Q44" s="155">
        <f ca="1"/>
        <v>9.8173668477745668E-3</v>
      </c>
      <c r="R44" s="155">
        <f ca="1"/>
        <v>1.8082164190133976E-2</v>
      </c>
      <c r="S44" s="155">
        <f ca="1"/>
        <v>0</v>
      </c>
      <c r="T44" s="155">
        <f ca="1"/>
        <v>4.0805650818256822E-2</v>
      </c>
      <c r="U44" s="155">
        <f ca="1"/>
        <v>6.2293863615765943E-2</v>
      </c>
      <c r="V44" s="138">
        <f ca="1"/>
        <v>9.4110116396309951E-2</v>
      </c>
      <c r="W44" s="137">
        <f ca="1"/>
        <v>0</v>
      </c>
      <c r="X44" s="155">
        <f ca="1"/>
        <v>8.6482828200629136E-4</v>
      </c>
      <c r="Y44" s="155">
        <f ca="1"/>
        <v>3.2984880134558914E-3</v>
      </c>
      <c r="Z44" s="155">
        <f ca="1"/>
        <v>1.0147372721463599E-2</v>
      </c>
      <c r="AA44" s="155">
        <f ca="1"/>
        <v>1.8573000388767746E-2</v>
      </c>
      <c r="AB44" s="155">
        <f ca="1"/>
        <v>0</v>
      </c>
      <c r="AC44" s="155">
        <f ca="1"/>
        <v>4.162439313463695E-2</v>
      </c>
      <c r="AD44" s="155">
        <f ca="1"/>
        <v>6.3412546639486256E-2</v>
      </c>
      <c r="AE44" s="138">
        <f ca="1"/>
        <v>9.5645670756752454E-2</v>
      </c>
      <c r="AG44" s="454"/>
      <c r="AH44" s="456"/>
      <c r="AI44" s="455"/>
      <c r="AJ44" s="457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4">
        <v>1.1999999999999999E-3</v>
      </c>
      <c r="G45" s="154">
        <v>1.4E-3</v>
      </c>
      <c r="H45" s="154">
        <v>1.8E-3</v>
      </c>
      <c r="I45" s="154">
        <v>2.3E-3</v>
      </c>
      <c r="J45" s="154" t="s">
        <v>87</v>
      </c>
      <c r="K45" s="154">
        <v>2.7000000000000001E-3</v>
      </c>
      <c r="L45" s="154">
        <v>3.3E-3</v>
      </c>
      <c r="M45" s="154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55">
        <f ca="1"/>
        <v>1.1157686840057579E-3</v>
      </c>
      <c r="P45" s="155">
        <f ca="1"/>
        <v>2.4826986701378395E-3</v>
      </c>
      <c r="Q45" s="155">
        <f ca="1"/>
        <v>6.2287057905406895E-3</v>
      </c>
      <c r="R45" s="155">
        <f ca="1"/>
        <v>1.1860415890026621E-2</v>
      </c>
      <c r="S45" s="155">
        <f ca="1"/>
        <v>0</v>
      </c>
      <c r="T45" s="155">
        <f ca="1"/>
        <v>2.298597075807729E-2</v>
      </c>
      <c r="U45" s="155">
        <f ca="1"/>
        <v>3.9262700275520479E-2</v>
      </c>
      <c r="V45" s="138">
        <f ca="1"/>
        <v>6.9480733087931124E-2</v>
      </c>
      <c r="W45" s="137">
        <f ca="1"/>
        <v>0</v>
      </c>
      <c r="X45" s="155">
        <f ca="1"/>
        <v>1.2086910806557993E-3</v>
      </c>
      <c r="Y45" s="155">
        <f ca="1"/>
        <v>2.6489377000513681E-3</v>
      </c>
      <c r="Z45" s="155">
        <f ca="1"/>
        <v>6.559907685226074E-3</v>
      </c>
      <c r="AA45" s="155">
        <f ca="1"/>
        <v>1.2354362185208356E-2</v>
      </c>
      <c r="AB45" s="155">
        <f ca="1"/>
        <v>0</v>
      </c>
      <c r="AC45" s="155">
        <f ca="1"/>
        <v>2.3819371617505913E-2</v>
      </c>
      <c r="AD45" s="155">
        <f ca="1"/>
        <v>4.0407915390781701E-2</v>
      </c>
      <c r="AE45" s="138">
        <f ca="1"/>
        <v>7.1062182265474672E-2</v>
      </c>
      <c r="AG45" s="454"/>
      <c r="AH45" s="456"/>
      <c r="AI45" s="455"/>
      <c r="AJ45" s="457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4">
        <v>4.0000000000000002E-4</v>
      </c>
      <c r="G46" s="154">
        <v>8.9999999999999998E-4</v>
      </c>
      <c r="H46" s="154">
        <v>1.4E-3</v>
      </c>
      <c r="I46" s="154">
        <v>1.8E-3</v>
      </c>
      <c r="J46" s="154" t="s">
        <v>87</v>
      </c>
      <c r="K46" s="154">
        <v>2.7000000000000001E-3</v>
      </c>
      <c r="L46" s="154">
        <v>3.3999999999999998E-3</v>
      </c>
      <c r="M46" s="154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55">
        <f ca="1"/>
        <v>3.7206130320088793E-4</v>
      </c>
      <c r="P46" s="155">
        <f ca="1"/>
        <v>1.6030771977488811E-3</v>
      </c>
      <c r="Q46" s="155">
        <f ca="1"/>
        <v>4.8647287890087876E-3</v>
      </c>
      <c r="R46" s="155">
        <f ca="1"/>
        <v>9.3105138882916272E-3</v>
      </c>
      <c r="S46" s="155">
        <f ca="1"/>
        <v>0</v>
      </c>
      <c r="T46" s="155">
        <f ca="1"/>
        <v>2.3177451160200757E-2</v>
      </c>
      <c r="U46" s="155">
        <f ca="1"/>
        <v>4.0697295406664669E-2</v>
      </c>
      <c r="V46" s="138">
        <f ca="1"/>
        <v>6.9577799693279152E-2</v>
      </c>
      <c r="W46" s="137">
        <f ca="1"/>
        <v>0</v>
      </c>
      <c r="X46" s="155">
        <f ca="1"/>
        <v>4.6505473678803977E-4</v>
      </c>
      <c r="Y46" s="155">
        <f ca="1"/>
        <v>1.7694628190280115E-3</v>
      </c>
      <c r="Z46" s="155">
        <f ca="1"/>
        <v>5.1963852669225652E-3</v>
      </c>
      <c r="AA46" s="155">
        <f ca="1"/>
        <v>9.8057348157979396E-3</v>
      </c>
      <c r="AB46" s="155">
        <f ca="1"/>
        <v>0</v>
      </c>
      <c r="AC46" s="155">
        <f ca="1"/>
        <v>2.4011504181497778E-2</v>
      </c>
      <c r="AD46" s="155">
        <f ca="1"/>
        <v>4.1842273477662228E-2</v>
      </c>
      <c r="AE46" s="138">
        <f ca="1"/>
        <v>7.1160313508198181E-2</v>
      </c>
      <c r="AG46" s="454"/>
      <c r="AH46" s="456"/>
      <c r="AI46" s="455"/>
      <c r="AJ46" s="457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4">
        <v>1.8500000000000001E-3</v>
      </c>
      <c r="G47" s="154">
        <v>2.0699999999999998E-3</v>
      </c>
      <c r="H47" s="154">
        <v>2.81E-3</v>
      </c>
      <c r="I47" s="154">
        <v>3.2599999999999999E-3</v>
      </c>
      <c r="J47" s="154" t="s">
        <v>87</v>
      </c>
      <c r="K47" s="154">
        <v>4.1000000000000003E-3</v>
      </c>
      <c r="L47" s="154">
        <v>4.5999999999999999E-3</v>
      </c>
      <c r="M47" s="154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55">
        <f ca="1"/>
        <v>1.7196236251293406E-3</v>
      </c>
      <c r="P47" s="155">
        <f ca="1"/>
        <v>3.6674543526901138E-3</v>
      </c>
      <c r="Q47" s="155">
        <f ca="1"/>
        <v>9.714584926525327E-3</v>
      </c>
      <c r="R47" s="155">
        <f ca="1"/>
        <v>1.6742668563511254E-2</v>
      </c>
      <c r="S47" s="155">
        <f ca="1"/>
        <v>0</v>
      </c>
      <c r="T47" s="155">
        <f ca="1"/>
        <v>3.4778967411027262E-2</v>
      </c>
      <c r="U47" s="155">
        <f ca="1"/>
        <v>5.4148858605184702E-2</v>
      </c>
      <c r="V47" s="138">
        <f ca="1"/>
        <v>8.2962523419249257E-2</v>
      </c>
      <c r="W47" s="137">
        <f ca="1"/>
        <v>0</v>
      </c>
      <c r="X47" s="155">
        <f ca="1"/>
        <v>1.8124869276887612E-3</v>
      </c>
      <c r="Y47" s="155">
        <f ca="1"/>
        <v>3.8334959397758883E-3</v>
      </c>
      <c r="Z47" s="155">
        <f ca="1"/>
        <v>1.0044625055157907E-2</v>
      </c>
      <c r="AA47" s="155">
        <f ca="1"/>
        <v>1.7234174342552477E-2</v>
      </c>
      <c r="AB47" s="155">
        <f ca="1"/>
        <v>0</v>
      </c>
      <c r="AC47" s="155">
        <f ca="1"/>
        <v>3.5602435028331603E-2</v>
      </c>
      <c r="AD47" s="155">
        <f ca="1"/>
        <v>5.5276300658202993E-2</v>
      </c>
      <c r="AE47" s="138">
        <f ca="1"/>
        <v>8.4517539800237462E-2</v>
      </c>
      <c r="AG47" s="454"/>
      <c r="AH47" s="456"/>
      <c r="AI47" s="455"/>
      <c r="AJ47" s="457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4">
        <v>5.0000000000000001E-4</v>
      </c>
      <c r="G48" s="154">
        <v>6.9999999999999999E-4</v>
      </c>
      <c r="H48" s="154">
        <v>1.1000000000000001E-3</v>
      </c>
      <c r="I48" s="154">
        <v>1.5E-3</v>
      </c>
      <c r="J48" s="154" t="s">
        <v>87</v>
      </c>
      <c r="K48" s="154">
        <v>2.3999999999999998E-3</v>
      </c>
      <c r="L48" s="154">
        <v>3.0999999999999999E-3</v>
      </c>
      <c r="M48" s="154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55">
        <f ca="1"/>
        <v>4.6505499562699004E-4</v>
      </c>
      <c r="P48" s="155">
        <f ca="1"/>
        <v>1.2437694058637927E-3</v>
      </c>
      <c r="Q48" s="155">
        <f ca="1"/>
        <v>3.8208714895480167E-3</v>
      </c>
      <c r="R48" s="155">
        <f ca="1"/>
        <v>7.769068585619876E-3</v>
      </c>
      <c r="S48" s="155">
        <f ca="1"/>
        <v>0</v>
      </c>
      <c r="T48" s="155">
        <f ca="1"/>
        <v>2.0660439593208735E-2</v>
      </c>
      <c r="U48" s="155">
        <f ca="1"/>
        <v>3.7241389740765407E-2</v>
      </c>
      <c r="V48" s="138">
        <f ca="1"/>
        <v>6.8368785328529857E-2</v>
      </c>
      <c r="W48" s="137">
        <f ca="1"/>
        <v>0</v>
      </c>
      <c r="X48" s="155">
        <f ca="1"/>
        <v>5.5803964578249321E-4</v>
      </c>
      <c r="Y48" s="155">
        <f ca="1"/>
        <v>1.4102149067779512E-3</v>
      </c>
      <c r="Z48" s="155">
        <f ca="1"/>
        <v>4.1528758618992745E-3</v>
      </c>
      <c r="AA48" s="155">
        <f ca="1"/>
        <v>8.265060043113559E-3</v>
      </c>
      <c r="AB48" s="155">
        <f ca="1"/>
        <v>0</v>
      </c>
      <c r="AC48" s="155">
        <f ca="1"/>
        <v>2.1496692246461446E-2</v>
      </c>
      <c r="AD48" s="155">
        <f ca="1"/>
        <v>3.8390588738120734E-2</v>
      </c>
      <c r="AE48" s="138">
        <f ca="1"/>
        <v>6.995442843463473E-2</v>
      </c>
      <c r="AG48" s="454"/>
      <c r="AH48" s="456"/>
      <c r="AI48" s="455"/>
      <c r="AJ48" s="457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4">
        <v>1.1000000000000001E-3</v>
      </c>
      <c r="G49" s="154">
        <v>1.6000000000000001E-3</v>
      </c>
      <c r="H49" s="154">
        <v>2E-3</v>
      </c>
      <c r="I49" s="154">
        <v>2.8E-3</v>
      </c>
      <c r="J49" s="154" t="s">
        <v>87</v>
      </c>
      <c r="K49" s="154">
        <v>3.8999999999999998E-3</v>
      </c>
      <c r="L49" s="154">
        <v>4.5999999999999999E-3</v>
      </c>
      <c r="M49" s="154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55">
        <f ca="1"/>
        <v>1.0228355227774877E-3</v>
      </c>
      <c r="P49" s="155">
        <f ca="1"/>
        <v>2.8417371980472561E-3</v>
      </c>
      <c r="Q49" s="155">
        <f ca="1"/>
        <v>6.9210130096538647E-3</v>
      </c>
      <c r="R49" s="155">
        <f ca="1"/>
        <v>1.4455453235439508E-2</v>
      </c>
      <c r="S49" s="155">
        <f ca="1"/>
        <v>0</v>
      </c>
      <c r="T49" s="155">
        <f ca="1"/>
        <v>3.3282729067457661E-2</v>
      </c>
      <c r="U49" s="155">
        <f ca="1"/>
        <v>5.4501497525214604E-2</v>
      </c>
      <c r="V49" s="138">
        <f ca="1"/>
        <v>9.3909925584951592E-2</v>
      </c>
      <c r="W49" s="137">
        <f ca="1"/>
        <v>0</v>
      </c>
      <c r="X49" s="155">
        <f ca="1"/>
        <v>1.1157668979256963E-3</v>
      </c>
      <c r="Y49" s="155">
        <f ca="1"/>
        <v>3.0079163931993058E-3</v>
      </c>
      <c r="Z49" s="155">
        <f ca="1"/>
        <v>7.2519841737347379E-3</v>
      </c>
      <c r="AA49" s="155">
        <f ca="1"/>
        <v>1.4948102336290292E-2</v>
      </c>
      <c r="AB49" s="155">
        <f ca="1"/>
        <v>0</v>
      </c>
      <c r="AC49" s="155">
        <f ca="1"/>
        <v>3.4108186618431069E-2</v>
      </c>
      <c r="AD49" s="155">
        <f ca="1"/>
        <v>5.5630048572611557E-2</v>
      </c>
      <c r="AE49" s="138">
        <f ca="1"/>
        <v>9.5447921386707657E-2</v>
      </c>
      <c r="AG49" s="454"/>
      <c r="AH49" s="456"/>
      <c r="AI49" s="455"/>
      <c r="AJ49" s="457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4">
        <v>6.9999999999999999E-4</v>
      </c>
      <c r="G50" s="154">
        <v>8.9999999999999998E-4</v>
      </c>
      <c r="H50" s="154">
        <v>1.2999999999999999E-3</v>
      </c>
      <c r="I50" s="154">
        <v>1.8E-3</v>
      </c>
      <c r="J50" s="154" t="s">
        <v>87</v>
      </c>
      <c r="K50" s="154">
        <v>2.8999999999999998E-3</v>
      </c>
      <c r="L50" s="154">
        <v>3.5999999999999999E-3</v>
      </c>
      <c r="M50" s="154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55">
        <f ca="1"/>
        <v>6.5101642887865907E-4</v>
      </c>
      <c r="P50" s="155">
        <f ca="1"/>
        <v>1.5979062190856208E-3</v>
      </c>
      <c r="Q50" s="155">
        <f ca="1"/>
        <v>4.5094182902363222E-3</v>
      </c>
      <c r="R50" s="155">
        <f ca="1"/>
        <v>9.3151614986946019E-3</v>
      </c>
      <c r="S50" s="155">
        <f ca="1"/>
        <v>0</v>
      </c>
      <c r="T50" s="155">
        <f ca="1"/>
        <v>2.4928588479043223E-2</v>
      </c>
      <c r="U50" s="155">
        <f ca="1"/>
        <v>4.3073167950879898E-2</v>
      </c>
      <c r="V50" s="138">
        <f ca="1"/>
        <v>7.4624481679075316E-2</v>
      </c>
      <c r="W50" s="137">
        <f ca="1"/>
        <v>0</v>
      </c>
      <c r="X50" s="155">
        <f ca="1"/>
        <v>7.4398343160742009E-4</v>
      </c>
      <c r="Y50" s="155">
        <f ca="1"/>
        <v>1.7642927021199739E-3</v>
      </c>
      <c r="Z50" s="155">
        <f ca="1"/>
        <v>4.8411931852367918E-3</v>
      </c>
      <c r="AA50" s="155">
        <f ca="1"/>
        <v>9.8103801029819637E-3</v>
      </c>
      <c r="AB50" s="155">
        <f ca="1"/>
        <v>0</v>
      </c>
      <c r="AC50" s="155">
        <f ca="1"/>
        <v>2.576141231089335E-2</v>
      </c>
      <c r="AD50" s="155">
        <f ca="1"/>
        <v>4.4215703644047366E-2</v>
      </c>
      <c r="AE50" s="138">
        <f ca="1"/>
        <v>7.6198516494382473E-2</v>
      </c>
      <c r="AG50" s="454"/>
      <c r="AH50" s="456"/>
      <c r="AI50" s="455"/>
      <c r="AJ50" s="457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4">
        <v>1.1999999999999999E-3</v>
      </c>
      <c r="G51" s="154">
        <v>2.3999999999999998E-3</v>
      </c>
      <c r="H51" s="154">
        <v>3.8E-3</v>
      </c>
      <c r="I51" s="154">
        <v>5.4000000000000003E-3</v>
      </c>
      <c r="J51" s="154" t="s">
        <v>87</v>
      </c>
      <c r="K51" s="154">
        <v>8.0000000000000002E-3</v>
      </c>
      <c r="L51" s="154">
        <v>9.5999999999999992E-3</v>
      </c>
      <c r="M51" s="154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55">
        <f ca="1"/>
        <v>1.1157686840057579E-3</v>
      </c>
      <c r="P51" s="155">
        <f ca="1"/>
        <v>4.2683873971510744E-3</v>
      </c>
      <c r="Q51" s="155">
        <f ca="1"/>
        <v>1.3162185781111169E-2</v>
      </c>
      <c r="R51" s="155">
        <f ca="1"/>
        <v>2.7797267640243595E-2</v>
      </c>
      <c r="S51" s="155">
        <f ca="1"/>
        <v>0</v>
      </c>
      <c r="T51" s="155">
        <f ca="1"/>
        <v>6.7583227669300583E-2</v>
      </c>
      <c r="U51" s="155">
        <f ca="1"/>
        <v>0.11148534932587428</v>
      </c>
      <c r="V51" s="138">
        <f ca="1"/>
        <v>0.18044827869641877</v>
      </c>
      <c r="W51" s="137">
        <f ca="1"/>
        <v>0</v>
      </c>
      <c r="X51" s="155">
        <f ca="1"/>
        <v>1.2086910806557993E-3</v>
      </c>
      <c r="Y51" s="155">
        <f ca="1"/>
        <v>4.4343288370810585E-3</v>
      </c>
      <c r="Z51" s="155">
        <f ca="1"/>
        <v>1.3491076900959964E-2</v>
      </c>
      <c r="AA51" s="155">
        <f ca="1"/>
        <v>2.8283247501338482E-2</v>
      </c>
      <c r="AB51" s="155">
        <f ca="1"/>
        <v>0</v>
      </c>
      <c r="AC51" s="155">
        <f ca="1"/>
        <v>6.8359917980317597E-2</v>
      </c>
      <c r="AD51" s="155">
        <f ca="1"/>
        <v>0.11254598172841923</v>
      </c>
      <c r="AE51" s="138">
        <f ca="1"/>
        <v>0.18187289901337922</v>
      </c>
      <c r="AG51" s="454"/>
      <c r="AH51" s="456"/>
      <c r="AI51" s="455"/>
      <c r="AJ51" s="457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4">
        <v>5.9999999999999995E-4</v>
      </c>
      <c r="G52" s="154">
        <v>6.9999999999999999E-4</v>
      </c>
      <c r="H52" s="154">
        <v>1.1999999999999999E-3</v>
      </c>
      <c r="I52" s="154">
        <v>1.8E-3</v>
      </c>
      <c r="J52" s="154" t="s">
        <v>87</v>
      </c>
      <c r="K52" s="154">
        <v>2.8E-3</v>
      </c>
      <c r="L52" s="154">
        <v>3.5000000000000001E-3</v>
      </c>
      <c r="M52" s="154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55">
        <f ca="1"/>
        <v>5.5804003710946404E-4</v>
      </c>
      <c r="P52" s="155">
        <f ca="1"/>
        <v>1.2420622443276574E-3</v>
      </c>
      <c r="Q52" s="155">
        <f ca="1"/>
        <v>4.1693301398034732E-3</v>
      </c>
      <c r="R52" s="155">
        <f ca="1"/>
        <v>9.3354664940147325E-3</v>
      </c>
      <c r="S52" s="155">
        <f ca="1"/>
        <v>0</v>
      </c>
      <c r="T52" s="155">
        <f ca="1"/>
        <v>2.4076882081163098E-2</v>
      </c>
      <c r="U52" s="155">
        <f ca="1"/>
        <v>4.1910082673322191E-2</v>
      </c>
      <c r="V52" s="138">
        <f ca="1"/>
        <v>7.4805750079061761E-2</v>
      </c>
      <c r="W52" s="137">
        <f ca="1"/>
        <v>0</v>
      </c>
      <c r="X52" s="155">
        <f ca="1"/>
        <v>6.5101587709581743E-4</v>
      </c>
      <c r="Y52" s="155">
        <f ca="1"/>
        <v>1.4085080297483454E-3</v>
      </c>
      <c r="Z52" s="155">
        <f ca="1"/>
        <v>4.5012183786501403E-3</v>
      </c>
      <c r="AA52" s="155">
        <f ca="1"/>
        <v>9.8306749483537681E-3</v>
      </c>
      <c r="AB52" s="155">
        <f ca="1"/>
        <v>0</v>
      </c>
      <c r="AC52" s="155">
        <f ca="1"/>
        <v>2.4910442878768091E-2</v>
      </c>
      <c r="AD52" s="155">
        <f ca="1"/>
        <v>4.3053947953669791E-2</v>
      </c>
      <c r="AE52" s="138">
        <f ca="1"/>
        <v>7.6379726089058186E-2</v>
      </c>
      <c r="AG52" s="454"/>
      <c r="AH52" s="456"/>
      <c r="AI52" s="455"/>
      <c r="AJ52" s="457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4">
        <v>6.9999999999999999E-4</v>
      </c>
      <c r="G53" s="154">
        <v>8.0000000000000004E-4</v>
      </c>
      <c r="H53" s="154">
        <v>1.1000000000000001E-3</v>
      </c>
      <c r="I53" s="154">
        <v>1.6999999999999999E-3</v>
      </c>
      <c r="J53" s="154" t="s">
        <v>87</v>
      </c>
      <c r="K53" s="154">
        <v>2.8E-3</v>
      </c>
      <c r="L53" s="154">
        <v>3.5999999999999999E-3</v>
      </c>
      <c r="M53" s="154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55">
        <f ca="1"/>
        <v>6.5101642887865907E-4</v>
      </c>
      <c r="P53" s="155">
        <f ca="1"/>
        <v>1.4191382420905008E-3</v>
      </c>
      <c r="Q53" s="155">
        <f ca="1"/>
        <v>3.8132932491704574E-3</v>
      </c>
      <c r="R53" s="155">
        <f ca="1"/>
        <v>8.8135036694654278E-3</v>
      </c>
      <c r="S53" s="155">
        <f ca="1"/>
        <v>0</v>
      </c>
      <c r="T53" s="155">
        <f ca="1"/>
        <v>2.4103839605795097E-2</v>
      </c>
      <c r="U53" s="155">
        <f ca="1"/>
        <v>4.317594003578451E-2</v>
      </c>
      <c r="V53" s="138">
        <f ca="1"/>
        <v>7.6513166444486802E-2</v>
      </c>
      <c r="W53" s="137">
        <f ca="1"/>
        <v>0</v>
      </c>
      <c r="X53" s="155">
        <f ca="1"/>
        <v>7.4398343160742009E-4</v>
      </c>
      <c r="Y53" s="155">
        <f ca="1"/>
        <v>1.58555451730924E-3</v>
      </c>
      <c r="Z53" s="155">
        <f ca="1"/>
        <v>4.1453001472127049E-3</v>
      </c>
      <c r="AA53" s="155">
        <f ca="1"/>
        <v>9.3089730399743553E-3</v>
      </c>
      <c r="AB53" s="155">
        <f ca="1"/>
        <v>0</v>
      </c>
      <c r="AC53" s="155">
        <f ca="1"/>
        <v>2.4937467263842938E-2</v>
      </c>
      <c r="AD53" s="155">
        <f ca="1"/>
        <v>4.4318775404007416E-2</v>
      </c>
      <c r="AE53" s="138">
        <f ca="1"/>
        <v>7.8084652831202694E-2</v>
      </c>
      <c r="AG53" s="454"/>
      <c r="AH53" s="456"/>
      <c r="AI53" s="455"/>
      <c r="AJ53" s="457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4">
        <v>4.0000000000000002E-4</v>
      </c>
      <c r="G54" s="154">
        <v>5.9999999999999995E-4</v>
      </c>
      <c r="H54" s="154">
        <v>1E-3</v>
      </c>
      <c r="I54" s="154">
        <v>1.4E-3</v>
      </c>
      <c r="J54" s="154" t="s">
        <v>87</v>
      </c>
      <c r="K54" s="154">
        <v>2.0999999999999999E-3</v>
      </c>
      <c r="L54" s="154">
        <v>2.3999999999999998E-3</v>
      </c>
      <c r="M54" s="154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55">
        <f ca="1"/>
        <v>3.7206130320088793E-4</v>
      </c>
      <c r="P54" s="155">
        <f ca="1"/>
        <v>1.0666538687098548E-3</v>
      </c>
      <c r="Q54" s="155">
        <f ca="1"/>
        <v>3.4764196735270758E-3</v>
      </c>
      <c r="R54" s="155">
        <f ca="1"/>
        <v>7.2585303892733766E-3</v>
      </c>
      <c r="S54" s="155">
        <f ca="1"/>
        <v>0</v>
      </c>
      <c r="T54" s="155">
        <f ca="1"/>
        <v>1.8072667408137733E-2</v>
      </c>
      <c r="U54" s="155">
        <f ca="1"/>
        <v>2.8728263336828874E-2</v>
      </c>
      <c r="V54" s="138">
        <f ca="1"/>
        <v>4.9480301824809225E-2</v>
      </c>
      <c r="W54" s="137">
        <f ca="1"/>
        <v>0</v>
      </c>
      <c r="X54" s="155">
        <f ca="1"/>
        <v>4.6505473678803977E-4</v>
      </c>
      <c r="Y54" s="155">
        <f ca="1"/>
        <v>1.2331288864307899E-3</v>
      </c>
      <c r="Z54" s="155">
        <f ca="1"/>
        <v>3.8085388440484147E-3</v>
      </c>
      <c r="AA54" s="155">
        <f ca="1"/>
        <v>7.7547770520581816E-3</v>
      </c>
      <c r="AB54" s="155">
        <f ca="1"/>
        <v>0</v>
      </c>
      <c r="AC54" s="155">
        <f ca="1"/>
        <v>1.8910870813131475E-2</v>
      </c>
      <c r="AD54" s="155">
        <f ca="1"/>
        <v>2.988570295854176E-2</v>
      </c>
      <c r="AE54" s="138">
        <f ca="1"/>
        <v>5.1095589331155433E-2</v>
      </c>
      <c r="AG54" s="454"/>
      <c r="AH54" s="456"/>
      <c r="AI54" s="455"/>
      <c r="AJ54" s="457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4">
        <v>5.9999999999999995E-4</v>
      </c>
      <c r="G55" s="154">
        <v>1.1000000000000001E-3</v>
      </c>
      <c r="H55" s="154">
        <v>1.8E-3</v>
      </c>
      <c r="I55" s="154">
        <v>2.5000000000000001E-3</v>
      </c>
      <c r="J55" s="154" t="s">
        <v>87</v>
      </c>
      <c r="K55" s="154">
        <v>3.3999999999999998E-3</v>
      </c>
      <c r="L55" s="154">
        <v>4.1999999999999997E-3</v>
      </c>
      <c r="M55" s="154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55">
        <f ca="1"/>
        <v>5.5804003710946404E-4</v>
      </c>
      <c r="P55" s="155">
        <f ca="1"/>
        <v>1.9571370491022755E-3</v>
      </c>
      <c r="Q55" s="155">
        <f ca="1"/>
        <v>6.2522366766535331E-3</v>
      </c>
      <c r="R55" s="155">
        <f ca="1"/>
        <v>1.2934242453155664E-2</v>
      </c>
      <c r="S55" s="155">
        <f ca="1"/>
        <v>0</v>
      </c>
      <c r="T55" s="155">
        <f ca="1"/>
        <v>2.9063179819960427E-2</v>
      </c>
      <c r="U55" s="155">
        <f ca="1"/>
        <v>4.9984208288619714E-2</v>
      </c>
      <c r="V55" s="138">
        <f ca="1"/>
        <v>8.4148832287746611E-2</v>
      </c>
      <c r="W55" s="137">
        <f ca="1"/>
        <v>0</v>
      </c>
      <c r="X55" s="155">
        <f ca="1"/>
        <v>6.5101587709581743E-4</v>
      </c>
      <c r="Y55" s="155">
        <f ca="1"/>
        <v>2.1234636653296723E-3</v>
      </c>
      <c r="Z55" s="155">
        <f ca="1"/>
        <v>6.5834307290280059E-3</v>
      </c>
      <c r="AA55" s="155">
        <f ca="1"/>
        <v>1.3427651969268761E-2</v>
      </c>
      <c r="AB55" s="155">
        <f ca="1"/>
        <v>0</v>
      </c>
      <c r="AC55" s="155">
        <f ca="1"/>
        <v>2.9892249990499664E-2</v>
      </c>
      <c r="AD55" s="155">
        <f ca="1"/>
        <v>5.1118309197291212E-2</v>
      </c>
      <c r="AE55" s="138">
        <f ca="1"/>
        <v>8.5705254774209205E-2</v>
      </c>
      <c r="AG55" s="454"/>
      <c r="AH55" s="456"/>
      <c r="AI55" s="455"/>
      <c r="AJ55" s="457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4">
        <v>5.9999999999999995E-4</v>
      </c>
      <c r="G56" s="154">
        <v>1.4E-3</v>
      </c>
      <c r="H56" s="154">
        <v>2.0999999999999999E-3</v>
      </c>
      <c r="I56" s="154">
        <v>2.7000000000000001E-3</v>
      </c>
      <c r="J56" s="154" t="s">
        <v>87</v>
      </c>
      <c r="K56" s="154">
        <v>3.5999999999999999E-3</v>
      </c>
      <c r="L56" s="154">
        <v>4.4000000000000003E-3</v>
      </c>
      <c r="M56" s="154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55">
        <f ca="1"/>
        <v>5.5804003710946404E-4</v>
      </c>
      <c r="P56" s="155">
        <f ca="1"/>
        <v>2.4932851658465705E-3</v>
      </c>
      <c r="Q56" s="155">
        <f ca="1"/>
        <v>7.2881717414325919E-3</v>
      </c>
      <c r="R56" s="155">
        <f ca="1"/>
        <v>1.3938766886166576E-2</v>
      </c>
      <c r="S56" s="155">
        <f ca="1"/>
        <v>0</v>
      </c>
      <c r="T56" s="155">
        <f ca="1"/>
        <v>3.0708819599987947E-2</v>
      </c>
      <c r="U56" s="155">
        <f ca="1"/>
        <v>5.2241007102925008E-2</v>
      </c>
      <c r="V56" s="138">
        <f ca="1"/>
        <v>8.7265595666937479E-2</v>
      </c>
      <c r="W56" s="137">
        <f ca="1"/>
        <v>0</v>
      </c>
      <c r="X56" s="155">
        <f ca="1"/>
        <v>6.5101587709581743E-4</v>
      </c>
      <c r="Y56" s="155">
        <f ca="1"/>
        <v>2.6595224314979182E-3</v>
      </c>
      <c r="Z56" s="155">
        <f ca="1"/>
        <v>7.6190205396495791E-3</v>
      </c>
      <c r="AA56" s="155">
        <f ca="1"/>
        <v>1.4431674265619421E-2</v>
      </c>
      <c r="AB56" s="155">
        <f ca="1"/>
        <v>0</v>
      </c>
      <c r="AC56" s="155">
        <f ca="1"/>
        <v>3.1536312337722694E-2</v>
      </c>
      <c r="AD56" s="155">
        <f ca="1"/>
        <v>5.3372198968739015E-2</v>
      </c>
      <c r="AE56" s="138">
        <f ca="1"/>
        <v>8.8815999188170625E-2</v>
      </c>
      <c r="AG56" s="454"/>
      <c r="AH56" s="456"/>
      <c r="AI56" s="455"/>
      <c r="AJ56" s="457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4">
        <v>5.0000000000000001E-4</v>
      </c>
      <c r="G57" s="154">
        <v>8.0000000000000004E-4</v>
      </c>
      <c r="H57" s="154">
        <v>1.4E-3</v>
      </c>
      <c r="I57" s="154">
        <v>2.2000000000000001E-3</v>
      </c>
      <c r="J57" s="154" t="s">
        <v>87</v>
      </c>
      <c r="K57" s="154">
        <v>3.5000000000000001E-3</v>
      </c>
      <c r="L57" s="154">
        <v>4.3E-3</v>
      </c>
      <c r="M57" s="154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55">
        <f ca="1"/>
        <v>4.6505499562699004E-4</v>
      </c>
      <c r="P57" s="155">
        <f ca="1"/>
        <v>1.4225689316275103E-3</v>
      </c>
      <c r="Q57" s="155">
        <f ca="1"/>
        <v>4.8671377626320345E-3</v>
      </c>
      <c r="R57" s="155">
        <f ca="1"/>
        <v>1.1415222636134148E-2</v>
      </c>
      <c r="S57" s="155">
        <f ca="1"/>
        <v>0</v>
      </c>
      <c r="T57" s="155">
        <f ca="1"/>
        <v>3.0063243638223325E-2</v>
      </c>
      <c r="U57" s="155">
        <f ca="1"/>
        <v>5.1295096087037084E-2</v>
      </c>
      <c r="V57" s="138">
        <f ca="1"/>
        <v>8.9435208067476846E-2</v>
      </c>
      <c r="W57" s="137">
        <f ca="1"/>
        <v>0</v>
      </c>
      <c r="X57" s="155">
        <f ca="1"/>
        <v>5.5803964578249321E-4</v>
      </c>
      <c r="Y57" s="155">
        <f ca="1"/>
        <v>1.5889846351196946E-3</v>
      </c>
      <c r="Z57" s="155">
        <f ca="1"/>
        <v>5.1987934377110134E-3</v>
      </c>
      <c r="AA57" s="155">
        <f ca="1"/>
        <v>1.1909391472329278E-2</v>
      </c>
      <c r="AB57" s="155">
        <f ca="1"/>
        <v>0</v>
      </c>
      <c r="AC57" s="155">
        <f ca="1"/>
        <v>3.089201224086191E-2</v>
      </c>
      <c r="AD57" s="155">
        <f ca="1"/>
        <v>5.2428546214855598E-2</v>
      </c>
      <c r="AE57" s="138">
        <f ca="1"/>
        <v>9.0983014173497745E-2</v>
      </c>
      <c r="AG57" s="454"/>
      <c r="AH57" s="456"/>
      <c r="AI57" s="455"/>
      <c r="AJ57" s="457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4">
        <v>1.1999999999999999E-3</v>
      </c>
      <c r="G58" s="154">
        <v>1.6999999999999999E-3</v>
      </c>
      <c r="H58" s="154">
        <v>2.8E-3</v>
      </c>
      <c r="I58" s="154">
        <v>3.5000000000000001E-3</v>
      </c>
      <c r="J58" s="154" t="s">
        <v>87</v>
      </c>
      <c r="K58" s="154">
        <v>4.4999999999999997E-3</v>
      </c>
      <c r="L58" s="154">
        <v>5.1999999999999998E-3</v>
      </c>
      <c r="M58" s="154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55">
        <f ca="1"/>
        <v>1.1157686840057579E-3</v>
      </c>
      <c r="P58" s="155">
        <f ca="1"/>
        <v>3.0185630785608542E-3</v>
      </c>
      <c r="Q58" s="155">
        <f ca="1"/>
        <v>9.7084371942723902E-3</v>
      </c>
      <c r="R58" s="155">
        <f ca="1"/>
        <v>1.8028805953119842E-2</v>
      </c>
      <c r="S58" s="155">
        <f ca="1"/>
        <v>0</v>
      </c>
      <c r="T58" s="155">
        <f ca="1"/>
        <v>3.8213687382888772E-2</v>
      </c>
      <c r="U58" s="155">
        <f ca="1"/>
        <v>6.1244881423135888E-2</v>
      </c>
      <c r="V58" s="138">
        <f ca="1"/>
        <v>0.10316454991267021</v>
      </c>
      <c r="W58" s="137">
        <f ca="1"/>
        <v>0</v>
      </c>
      <c r="X58" s="155">
        <f ca="1"/>
        <v>1.2086910806557993E-3</v>
      </c>
      <c r="Y58" s="155">
        <f ca="1"/>
        <v>3.1847128051830653E-3</v>
      </c>
      <c r="Z58" s="155">
        <f ca="1"/>
        <v>1.0038479371780262E-2</v>
      </c>
      <c r="AA58" s="155">
        <f ca="1"/>
        <v>1.8519668824197533E-2</v>
      </c>
      <c r="AB58" s="155">
        <f ca="1"/>
        <v>0</v>
      </c>
      <c r="AC58" s="155">
        <f ca="1"/>
        <v>3.9034546702639616E-2</v>
      </c>
      <c r="AD58" s="155">
        <f ca="1"/>
        <v>6.2364811876679638E-2</v>
      </c>
      <c r="AE58" s="138">
        <f ca="1"/>
        <v>0.1046842671531214</v>
      </c>
      <c r="AG58" s="454"/>
      <c r="AH58" s="456"/>
      <c r="AI58" s="455"/>
      <c r="AJ58" s="457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4">
        <v>8.0000000000000004E-4</v>
      </c>
      <c r="G59" s="154">
        <v>1.2999999999999999E-3</v>
      </c>
      <c r="H59" s="154">
        <v>2.3E-3</v>
      </c>
      <c r="I59" s="154">
        <v>2.8999999999999998E-3</v>
      </c>
      <c r="J59" s="154" t="s">
        <v>87</v>
      </c>
      <c r="K59" s="154">
        <v>3.8E-3</v>
      </c>
      <c r="L59" s="154">
        <v>4.4999999999999997E-3</v>
      </c>
      <c r="M59" s="154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55">
        <f ca="1"/>
        <v>7.4398417212018231E-4</v>
      </c>
      <c r="P59" s="155">
        <f ca="1"/>
        <v>2.3110712814332635E-3</v>
      </c>
      <c r="Q59" s="155">
        <f ca="1"/>
        <v>7.9877239136870726E-3</v>
      </c>
      <c r="R59" s="155">
        <f ca="1"/>
        <v>1.4966819874661752E-2</v>
      </c>
      <c r="S59" s="155">
        <f ca="1"/>
        <v>0</v>
      </c>
      <c r="T59" s="155">
        <f ca="1"/>
        <v>3.2377125595817513E-2</v>
      </c>
      <c r="U59" s="155">
        <f ca="1"/>
        <v>5.3289769027195955E-2</v>
      </c>
      <c r="V59" s="138">
        <f ca="1"/>
        <v>9.2272784581570177E-2</v>
      </c>
      <c r="W59" s="137">
        <f ca="1"/>
        <v>0</v>
      </c>
      <c r="X59" s="155">
        <f ca="1"/>
        <v>8.3694231015207787E-4</v>
      </c>
      <c r="Y59" s="155">
        <f ca="1"/>
        <v>2.4773389135346324E-3</v>
      </c>
      <c r="Z59" s="155">
        <f ca="1"/>
        <v>8.3183395667201232E-3</v>
      </c>
      <c r="AA59" s="155">
        <f ca="1"/>
        <v>1.545921335610867E-2</v>
      </c>
      <c r="AB59" s="155">
        <f ca="1"/>
        <v>0</v>
      </c>
      <c r="AC59" s="155">
        <f ca="1"/>
        <v>3.3203157133801287E-2</v>
      </c>
      <c r="AD59" s="155">
        <f ca="1"/>
        <v>5.4419377822198745E-2</v>
      </c>
      <c r="AE59" s="138">
        <f ca="1"/>
        <v>9.3813501372048136E-2</v>
      </c>
      <c r="AG59" s="454"/>
      <c r="AH59" s="456"/>
      <c r="AI59" s="455"/>
      <c r="AJ59" s="457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4">
        <v>5.9999999999999995E-4</v>
      </c>
      <c r="G60" s="154">
        <v>8.9999999999999998E-4</v>
      </c>
      <c r="H60" s="154">
        <v>1.2999999999999999E-3</v>
      </c>
      <c r="I60" s="154">
        <v>1.6999999999999999E-3</v>
      </c>
      <c r="J60" s="154" t="s">
        <v>87</v>
      </c>
      <c r="K60" s="154">
        <v>2.2000000000000001E-3</v>
      </c>
      <c r="L60" s="154">
        <v>2.5999999999999999E-3</v>
      </c>
      <c r="M60" s="154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55">
        <f ca="1"/>
        <v>5.5804003710946404E-4</v>
      </c>
      <c r="P60" s="155">
        <f ca="1"/>
        <v>1.599629745781761E-3</v>
      </c>
      <c r="Q60" s="155">
        <f ca="1"/>
        <v>4.5111715644788886E-3</v>
      </c>
      <c r="R60" s="155">
        <f ca="1"/>
        <v>8.7911396824953414E-3</v>
      </c>
      <c r="S60" s="155">
        <f ca="1"/>
        <v>0</v>
      </c>
      <c r="T60" s="155">
        <f ca="1"/>
        <v>1.8835477269971701E-2</v>
      </c>
      <c r="U60" s="155">
        <f ca="1"/>
        <v>3.1053574739211665E-2</v>
      </c>
      <c r="V60" s="138">
        <f ca="1"/>
        <v>5.4527950750105858E-2</v>
      </c>
      <c r="W60" s="137">
        <f ca="1"/>
        <v>0</v>
      </c>
      <c r="X60" s="155">
        <f ca="1"/>
        <v>6.5101587709581743E-4</v>
      </c>
      <c r="Y60" s="155">
        <f ca="1"/>
        <v>1.7660159415965326E-3</v>
      </c>
      <c r="Z60" s="155">
        <f ca="1"/>
        <v>4.8429458751788612E-3</v>
      </c>
      <c r="AA60" s="155">
        <f ca="1"/>
        <v>9.2866202322066105E-3</v>
      </c>
      <c r="AB60" s="155">
        <f ca="1"/>
        <v>0</v>
      </c>
      <c r="AC60" s="155">
        <f ca="1"/>
        <v>1.9672647365129969E-2</v>
      </c>
      <c r="AD60" s="155">
        <f ca="1"/>
        <v>3.22081738192459E-2</v>
      </c>
      <c r="AE60" s="138">
        <f ca="1"/>
        <v>5.6134880745422389E-2</v>
      </c>
      <c r="AG60" s="454"/>
      <c r="AH60" s="456"/>
      <c r="AI60" s="455"/>
      <c r="AJ60" s="457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4">
        <v>8.0000000000000004E-4</v>
      </c>
      <c r="G61" s="154">
        <v>1.1000000000000001E-3</v>
      </c>
      <c r="H61" s="154">
        <v>1.6000000000000001E-3</v>
      </c>
      <c r="I61" s="154">
        <v>1.8E-3</v>
      </c>
      <c r="J61" s="154" t="s">
        <v>87</v>
      </c>
      <c r="K61" s="154">
        <v>2.3999999999999998E-3</v>
      </c>
      <c r="L61" s="154">
        <v>2.8E-3</v>
      </c>
      <c r="M61" s="154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55">
        <f ca="1"/>
        <v>7.4398417212018231E-4</v>
      </c>
      <c r="P61" s="155">
        <f ca="1"/>
        <v>1.9536571421092663E-3</v>
      </c>
      <c r="Q61" s="155">
        <f ca="1"/>
        <v>5.5491142120741577E-3</v>
      </c>
      <c r="R61" s="155">
        <f ca="1"/>
        <v>9.274838077956149E-3</v>
      </c>
      <c r="S61" s="155">
        <f ca="1"/>
        <v>0</v>
      </c>
      <c r="T61" s="155">
        <f ca="1"/>
        <v>2.0519462775260289E-2</v>
      </c>
      <c r="U61" s="155">
        <f ca="1"/>
        <v>3.3372407772563895E-2</v>
      </c>
      <c r="V61" s="138">
        <f ca="1"/>
        <v>5.9555376391164816E-2</v>
      </c>
      <c r="W61" s="137">
        <f ca="1"/>
        <v>0</v>
      </c>
      <c r="X61" s="155">
        <f ca="1"/>
        <v>8.3694231015207787E-4</v>
      </c>
      <c r="Y61" s="155">
        <f ca="1"/>
        <v>2.1199843382578853E-3</v>
      </c>
      <c r="Z61" s="155">
        <f ca="1"/>
        <v>5.8805425995489546E-3</v>
      </c>
      <c r="AA61" s="155">
        <f ca="1"/>
        <v>9.7700768388948589E-3</v>
      </c>
      <c r="AB61" s="155">
        <f ca="1"/>
        <v>0</v>
      </c>
      <c r="AC61" s="155">
        <f ca="1"/>
        <v>2.1355164630165846E-2</v>
      </c>
      <c r="AD61" s="155">
        <f ca="1"/>
        <v>3.4524252547632472E-2</v>
      </c>
      <c r="AE61" s="138">
        <f ca="1"/>
        <v>6.1153798869203246E-2</v>
      </c>
      <c r="AG61" s="454"/>
      <c r="AH61" s="456"/>
      <c r="AI61" s="455"/>
      <c r="AJ61" s="457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4">
        <v>5.0000000000000001E-4</v>
      </c>
      <c r="G62" s="154">
        <v>5.9999999999999995E-4</v>
      </c>
      <c r="H62" s="154">
        <v>1.1999999999999999E-3</v>
      </c>
      <c r="I62" s="154">
        <v>1.6999999999999999E-3</v>
      </c>
      <c r="J62" s="154" t="s">
        <v>87</v>
      </c>
      <c r="K62" s="154">
        <v>2.7000000000000001E-3</v>
      </c>
      <c r="L62" s="154">
        <v>3.3E-3</v>
      </c>
      <c r="M62" s="154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55">
        <f ca="1"/>
        <v>4.6505499562699004E-4</v>
      </c>
      <c r="P62" s="155">
        <f ca="1"/>
        <v>1.0649548260907027E-3</v>
      </c>
      <c r="Q62" s="155">
        <f ca="1"/>
        <v>4.1752021605023781E-3</v>
      </c>
      <c r="R62" s="155">
        <f ca="1"/>
        <v>8.815561129432159E-3</v>
      </c>
      <c r="S62" s="155">
        <f ca="1"/>
        <v>0</v>
      </c>
      <c r="T62" s="155">
        <f ca="1"/>
        <v>2.3232385113119314E-2</v>
      </c>
      <c r="U62" s="155">
        <f ca="1"/>
        <v>3.951449889380243E-2</v>
      </c>
      <c r="V62" s="138">
        <f ca="1"/>
        <v>6.7949728488603589E-2</v>
      </c>
      <c r="W62" s="137">
        <f ca="1"/>
        <v>0</v>
      </c>
      <c r="X62" s="155">
        <f ca="1"/>
        <v>5.5803964578249321E-4</v>
      </c>
      <c r="Y62" s="155">
        <f ca="1"/>
        <v>1.2314301269625849E-3</v>
      </c>
      <c r="Z62" s="155">
        <f ca="1"/>
        <v>4.5070884423187296E-3</v>
      </c>
      <c r="AA62" s="155">
        <f ca="1"/>
        <v>9.3110294714442432E-3</v>
      </c>
      <c r="AB62" s="155">
        <f ca="1"/>
        <v>0</v>
      </c>
      <c r="AC62" s="155">
        <f ca="1"/>
        <v>2.406664668723224E-2</v>
      </c>
      <c r="AD62" s="155">
        <f ca="1"/>
        <v>4.0660879394816773E-2</v>
      </c>
      <c r="AE62" s="138">
        <f ca="1"/>
        <v>6.9535030367993467E-2</v>
      </c>
      <c r="AG62" s="454"/>
      <c r="AH62" s="456"/>
      <c r="AI62" s="455"/>
      <c r="AJ62" s="457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4">
        <v>1E-3</v>
      </c>
      <c r="G63" s="154">
        <v>1.1999999999999999E-3</v>
      </c>
      <c r="H63" s="154">
        <v>1.5E-3</v>
      </c>
      <c r="I63" s="154">
        <v>2.2000000000000001E-3</v>
      </c>
      <c r="J63" s="154" t="s">
        <v>87</v>
      </c>
      <c r="K63" s="154">
        <v>3.0000000000000001E-3</v>
      </c>
      <c r="L63" s="154">
        <v>3.5999999999999999E-3</v>
      </c>
      <c r="M63" s="154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55">
        <f ca="1"/>
        <v>9.2989371787344233E-4</v>
      </c>
      <c r="P63" s="155">
        <f ca="1"/>
        <v>2.1288758743175373E-3</v>
      </c>
      <c r="Q63" s="155">
        <f ca="1"/>
        <v>5.1915298922916575E-3</v>
      </c>
      <c r="R63" s="155">
        <f ca="1"/>
        <v>1.1378528910880648E-2</v>
      </c>
      <c r="S63" s="155">
        <f ca="1"/>
        <v>0</v>
      </c>
      <c r="T63" s="155">
        <f ca="1"/>
        <v>2.5669081007835715E-2</v>
      </c>
      <c r="U63" s="155">
        <f ca="1"/>
        <v>4.2885387535619546E-2</v>
      </c>
      <c r="V63" s="138">
        <f ca="1"/>
        <v>7.7995899109613021E-2</v>
      </c>
      <c r="W63" s="137">
        <f ca="1"/>
        <v>0</v>
      </c>
      <c r="X63" s="155">
        <f ca="1"/>
        <v>1.0228340424542903E-3</v>
      </c>
      <c r="Y63" s="155">
        <f ca="1"/>
        <v>2.2951738697816193E-3</v>
      </c>
      <c r="Z63" s="155">
        <f ca="1"/>
        <v>5.5230774546622952E-3</v>
      </c>
      <c r="AA63" s="155">
        <f ca="1"/>
        <v>1.187271608933671E-2</v>
      </c>
      <c r="AB63" s="155">
        <f ca="1"/>
        <v>0</v>
      </c>
      <c r="AC63" s="155">
        <f ca="1"/>
        <v>2.650091742793248E-2</v>
      </c>
      <c r="AD63" s="155">
        <f ca="1"/>
        <v>4.4027221065307987E-2</v>
      </c>
      <c r="AE63" s="138">
        <f ca="1"/>
        <v>7.9563157564969234E-2</v>
      </c>
      <c r="AG63" s="454"/>
      <c r="AH63" s="456"/>
      <c r="AI63" s="455"/>
      <c r="AJ63" s="457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4">
        <v>2.9999999999999997E-4</v>
      </c>
      <c r="G64" s="154">
        <v>5.0000000000000001E-4</v>
      </c>
      <c r="H64" s="154">
        <v>1E-3</v>
      </c>
      <c r="I64" s="154">
        <v>1.5E-3</v>
      </c>
      <c r="J64" s="154" t="s">
        <v>87</v>
      </c>
      <c r="K64" s="154">
        <v>2.3E-3</v>
      </c>
      <c r="L64" s="154">
        <v>2.8999999999999998E-3</v>
      </c>
      <c r="M64" s="154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55">
        <f ca="1"/>
        <v>2.7905895862256891E-4</v>
      </c>
      <c r="P64" s="155">
        <f ca="1"/>
        <v>8.8950690353517547E-4</v>
      </c>
      <c r="Q64" s="155">
        <f ca="1"/>
        <v>3.4822317726515006E-3</v>
      </c>
      <c r="R64" s="155">
        <f ca="1"/>
        <v>7.7908179231177543E-3</v>
      </c>
      <c r="S64" s="155">
        <f ca="1"/>
        <v>0</v>
      </c>
      <c r="T64" s="155">
        <f ca="1"/>
        <v>1.9808018129779947E-2</v>
      </c>
      <c r="U64" s="155">
        <f ca="1"/>
        <v>3.4831779959422549E-2</v>
      </c>
      <c r="V64" s="138">
        <f ca="1"/>
        <v>5.7878299220106344E-2</v>
      </c>
      <c r="W64" s="137">
        <f ca="1"/>
        <v>0</v>
      </c>
      <c r="X64" s="155">
        <f ca="1"/>
        <v>3.7206114936716439E-4</v>
      </c>
      <c r="Y64" s="155">
        <f ca="1"/>
        <v>1.0560114432898171E-3</v>
      </c>
      <c r="Z64" s="155">
        <f ca="1"/>
        <v>3.8143490061200991E-3</v>
      </c>
      <c r="AA64" s="155">
        <f ca="1"/>
        <v>8.2867985086747531E-3</v>
      </c>
      <c r="AB64" s="155">
        <f ca="1"/>
        <v>0</v>
      </c>
      <c r="AC64" s="155">
        <f ca="1"/>
        <v>2.0644989649864054E-2</v>
      </c>
      <c r="AD64" s="155">
        <f ca="1"/>
        <v>3.5983437889757219E-2</v>
      </c>
      <c r="AE64" s="138">
        <f ca="1"/>
        <v>5.9480454615014944E-2</v>
      </c>
      <c r="AG64" s="454"/>
      <c r="AH64" s="456"/>
      <c r="AI64" s="455"/>
      <c r="AJ64" s="457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4">
        <v>2.9999999999999997E-4</v>
      </c>
      <c r="G65" s="154">
        <v>5.0000000000000001E-4</v>
      </c>
      <c r="H65" s="154">
        <v>1E-3</v>
      </c>
      <c r="I65" s="154">
        <v>1.2999999999999999E-3</v>
      </c>
      <c r="J65" s="154" t="s">
        <v>87</v>
      </c>
      <c r="K65" s="154">
        <v>2E-3</v>
      </c>
      <c r="L65" s="154">
        <v>2.3999999999999998E-3</v>
      </c>
      <c r="M65" s="154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55">
        <f ca="1"/>
        <v>2.7905895862256891E-4</v>
      </c>
      <c r="P65" s="155">
        <f ca="1"/>
        <v>8.8950690353517547E-4</v>
      </c>
      <c r="Q65" s="155">
        <f ca="1"/>
        <v>3.4822317726515006E-3</v>
      </c>
      <c r="R65" s="155">
        <f ca="1"/>
        <v>6.7379983683008016E-3</v>
      </c>
      <c r="S65" s="155">
        <f ca="1"/>
        <v>0</v>
      </c>
      <c r="T65" s="155">
        <f ca="1"/>
        <v>1.7224358250290339E-2</v>
      </c>
      <c r="U65" s="155">
        <f ca="1"/>
        <v>2.8806048040093457E-2</v>
      </c>
      <c r="V65" s="138">
        <f ca="1"/>
        <v>4.955926102656627E-2</v>
      </c>
      <c r="W65" s="137">
        <f ca="1"/>
        <v>0</v>
      </c>
      <c r="X65" s="155">
        <f ca="1"/>
        <v>3.7206114936716439E-4</v>
      </c>
      <c r="Y65" s="155">
        <f ca="1"/>
        <v>1.0560114432898171E-3</v>
      </c>
      <c r="Z65" s="155">
        <f ca="1"/>
        <v>3.8143490061200991E-3</v>
      </c>
      <c r="AA65" s="155">
        <f ca="1"/>
        <v>7.2345052320539338E-3</v>
      </c>
      <c r="AB65" s="155">
        <f ca="1"/>
        <v>0</v>
      </c>
      <c r="AC65" s="155">
        <f ca="1"/>
        <v>1.8063249237742385E-2</v>
      </c>
      <c r="AD65" s="155">
        <f ca="1"/>
        <v>2.9963785370904272E-2</v>
      </c>
      <c r="AE65" s="138">
        <f ca="1"/>
        <v>5.1174906481258664E-2</v>
      </c>
      <c r="AG65" s="454"/>
      <c r="AH65" s="456"/>
      <c r="AI65" s="455"/>
      <c r="AJ65" s="457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4">
        <v>2.0000000000000001E-4</v>
      </c>
      <c r="G66" s="154">
        <v>5.0000000000000001E-4</v>
      </c>
      <c r="H66" s="154">
        <v>1.1000000000000001E-3</v>
      </c>
      <c r="I66" s="154">
        <v>1.4E-3</v>
      </c>
      <c r="J66" s="154" t="s">
        <v>87</v>
      </c>
      <c r="K66" s="154">
        <v>2.0999999999999999E-3</v>
      </c>
      <c r="L66" s="154">
        <v>2.5000000000000001E-3</v>
      </c>
      <c r="M66" s="154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55">
        <f ca="1"/>
        <v>1.8604796070598173E-4</v>
      </c>
      <c r="P66" s="155">
        <f ca="1"/>
        <v>8.9119795580616668E-4</v>
      </c>
      <c r="Q66" s="155">
        <f ca="1"/>
        <v>3.8342943741810354E-3</v>
      </c>
      <c r="R66" s="155">
        <f ca="1"/>
        <v>7.2564225835584084E-3</v>
      </c>
      <c r="S66" s="155">
        <f ca="1"/>
        <v>0</v>
      </c>
      <c r="T66" s="155">
        <f ca="1"/>
        <v>1.8070432431531724E-2</v>
      </c>
      <c r="U66" s="155">
        <f ca="1"/>
        <v>2.9971189687697186E-2</v>
      </c>
      <c r="V66" s="138">
        <f ca="1"/>
        <v>5.1185289589501082E-2</v>
      </c>
      <c r="W66" s="137">
        <f ca="1"/>
        <v>0</v>
      </c>
      <c r="X66" s="155">
        <f ca="1"/>
        <v>2.7905888266266388E-4</v>
      </c>
      <c r="Y66" s="155">
        <f ca="1"/>
        <v>1.057702213748013E-3</v>
      </c>
      <c r="Z66" s="155">
        <f ca="1"/>
        <v>4.1662942729939756E-3</v>
      </c>
      <c r="AA66" s="155">
        <f ca="1"/>
        <v>7.7526702999910491E-3</v>
      </c>
      <c r="AB66" s="155">
        <f ca="1"/>
        <v>0</v>
      </c>
      <c r="AC66" s="155">
        <f ca="1"/>
        <v>1.8908617802006922E-2</v>
      </c>
      <c r="AD66" s="155">
        <f ca="1"/>
        <v>3.112755064830075E-2</v>
      </c>
      <c r="AE66" s="138">
        <f ca="1"/>
        <v>5.2798047629455613E-2</v>
      </c>
      <c r="AG66" s="454"/>
      <c r="AH66" s="456"/>
      <c r="AI66" s="455"/>
      <c r="AJ66" s="457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4">
        <v>8.5999999999999998E-4</v>
      </c>
      <c r="G67" s="154">
        <v>1.2999999999999999E-3</v>
      </c>
      <c r="H67" s="154">
        <v>1.98E-3</v>
      </c>
      <c r="I67" s="154">
        <v>2.4099999999999998E-3</v>
      </c>
      <c r="J67" s="154" t="s">
        <v>87</v>
      </c>
      <c r="K67" s="154">
        <v>3.0999999999999999E-3</v>
      </c>
      <c r="L67" s="154">
        <v>3.5400000000000002E-3</v>
      </c>
      <c r="M67" s="154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55">
        <f ca="1"/>
        <v>7.997606672633939E-4</v>
      </c>
      <c r="P67" s="155">
        <f ca="1"/>
        <v>2.3100175207853013E-3</v>
      </c>
      <c r="Q67" s="155">
        <f ca="1"/>
        <v>6.8683499054013053E-3</v>
      </c>
      <c r="R67" s="155">
        <f ca="1"/>
        <v>1.2429688225340407E-2</v>
      </c>
      <c r="S67" s="155">
        <f ca="1"/>
        <v>0</v>
      </c>
      <c r="T67" s="155">
        <f ca="1"/>
        <v>2.6439191869574885E-2</v>
      </c>
      <c r="U67" s="155">
        <f ca="1"/>
        <v>4.1988007926212045E-2</v>
      </c>
      <c r="V67" s="138">
        <f ca="1"/>
        <v>6.7200331478799447E-2</v>
      </c>
      <c r="W67" s="137">
        <f ca="1"/>
        <v>0</v>
      </c>
      <c r="X67" s="155">
        <f ca="1"/>
        <v>8.9271347309338722E-4</v>
      </c>
      <c r="Y67" s="155">
        <f ca="1"/>
        <v>2.4762853285024145E-3</v>
      </c>
      <c r="Z67" s="155">
        <f ca="1"/>
        <v>7.1993386209029397E-3</v>
      </c>
      <c r="AA67" s="155">
        <f ca="1"/>
        <v>1.2923349955507146E-2</v>
      </c>
      <c r="AB67" s="155">
        <f ca="1"/>
        <v>0</v>
      </c>
      <c r="AC67" s="155">
        <f ca="1"/>
        <v>2.7270043440891678E-2</v>
      </c>
      <c r="AD67" s="155">
        <f ca="1"/>
        <v>4.3129949787965915E-2</v>
      </c>
      <c r="AE67" s="138">
        <f ca="1"/>
        <v>6.8784079131970821E-2</v>
      </c>
      <c r="AG67" s="454"/>
      <c r="AH67" s="456"/>
      <c r="AI67" s="455"/>
      <c r="AJ67" s="457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4">
        <v>1E-3</v>
      </c>
      <c r="G68" s="154">
        <v>1.8E-3</v>
      </c>
      <c r="H68" s="154">
        <v>2.5000000000000001E-3</v>
      </c>
      <c r="I68" s="154">
        <v>3.7000000000000002E-3</v>
      </c>
      <c r="J68" s="154" t="s">
        <v>87</v>
      </c>
      <c r="K68" s="154">
        <v>5.4999999999999997E-3</v>
      </c>
      <c r="L68" s="154">
        <v>6.8999999999999999E-3</v>
      </c>
      <c r="M68" s="154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55">
        <f ca="1"/>
        <v>9.2989371787344233E-4</v>
      </c>
      <c r="P68" s="155">
        <f ca="1"/>
        <v>3.200748691950861E-3</v>
      </c>
      <c r="Q68" s="155">
        <f ca="1"/>
        <v>8.6605838825761783E-3</v>
      </c>
      <c r="R68" s="155">
        <f ca="1"/>
        <v>1.9107505168225902E-2</v>
      </c>
      <c r="S68" s="155">
        <f ca="1"/>
        <v>0</v>
      </c>
      <c r="T68" s="155">
        <f ca="1"/>
        <v>4.6831345781831346E-2</v>
      </c>
      <c r="U68" s="155">
        <f ca="1"/>
        <v>8.1340110639619989E-2</v>
      </c>
      <c r="V68" s="138">
        <f ca="1"/>
        <v>0.13700201875896012</v>
      </c>
      <c r="W68" s="137">
        <f ca="1"/>
        <v>0</v>
      </c>
      <c r="X68" s="155">
        <f ca="1"/>
        <v>1.0228340424542903E-3</v>
      </c>
      <c r="Y68" s="155">
        <f ca="1"/>
        <v>3.3668680568307296E-3</v>
      </c>
      <c r="Z68" s="155">
        <f ca="1"/>
        <v>8.9909752863145398E-3</v>
      </c>
      <c r="AA68" s="155">
        <f ca="1"/>
        <v>1.9597828824515773E-2</v>
      </c>
      <c r="AB68" s="155">
        <f ca="1"/>
        <v>0</v>
      </c>
      <c r="AC68" s="155">
        <f ca="1"/>
        <v>4.7645048828383607E-2</v>
      </c>
      <c r="AD68" s="155">
        <f ca="1"/>
        <v>8.2437843629636909E-2</v>
      </c>
      <c r="AE68" s="138">
        <f ca="1"/>
        <v>0.13849255133030014</v>
      </c>
      <c r="AG68" s="454"/>
      <c r="AH68" s="456"/>
      <c r="AI68" s="455"/>
      <c r="AJ68" s="457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4">
        <v>1.6999999999999999E-3</v>
      </c>
      <c r="G69" s="154">
        <v>2.0999999999999999E-3</v>
      </c>
      <c r="H69" s="154">
        <v>2.8999999999999998E-3</v>
      </c>
      <c r="I69" s="154">
        <v>4.4000000000000003E-3</v>
      </c>
      <c r="J69" s="154" t="s">
        <v>87</v>
      </c>
      <c r="K69" s="154">
        <v>6.0000000000000001E-3</v>
      </c>
      <c r="L69" s="154">
        <v>7.4999999999999997E-3</v>
      </c>
      <c r="M69" s="154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55">
        <f ca="1"/>
        <v>1.5803048768830985E-3</v>
      </c>
      <c r="P69" s="155">
        <f ca="1"/>
        <v>3.7237319197320762E-3</v>
      </c>
      <c r="Q69" s="155">
        <f ca="1"/>
        <v>1.0029964697020111E-2</v>
      </c>
      <c r="R69" s="155">
        <f ca="1"/>
        <v>2.2693115167007338E-2</v>
      </c>
      <c r="S69" s="155">
        <f ca="1"/>
        <v>0</v>
      </c>
      <c r="T69" s="155">
        <f ca="1"/>
        <v>5.0871646493936162E-2</v>
      </c>
      <c r="U69" s="155">
        <f ca="1"/>
        <v>8.801691166950909E-2</v>
      </c>
      <c r="V69" s="138">
        <f ca="1"/>
        <v>0.15109362566772255</v>
      </c>
      <c r="W69" s="137">
        <f ca="1"/>
        <v>0</v>
      </c>
      <c r="X69" s="155">
        <f ca="1"/>
        <v>1.6731819323599906E-3</v>
      </c>
      <c r="Y69" s="155">
        <f ca="1"/>
        <v>3.8897641280121187E-3</v>
      </c>
      <c r="Z69" s="155">
        <f ca="1"/>
        <v>1.035989971657425E-2</v>
      </c>
      <c r="AA69" s="155">
        <f ca="1"/>
        <v>2.3181646466440387E-2</v>
      </c>
      <c r="AB69" s="155">
        <f ca="1"/>
        <v>0</v>
      </c>
      <c r="AC69" s="155">
        <f ca="1"/>
        <v>5.168148837773201E-2</v>
      </c>
      <c r="AD69" s="155">
        <f ca="1"/>
        <v>8.910561076453849E-2</v>
      </c>
      <c r="AE69" s="138">
        <f ca="1"/>
        <v>0.15256404352576114</v>
      </c>
      <c r="AG69" s="454"/>
      <c r="AH69" s="456"/>
      <c r="AI69" s="455"/>
      <c r="AJ69" s="457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4">
        <v>4.0000000000000002E-4</v>
      </c>
      <c r="G70" s="154">
        <v>8.9999999999999998E-4</v>
      </c>
      <c r="H70" s="154">
        <v>1.5E-3</v>
      </c>
      <c r="I70" s="154">
        <v>2.2000000000000001E-3</v>
      </c>
      <c r="J70" s="154" t="s">
        <v>87</v>
      </c>
      <c r="K70" s="154">
        <v>3.5000000000000001E-3</v>
      </c>
      <c r="L70" s="154">
        <v>4.4999999999999997E-3</v>
      </c>
      <c r="M70" s="154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55">
        <f ca="1"/>
        <v>3.7206130320088793E-4</v>
      </c>
      <c r="P70" s="155">
        <f ca="1"/>
        <v>1.6030771977488811E-3</v>
      </c>
      <c r="Q70" s="155">
        <f ca="1"/>
        <v>5.2147204911900946E-3</v>
      </c>
      <c r="R70" s="155">
        <f ca="1"/>
        <v>1.1402457520027554E-2</v>
      </c>
      <c r="S70" s="155">
        <f ca="1"/>
        <v>0</v>
      </c>
      <c r="T70" s="155">
        <f ca="1"/>
        <v>3.0049660730064653E-2</v>
      </c>
      <c r="U70" s="155">
        <f ca="1"/>
        <v>5.374461312493739E-2</v>
      </c>
      <c r="V70" s="138">
        <f ca="1"/>
        <v>9.4505771500583591E-2</v>
      </c>
      <c r="W70" s="137">
        <f ca="1"/>
        <v>0</v>
      </c>
      <c r="X70" s="155">
        <f ca="1"/>
        <v>4.6505473678803977E-4</v>
      </c>
      <c r="Y70" s="155">
        <f ca="1"/>
        <v>1.7694628190280115E-3</v>
      </c>
      <c r="Z70" s="155">
        <f ca="1"/>
        <v>5.5462603246330122E-3</v>
      </c>
      <c r="AA70" s="155">
        <f ca="1"/>
        <v>1.1896632737155688E-2</v>
      </c>
      <c r="AB70" s="155">
        <f ca="1"/>
        <v>0</v>
      </c>
      <c r="AC70" s="155">
        <f ca="1"/>
        <v>3.0878363009413823E-2</v>
      </c>
      <c r="AD70" s="155">
        <f ca="1"/>
        <v>5.4875539163114939E-2</v>
      </c>
      <c r="AE70" s="138">
        <f ca="1"/>
        <v>9.6044940333780526E-2</v>
      </c>
      <c r="AG70" s="454"/>
      <c r="AH70" s="456"/>
      <c r="AI70" s="455"/>
      <c r="AJ70" s="457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4">
        <v>1.15E-3</v>
      </c>
      <c r="G71" s="154">
        <v>1.4400000000000001E-3</v>
      </c>
      <c r="H71" s="154">
        <v>2.0100000000000001E-3</v>
      </c>
      <c r="I71" s="154">
        <v>2.3600000000000001E-3</v>
      </c>
      <c r="J71" s="154" t="s">
        <v>87</v>
      </c>
      <c r="K71" s="154">
        <v>3.0000000000000001E-3</v>
      </c>
      <c r="L71" s="154">
        <v>3.4299999999999999E-3</v>
      </c>
      <c r="M71" s="154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55">
        <f ca="1"/>
        <v>1.0693031837868405E-3</v>
      </c>
      <c r="P71" s="155">
        <f ca="1"/>
        <v>2.5550387442602185E-3</v>
      </c>
      <c r="Q71" s="155">
        <f ca="1"/>
        <v>6.9619400427164413E-3</v>
      </c>
      <c r="R71" s="155">
        <f ca="1"/>
        <v>1.2152795901653191E-2</v>
      </c>
      <c r="S71" s="155">
        <f ca="1"/>
        <v>0</v>
      </c>
      <c r="T71" s="155">
        <f ca="1"/>
        <v>2.5564713240238568E-2</v>
      </c>
      <c r="U71" s="155">
        <f ca="1"/>
        <v>4.0677372391684563E-2</v>
      </c>
      <c r="V71" s="138">
        <f ca="1"/>
        <v>6.5575884231948378E-2</v>
      </c>
      <c r="W71" s="137">
        <f ca="1"/>
        <v>0</v>
      </c>
      <c r="X71" s="155">
        <f ca="1"/>
        <v>1.1622300733186153E-3</v>
      </c>
      <c r="Y71" s="155">
        <f ca="1"/>
        <v>2.7212657184988442E-3</v>
      </c>
      <c r="Z71" s="155">
        <f ca="1"/>
        <v>7.2928975667052587E-3</v>
      </c>
      <c r="AA71" s="155">
        <f ca="1"/>
        <v>1.2646596043386471E-2</v>
      </c>
      <c r="AB71" s="155">
        <f ca="1"/>
        <v>0</v>
      </c>
      <c r="AC71" s="155">
        <f ca="1"/>
        <v>2.639614236278387E-2</v>
      </c>
      <c r="AD71" s="155">
        <f ca="1"/>
        <v>4.1820643483419295E-2</v>
      </c>
      <c r="AE71" s="138">
        <f ca="1"/>
        <v>6.7162364562324939E-2</v>
      </c>
      <c r="AG71" s="454"/>
      <c r="AH71" s="456"/>
      <c r="AI71" s="455"/>
      <c r="AJ71" s="457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4">
        <v>6.9999999999999999E-4</v>
      </c>
      <c r="G72" s="154">
        <v>1.1999999999999999E-3</v>
      </c>
      <c r="H72" s="154">
        <v>2.3999999999999998E-3</v>
      </c>
      <c r="I72" s="154">
        <v>3.2000000000000002E-3</v>
      </c>
      <c r="J72" s="154" t="s">
        <v>87</v>
      </c>
      <c r="K72" s="154">
        <v>4.7000000000000002E-3</v>
      </c>
      <c r="L72" s="154">
        <v>5.5999999999999999E-3</v>
      </c>
      <c r="M72" s="154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55">
        <f ca="1"/>
        <v>6.5101642887865907E-4</v>
      </c>
      <c r="P72" s="155">
        <f ca="1"/>
        <v>2.1341198646572801E-3</v>
      </c>
      <c r="Q72" s="155">
        <f ca="1"/>
        <v>8.3433008552227239E-3</v>
      </c>
      <c r="R72" s="155">
        <f ca="1"/>
        <v>1.6534374683048081E-2</v>
      </c>
      <c r="S72" s="155">
        <f ca="1"/>
        <v>0</v>
      </c>
      <c r="T72" s="155">
        <f ca="1"/>
        <v>4.0098388634655313E-2</v>
      </c>
      <c r="U72" s="155">
        <f ca="1"/>
        <v>6.6176349089297926E-2</v>
      </c>
      <c r="V72" s="138">
        <f ca="1"/>
        <v>0.11844856242850232</v>
      </c>
      <c r="W72" s="137">
        <f ca="1"/>
        <v>0</v>
      </c>
      <c r="X72" s="155">
        <f ca="1"/>
        <v>7.4398343160742009E-4</v>
      </c>
      <c r="Y72" s="155">
        <f ca="1"/>
        <v>2.3004169862056445E-3</v>
      </c>
      <c r="Z72" s="155">
        <f ca="1"/>
        <v>8.6737980023599004E-3</v>
      </c>
      <c r="AA72" s="155">
        <f ca="1"/>
        <v>1.7025984583007192E-2</v>
      </c>
      <c r="AB72" s="155">
        <f ca="1"/>
        <v>0</v>
      </c>
      <c r="AC72" s="155">
        <f ca="1"/>
        <v>4.0918149332815901E-2</v>
      </c>
      <c r="AD72" s="155">
        <f ca="1"/>
        <v>6.729189051549278E-2</v>
      </c>
      <c r="AE72" s="138">
        <f ca="1"/>
        <v>0.11996779527239287</v>
      </c>
      <c r="AG72" s="454"/>
      <c r="AH72" s="456"/>
      <c r="AI72" s="455"/>
      <c r="AJ72" s="457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4">
        <v>4.0000000000000002E-4</v>
      </c>
      <c r="G73" s="154">
        <v>5.9999999999999995E-4</v>
      </c>
      <c r="H73" s="154">
        <v>1.1000000000000001E-3</v>
      </c>
      <c r="I73" s="154">
        <v>1.4E-3</v>
      </c>
      <c r="J73" s="154" t="s">
        <v>87</v>
      </c>
      <c r="K73" s="154">
        <v>2.3999999999999998E-3</v>
      </c>
      <c r="L73" s="154">
        <v>3.2000000000000002E-3</v>
      </c>
      <c r="M73" s="154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55">
        <f ca="1"/>
        <v>3.7206130320088793E-4</v>
      </c>
      <c r="P73" s="155">
        <f ca="1"/>
        <v>1.0666538687098548E-3</v>
      </c>
      <c r="Q73" s="155">
        <f ca="1"/>
        <v>3.8267133109989304E-3</v>
      </c>
      <c r="R73" s="155">
        <f ca="1"/>
        <v>7.2487424370544229E-3</v>
      </c>
      <c r="S73" s="155">
        <f ca="1"/>
        <v>0</v>
      </c>
      <c r="T73" s="155">
        <f ca="1"/>
        <v>2.0688841020566229E-2</v>
      </c>
      <c r="U73" s="155">
        <f ca="1"/>
        <v>3.8512002157575553E-2</v>
      </c>
      <c r="V73" s="138">
        <f ca="1"/>
        <v>7.0086629841653258E-2</v>
      </c>
      <c r="W73" s="137">
        <f ca="1"/>
        <v>0</v>
      </c>
      <c r="X73" s="155">
        <f ca="1"/>
        <v>4.6505473678803977E-4</v>
      </c>
      <c r="Y73" s="155">
        <f ca="1"/>
        <v>1.2331288864307899E-3</v>
      </c>
      <c r="Z73" s="155">
        <f ca="1"/>
        <v>4.1587157364167959E-3</v>
      </c>
      <c r="AA73" s="155">
        <f ca="1"/>
        <v>7.7449939925885447E-3</v>
      </c>
      <c r="AB73" s="155">
        <f ca="1"/>
        <v>0</v>
      </c>
      <c r="AC73" s="155">
        <f ca="1"/>
        <v>2.1525175208548242E-2</v>
      </c>
      <c r="AD73" s="155">
        <f ca="1"/>
        <v>3.9660193717238057E-2</v>
      </c>
      <c r="AE73" s="138">
        <f ca="1"/>
        <v>7.1669793956006811E-2</v>
      </c>
      <c r="AG73" s="454"/>
      <c r="AH73" s="456"/>
      <c r="AI73" s="455"/>
      <c r="AJ73" s="457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4">
        <v>5.9999999999999995E-4</v>
      </c>
      <c r="G74" s="154">
        <v>1.1000000000000001E-3</v>
      </c>
      <c r="H74" s="154">
        <v>2E-3</v>
      </c>
      <c r="I74" s="154">
        <v>2.5999999999999999E-3</v>
      </c>
      <c r="J74" s="154" t="s">
        <v>87</v>
      </c>
      <c r="K74" s="154">
        <v>3.3999999999999998E-3</v>
      </c>
      <c r="L74" s="154">
        <v>4.1000000000000003E-3</v>
      </c>
      <c r="M74" s="154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55">
        <f ca="1"/>
        <v>5.5804003710946404E-4</v>
      </c>
      <c r="P74" s="155">
        <f ca="1"/>
        <v>1.9571370491022755E-3</v>
      </c>
      <c r="Q74" s="155">
        <f ca="1"/>
        <v>6.9515706219475115E-3</v>
      </c>
      <c r="R74" s="155">
        <f ca="1"/>
        <v>1.3438055753324019E-2</v>
      </c>
      <c r="S74" s="155">
        <f ca="1"/>
        <v>0</v>
      </c>
      <c r="T74" s="155">
        <f ca="1"/>
        <v>2.9018052433178787E-2</v>
      </c>
      <c r="U74" s="155">
        <f ca="1"/>
        <v>4.8705544159968306E-2</v>
      </c>
      <c r="V74" s="138">
        <f ca="1"/>
        <v>8.2435495253729951E-2</v>
      </c>
      <c r="W74" s="137">
        <f ca="1"/>
        <v>0</v>
      </c>
      <c r="X74" s="155">
        <f ca="1"/>
        <v>6.5101587709581743E-4</v>
      </c>
      <c r="Y74" s="155">
        <f ca="1"/>
        <v>2.1234636653296723E-3</v>
      </c>
      <c r="Z74" s="155">
        <f ca="1"/>
        <v>7.2825316018332309E-3</v>
      </c>
      <c r="AA74" s="155">
        <f ca="1"/>
        <v>1.3931213425746991E-2</v>
      </c>
      <c r="AB74" s="155">
        <f ca="1"/>
        <v>0</v>
      </c>
      <c r="AC74" s="155">
        <f ca="1"/>
        <v>2.9846982988567805E-2</v>
      </c>
      <c r="AD74" s="155">
        <f ca="1"/>
        <v>4.9840632174356969E-2</v>
      </c>
      <c r="AE74" s="138">
        <f ca="1"/>
        <v>8.3994337985396461E-2</v>
      </c>
      <c r="AG74" s="454"/>
      <c r="AH74" s="456"/>
      <c r="AI74" s="455"/>
      <c r="AJ74" s="457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4">
        <v>2.0000000000000001E-4</v>
      </c>
      <c r="G75" s="154">
        <v>2.9999999999999997E-4</v>
      </c>
      <c r="H75" s="154">
        <v>5.9999999999999995E-4</v>
      </c>
      <c r="I75" s="154">
        <v>8.9999999999999998E-4</v>
      </c>
      <c r="J75" s="154" t="s">
        <v>87</v>
      </c>
      <c r="K75" s="154">
        <v>1.2999999999999999E-3</v>
      </c>
      <c r="L75" s="154">
        <v>1.8E-3</v>
      </c>
      <c r="M75" s="154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55">
        <f ca="1"/>
        <v>1.8604796070598173E-4</v>
      </c>
      <c r="P75" s="155">
        <f ca="1"/>
        <v>5.334439907710431E-4</v>
      </c>
      <c r="Q75" s="155">
        <f ca="1"/>
        <v>2.0900314112303198E-3</v>
      </c>
      <c r="R75" s="155">
        <f ca="1"/>
        <v>4.6791197605060564E-3</v>
      </c>
      <c r="S75" s="155">
        <f ca="1"/>
        <v>0</v>
      </c>
      <c r="T75" s="155">
        <f ca="1"/>
        <v>1.1214422520195333E-2</v>
      </c>
      <c r="U75" s="155">
        <f ca="1"/>
        <v>2.1793848980354413E-2</v>
      </c>
      <c r="V75" s="138">
        <f ca="1"/>
        <v>4.3386233393159723E-2</v>
      </c>
      <c r="W75" s="137">
        <f ca="1"/>
        <v>0</v>
      </c>
      <c r="X75" s="155">
        <f ca="1"/>
        <v>2.7905888266266388E-4</v>
      </c>
      <c r="Y75" s="155">
        <f ca="1"/>
        <v>7.0000786940083159E-4</v>
      </c>
      <c r="Z75" s="155">
        <f ca="1"/>
        <v>2.4226126341411192E-3</v>
      </c>
      <c r="AA75" s="155">
        <f ca="1"/>
        <v>5.1766558062554813E-3</v>
      </c>
      <c r="AB75" s="155">
        <f ca="1"/>
        <v>0</v>
      </c>
      <c r="AC75" s="155">
        <f ca="1"/>
        <v>1.205791237021181E-2</v>
      </c>
      <c r="AD75" s="155">
        <f ca="1"/>
        <v>2.2959784704540409E-2</v>
      </c>
      <c r="AE75" s="138">
        <f ca="1"/>
        <v>4.5014202384713209E-2</v>
      </c>
      <c r="AG75" s="454"/>
      <c r="AH75" s="456"/>
      <c r="AI75" s="455"/>
      <c r="AJ75" s="457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4">
        <v>9.2000000000000003E-4</v>
      </c>
      <c r="G76" s="154">
        <v>1.39E-3</v>
      </c>
      <c r="H76" s="154">
        <v>2.0799999999999998E-3</v>
      </c>
      <c r="I76" s="154">
        <v>2.49E-3</v>
      </c>
      <c r="J76" s="154" t="s">
        <v>87</v>
      </c>
      <c r="K76" s="154">
        <v>3.0000000000000001E-3</v>
      </c>
      <c r="L76" s="154">
        <v>3.3500000000000001E-3</v>
      </c>
      <c r="M76" s="154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55">
        <f ca="1"/>
        <v>8.5553404965088564E-4</v>
      </c>
      <c r="P76" s="155">
        <f ca="1"/>
        <v>2.469771640047691E-3</v>
      </c>
      <c r="Q76" s="155">
        <f ca="1"/>
        <v>7.2128972837282035E-3</v>
      </c>
      <c r="R76" s="155">
        <f ca="1"/>
        <v>1.2833969934801681E-2</v>
      </c>
      <c r="S76" s="155">
        <f ca="1"/>
        <v>0</v>
      </c>
      <c r="T76" s="155">
        <f ca="1"/>
        <v>2.5533999732056945E-2</v>
      </c>
      <c r="U76" s="155">
        <f ca="1"/>
        <v>3.9657085876668829E-2</v>
      </c>
      <c r="V76" s="138">
        <f ca="1"/>
        <v>6.2049330787189771E-2</v>
      </c>
      <c r="W76" s="137">
        <f ca="1"/>
        <v>0</v>
      </c>
      <c r="X76" s="155">
        <f ca="1"/>
        <v>9.484815131883817E-4</v>
      </c>
      <c r="Y76" s="155">
        <f ca="1"/>
        <v>2.6360128242843839E-3</v>
      </c>
      <c r="Z76" s="155">
        <f ca="1"/>
        <v>7.5437711692495357E-3</v>
      </c>
      <c r="AA76" s="155">
        <f ca="1"/>
        <v>1.3327429574640504E-2</v>
      </c>
      <c r="AB76" s="155">
        <f ca="1"/>
        <v>0</v>
      </c>
      <c r="AC76" s="155">
        <f ca="1"/>
        <v>2.6365353910784206E-2</v>
      </c>
      <c r="AD76" s="155">
        <f ca="1"/>
        <v>4.0801088654562112E-2</v>
      </c>
      <c r="AE76" s="138">
        <f ca="1"/>
        <v>6.3640859900621738E-2</v>
      </c>
      <c r="AG76" s="454"/>
      <c r="AH76" s="456"/>
      <c r="AI76" s="455"/>
      <c r="AJ76" s="457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4">
        <v>2.3999999999999998E-3</v>
      </c>
      <c r="G77" s="154">
        <v>3.2000000000000002E-3</v>
      </c>
      <c r="H77" s="154">
        <v>4.8999999999999998E-3</v>
      </c>
      <c r="I77" s="154">
        <v>6.7000000000000002E-3</v>
      </c>
      <c r="J77" s="154" t="s">
        <v>87</v>
      </c>
      <c r="K77" s="154">
        <v>1.03E-2</v>
      </c>
      <c r="L77" s="154">
        <v>1.23E-2</v>
      </c>
      <c r="M77" s="154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55">
        <f ca="1"/>
        <v>2.230292849099369E-3</v>
      </c>
      <c r="P77" s="155">
        <f ca="1"/>
        <v>5.6729209437177408E-3</v>
      </c>
      <c r="Q77" s="155">
        <f ca="1"/>
        <v>1.692507229571627E-2</v>
      </c>
      <c r="R77" s="155">
        <f ca="1"/>
        <v>3.4350718069652619E-2</v>
      </c>
      <c r="S77" s="155">
        <f ca="1"/>
        <v>0</v>
      </c>
      <c r="T77" s="155">
        <f ca="1"/>
        <v>8.6429607341961479E-2</v>
      </c>
      <c r="U77" s="155">
        <f ca="1"/>
        <v>0.14109092223585451</v>
      </c>
      <c r="V77" s="138">
        <f ca="1"/>
        <v>0.22395277678064973</v>
      </c>
      <c r="W77" s="137">
        <f ca="1"/>
        <v>0</v>
      </c>
      <c r="X77" s="155">
        <f ca="1"/>
        <v>2.323105100222489E-3</v>
      </c>
      <c r="Y77" s="155">
        <f ca="1"/>
        <v>5.8386283142218831E-3</v>
      </c>
      <c r="Z77" s="155">
        <f ca="1"/>
        <v>1.7252709329083182E-2</v>
      </c>
      <c r="AA77" s="155">
        <f ca="1"/>
        <v>3.4833422024570404E-2</v>
      </c>
      <c r="AB77" s="155">
        <f ca="1"/>
        <v>0</v>
      </c>
      <c r="AC77" s="155">
        <f ca="1"/>
        <v>8.7219008923290264E-2</v>
      </c>
      <c r="AD77" s="155">
        <f ca="1"/>
        <v>0.14213295843686558</v>
      </c>
      <c r="AE77" s="138">
        <f ca="1"/>
        <v>0.22530691120650659</v>
      </c>
      <c r="AG77" s="454"/>
      <c r="AH77" s="456"/>
      <c r="AI77" s="455"/>
      <c r="AJ77" s="457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4">
        <v>5.9999999999999995E-4</v>
      </c>
      <c r="G78" s="154">
        <v>1.1000000000000001E-3</v>
      </c>
      <c r="H78" s="154">
        <v>2.0999999999999999E-3</v>
      </c>
      <c r="I78" s="154">
        <v>2.8E-3</v>
      </c>
      <c r="J78" s="154" t="s">
        <v>87</v>
      </c>
      <c r="K78" s="154">
        <v>4.0000000000000001E-3</v>
      </c>
      <c r="L78" s="154">
        <v>4.7999999999999996E-3</v>
      </c>
      <c r="M78" s="154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55">
        <f ca="1"/>
        <v>5.5804003710946404E-4</v>
      </c>
      <c r="P78" s="155">
        <f ca="1"/>
        <v>1.9571370491022755E-3</v>
      </c>
      <c r="Q78" s="155">
        <f ca="1"/>
        <v>7.301149763954351E-3</v>
      </c>
      <c r="R78" s="155">
        <f ca="1"/>
        <v>1.4476503139829289E-2</v>
      </c>
      <c r="S78" s="155">
        <f ca="1"/>
        <v>0</v>
      </c>
      <c r="T78" s="155">
        <f ca="1"/>
        <v>3.4172549386096374E-2</v>
      </c>
      <c r="U78" s="155">
        <f ca="1"/>
        <v>5.6923879791297205E-2</v>
      </c>
      <c r="V78" s="138">
        <f ca="1"/>
        <v>0.10245589977005898</v>
      </c>
      <c r="W78" s="137">
        <f ca="1"/>
        <v>0</v>
      </c>
      <c r="X78" s="155">
        <f ca="1"/>
        <v>6.5101587709581743E-4</v>
      </c>
      <c r="Y78" s="155">
        <f ca="1"/>
        <v>2.1234636653296723E-3</v>
      </c>
      <c r="Z78" s="155">
        <f ca="1"/>
        <v>7.6319942368913152E-3</v>
      </c>
      <c r="AA78" s="155">
        <f ca="1"/>
        <v>1.4969141718335521E-2</v>
      </c>
      <c r="AB78" s="155">
        <f ca="1"/>
        <v>0</v>
      </c>
      <c r="AC78" s="155">
        <f ca="1"/>
        <v>3.4997414806350324E-2</v>
      </c>
      <c r="AD78" s="155">
        <f ca="1"/>
        <v>5.805004203445685E-2</v>
      </c>
      <c r="AE78" s="138">
        <f ca="1"/>
        <v>0.10397814495220958</v>
      </c>
      <c r="AG78" s="454"/>
      <c r="AH78" s="456"/>
      <c r="AI78" s="455"/>
      <c r="AJ78" s="457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4">
        <v>1E-3</v>
      </c>
      <c r="G79" s="154">
        <v>1.4E-3</v>
      </c>
      <c r="H79" s="154">
        <v>2.2000000000000001E-3</v>
      </c>
      <c r="I79" s="154">
        <v>3.3E-3</v>
      </c>
      <c r="J79" s="154" t="s">
        <v>87</v>
      </c>
      <c r="K79" s="154">
        <v>5.1000000000000004E-3</v>
      </c>
      <c r="L79" s="154">
        <v>6.3E-3</v>
      </c>
      <c r="M79" s="154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55">
        <f ca="1"/>
        <v>9.2989371787344233E-4</v>
      </c>
      <c r="P79" s="155">
        <f ca="1"/>
        <v>2.4862269575006701E-3</v>
      </c>
      <c r="Q79" s="155">
        <f ca="1"/>
        <v>7.6303255456069419E-3</v>
      </c>
      <c r="R79" s="155">
        <f ca="1"/>
        <v>1.7065052051332463E-2</v>
      </c>
      <c r="S79" s="155">
        <f ca="1"/>
        <v>0</v>
      </c>
      <c r="T79" s="155">
        <f ca="1"/>
        <v>4.3538536664022631E-2</v>
      </c>
      <c r="U79" s="155">
        <f ca="1"/>
        <v>7.4457539278983687E-2</v>
      </c>
      <c r="V79" s="138">
        <f ca="1"/>
        <v>0.12605075324768156</v>
      </c>
      <c r="W79" s="137">
        <f ca="1"/>
        <v>0</v>
      </c>
      <c r="X79" s="155">
        <f ca="1"/>
        <v>1.0228340424542903E-3</v>
      </c>
      <c r="Y79" s="155">
        <f ca="1"/>
        <v>2.6524653994269842E-3</v>
      </c>
      <c r="Z79" s="155">
        <f ca="1"/>
        <v>7.9610603115710665E-3</v>
      </c>
      <c r="AA79" s="155">
        <f ca="1"/>
        <v>1.7556396678894193E-2</v>
      </c>
      <c r="AB79" s="155">
        <f ca="1"/>
        <v>0</v>
      </c>
      <c r="AC79" s="155">
        <f ca="1"/>
        <v>4.435538403749506E-2</v>
      </c>
      <c r="AD79" s="155">
        <f ca="1"/>
        <v>7.5563916501124928E-2</v>
      </c>
      <c r="AE79" s="138">
        <f ca="1"/>
        <v>0.12755744553417103</v>
      </c>
      <c r="AG79" s="454"/>
      <c r="AH79" s="456"/>
      <c r="AI79" s="455"/>
      <c r="AJ79" s="457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4">
        <v>5.0000000000000001E-4</v>
      </c>
      <c r="G80" s="154">
        <v>5.0000000000000001E-4</v>
      </c>
      <c r="H80" s="154">
        <v>1E-3</v>
      </c>
      <c r="I80" s="154">
        <v>1.8E-3</v>
      </c>
      <c r="J80" s="154" t="s">
        <v>87</v>
      </c>
      <c r="K80" s="154">
        <v>2.7000000000000001E-3</v>
      </c>
      <c r="L80" s="154">
        <v>3.5000000000000001E-3</v>
      </c>
      <c r="M80" s="154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55">
        <f ca="1"/>
        <v>4.6505499562699004E-4</v>
      </c>
      <c r="P80" s="155">
        <f ca="1"/>
        <v>8.861251903584666E-4</v>
      </c>
      <c r="Q80" s="155">
        <f ca="1"/>
        <v>3.4787715587528689E-3</v>
      </c>
      <c r="R80" s="155">
        <f ca="1"/>
        <v>9.3658022434630617E-3</v>
      </c>
      <c r="S80" s="155">
        <f ca="1"/>
        <v>0</v>
      </c>
      <c r="T80" s="155">
        <f ca="1"/>
        <v>2.3235145744598618E-2</v>
      </c>
      <c r="U80" s="155">
        <f ca="1"/>
        <v>4.1995434132406029E-2</v>
      </c>
      <c r="V80" s="138">
        <f ca="1"/>
        <v>7.6677823918442134E-2</v>
      </c>
      <c r="W80" s="137">
        <f ca="1"/>
        <v>0</v>
      </c>
      <c r="X80" s="155">
        <f ca="1"/>
        <v>5.5803964578249321E-4</v>
      </c>
      <c r="Y80" s="155">
        <f ca="1"/>
        <v>1.0526302936837428E-3</v>
      </c>
      <c r="Z80" s="155">
        <f ca="1"/>
        <v>3.8108899454333267E-3</v>
      </c>
      <c r="AA80" s="155">
        <f ca="1"/>
        <v>9.8609955336833588E-3</v>
      </c>
      <c r="AB80" s="155">
        <f ca="1"/>
        <v>0</v>
      </c>
      <c r="AC80" s="155">
        <f ca="1"/>
        <v>2.4069489033800906E-2</v>
      </c>
      <c r="AD80" s="155">
        <f ca="1"/>
        <v>4.3139518194176496E-2</v>
      </c>
      <c r="AE80" s="138">
        <f ca="1"/>
        <v>7.8249128221724695E-2</v>
      </c>
      <c r="AG80" s="454"/>
      <c r="AH80" s="456"/>
      <c r="AI80" s="455"/>
      <c r="AJ80" s="457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4">
        <v>1E-3</v>
      </c>
      <c r="G81" s="154">
        <v>1E-3</v>
      </c>
      <c r="H81" s="154">
        <v>1.8E-3</v>
      </c>
      <c r="I81" s="154">
        <v>2.8999999999999998E-3</v>
      </c>
      <c r="J81" s="154" t="s">
        <v>87</v>
      </c>
      <c r="K81" s="154">
        <v>4.3E-3</v>
      </c>
      <c r="L81" s="154">
        <v>5.4000000000000003E-3</v>
      </c>
      <c r="M81" s="154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55">
        <f ca="1"/>
        <v>9.2989371787344233E-4</v>
      </c>
      <c r="P81" s="155">
        <f ca="1"/>
        <v>1.7714646269012535E-3</v>
      </c>
      <c r="Q81" s="155">
        <f ca="1"/>
        <v>6.2493221761313889E-3</v>
      </c>
      <c r="R81" s="155">
        <f ca="1"/>
        <v>1.5029775175499194E-2</v>
      </c>
      <c r="S81" s="155">
        <f ca="1"/>
        <v>0</v>
      </c>
      <c r="T81" s="155">
        <f ca="1"/>
        <v>3.6781024681706964E-2</v>
      </c>
      <c r="U81" s="155">
        <f ca="1"/>
        <v>6.4114597037202792E-2</v>
      </c>
      <c r="V81" s="138">
        <f ca="1"/>
        <v>0.11559223243002525</v>
      </c>
      <c r="W81" s="137">
        <f ca="1"/>
        <v>0</v>
      </c>
      <c r="X81" s="155">
        <f ca="1"/>
        <v>1.0228340424542903E-3</v>
      </c>
      <c r="Y81" s="155">
        <f ca="1"/>
        <v>1.9378221859563949E-3</v>
      </c>
      <c r="Z81" s="155">
        <f ca="1"/>
        <v>6.5805171998475354E-3</v>
      </c>
      <c r="AA81" s="155">
        <f ca="1"/>
        <v>1.552213718715878E-2</v>
      </c>
      <c r="AB81" s="155">
        <f ca="1"/>
        <v>0</v>
      </c>
      <c r="AC81" s="155">
        <f ca="1"/>
        <v>3.7603952533759366E-2</v>
      </c>
      <c r="AD81" s="155">
        <f ca="1"/>
        <v>6.5233185382531533E-2</v>
      </c>
      <c r="AE81" s="138">
        <f ca="1"/>
        <v>0.11711727907406122</v>
      </c>
      <c r="AG81" s="454"/>
      <c r="AH81" s="456"/>
      <c r="AI81" s="455"/>
      <c r="AJ81" s="457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4">
        <v>4.0000000000000002E-4</v>
      </c>
      <c r="G82" s="154">
        <v>8.9999999999999998E-4</v>
      </c>
      <c r="H82" s="154">
        <v>1.2999999999999999E-3</v>
      </c>
      <c r="I82" s="154">
        <v>1.8E-3</v>
      </c>
      <c r="J82" s="154" t="s">
        <v>87</v>
      </c>
      <c r="K82" s="154">
        <v>2.8E-3</v>
      </c>
      <c r="L82" s="154">
        <v>3.5000000000000001E-3</v>
      </c>
      <c r="M82" s="154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55">
        <f ca="1"/>
        <v>3.7206130320088793E-4</v>
      </c>
      <c r="P82" s="155">
        <f ca="1"/>
        <v>1.6030771977488811E-3</v>
      </c>
      <c r="Q82" s="155">
        <f ca="1"/>
        <v>4.514678439456854E-3</v>
      </c>
      <c r="R82" s="155">
        <f ca="1"/>
        <v>9.32053097639296E-3</v>
      </c>
      <c r="S82" s="155">
        <f ca="1"/>
        <v>0</v>
      </c>
      <c r="T82" s="155">
        <f ca="1"/>
        <v>2.4061193736249153E-2</v>
      </c>
      <c r="U82" s="155">
        <f ca="1"/>
        <v>4.1893954225365126E-2</v>
      </c>
      <c r="V82" s="138">
        <f ca="1"/>
        <v>7.3004366871038728E-2</v>
      </c>
      <c r="W82" s="137">
        <f ca="1"/>
        <v>0</v>
      </c>
      <c r="X82" s="155">
        <f ca="1"/>
        <v>4.6505473678803977E-4</v>
      </c>
      <c r="Y82" s="155">
        <f ca="1"/>
        <v>1.7694628190280115E-3</v>
      </c>
      <c r="Z82" s="155">
        <f ca="1"/>
        <v>4.8464515813767539E-3</v>
      </c>
      <c r="AA82" s="155">
        <f ca="1"/>
        <v>9.8157468966039163E-3</v>
      </c>
      <c r="AB82" s="155">
        <f ca="1"/>
        <v>0</v>
      </c>
      <c r="AC82" s="155">
        <f ca="1"/>
        <v>2.4894674558599617E-2</v>
      </c>
      <c r="AD82" s="155">
        <f ca="1"/>
        <v>4.3037746084995887E-2</v>
      </c>
      <c r="AE82" s="138">
        <f ca="1"/>
        <v>7.4581236177549748E-2</v>
      </c>
      <c r="AG82" s="454"/>
      <c r="AH82" s="456"/>
      <c r="AI82" s="455"/>
      <c r="AJ82" s="457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4">
        <v>5.9999999999999995E-4</v>
      </c>
      <c r="G83" s="154">
        <v>1.2999999999999999E-3</v>
      </c>
      <c r="H83" s="154">
        <v>1.9E-3</v>
      </c>
      <c r="I83" s="154">
        <v>2.5000000000000001E-3</v>
      </c>
      <c r="J83" s="154" t="s">
        <v>87</v>
      </c>
      <c r="K83" s="154">
        <v>4.0000000000000001E-3</v>
      </c>
      <c r="L83" s="154">
        <v>5.1000000000000004E-3</v>
      </c>
      <c r="M83" s="154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55">
        <f ca="1"/>
        <v>5.5804003710946404E-4</v>
      </c>
      <c r="P83" s="155">
        <f ca="1"/>
        <v>2.3145841695036973E-3</v>
      </c>
      <c r="Q83" s="155">
        <f ca="1"/>
        <v>6.5933701468768868E-3</v>
      </c>
      <c r="R83" s="155">
        <f ca="1"/>
        <v>1.2915028171558651E-2</v>
      </c>
      <c r="S83" s="155">
        <f ca="1"/>
        <v>0</v>
      </c>
      <c r="T83" s="155">
        <f ca="1"/>
        <v>3.425823023058916E-2</v>
      </c>
      <c r="U83" s="155">
        <f ca="1"/>
        <v>6.0693755772691649E-2</v>
      </c>
      <c r="V83" s="138">
        <f ca="1"/>
        <v>0.10396606256397867</v>
      </c>
      <c r="W83" s="137">
        <f ca="1"/>
        <v>0</v>
      </c>
      <c r="X83" s="155">
        <f ca="1"/>
        <v>6.5101587709581743E-4</v>
      </c>
      <c r="Y83" s="155">
        <f ca="1"/>
        <v>2.4808512161600405E-3</v>
      </c>
      <c r="Z83" s="155">
        <f ca="1"/>
        <v>6.9244505070453766E-3</v>
      </c>
      <c r="AA83" s="155">
        <f ca="1"/>
        <v>1.340844729240942E-2</v>
      </c>
      <c r="AB83" s="155">
        <f ca="1"/>
        <v>0</v>
      </c>
      <c r="AC83" s="155">
        <f ca="1"/>
        <v>3.5083171191849449E-2</v>
      </c>
      <c r="AD83" s="155">
        <f ca="1"/>
        <v>6.1816501247923039E-2</v>
      </c>
      <c r="AE83" s="138">
        <f ca="1"/>
        <v>0.10548752625566893</v>
      </c>
      <c r="AG83" s="454"/>
      <c r="AH83" s="456"/>
      <c r="AI83" s="455"/>
      <c r="AJ83" s="457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4">
        <v>2.9999999999999997E-4</v>
      </c>
      <c r="G84" s="154">
        <v>8.9999999999999998E-4</v>
      </c>
      <c r="H84" s="154">
        <v>1.5E-3</v>
      </c>
      <c r="I84" s="154">
        <v>2.2000000000000001E-3</v>
      </c>
      <c r="J84" s="154" t="s">
        <v>87</v>
      </c>
      <c r="K84" s="154">
        <v>3.0999999999999999E-3</v>
      </c>
      <c r="L84" s="154">
        <v>4.0000000000000001E-3</v>
      </c>
      <c r="M84" s="154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55">
        <f ca="1"/>
        <v>2.7905895862256891E-4</v>
      </c>
      <c r="P84" s="155">
        <f ca="1"/>
        <v>1.6048011235291204E-3</v>
      </c>
      <c r="Q84" s="155">
        <f ca="1"/>
        <v>5.2164903453797429E-3</v>
      </c>
      <c r="R84" s="155">
        <f ca="1"/>
        <v>1.1404279221326252E-2</v>
      </c>
      <c r="S84" s="155">
        <f ca="1"/>
        <v>0</v>
      </c>
      <c r="T84" s="155">
        <f ca="1"/>
        <v>2.6567365799709197E-2</v>
      </c>
      <c r="U84" s="155">
        <f ca="1"/>
        <v>4.7800909991429386E-2</v>
      </c>
      <c r="V84" s="138">
        <f ca="1"/>
        <v>8.6428537805500527E-2</v>
      </c>
      <c r="W84" s="137">
        <f ca="1"/>
        <v>0</v>
      </c>
      <c r="X84" s="155">
        <f ca="1"/>
        <v>3.7206114936716439E-4</v>
      </c>
      <c r="Y84" s="155">
        <f ca="1"/>
        <v>1.7711864575095104E-3</v>
      </c>
      <c r="Z84" s="155">
        <f ca="1"/>
        <v>5.5480295889915876E-3</v>
      </c>
      <c r="AA84" s="155">
        <f ca="1"/>
        <v>1.1898453527841801E-2</v>
      </c>
      <c r="AB84" s="155">
        <f ca="1"/>
        <v>0</v>
      </c>
      <c r="AC84" s="155">
        <f ca="1"/>
        <v>2.739868613653218E-2</v>
      </c>
      <c r="AD84" s="155">
        <f ca="1"/>
        <v>4.8938075693503835E-2</v>
      </c>
      <c r="AE84" s="138">
        <f ca="1"/>
        <v>8.798193862747683E-2</v>
      </c>
      <c r="AG84" s="454"/>
      <c r="AH84" s="456"/>
      <c r="AI84" s="455"/>
      <c r="AJ84" s="457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4">
        <v>1E-3</v>
      </c>
      <c r="G85" s="154">
        <v>1.1000000000000001E-3</v>
      </c>
      <c r="H85" s="154">
        <v>1.9E-3</v>
      </c>
      <c r="I85" s="154">
        <v>2.5000000000000001E-3</v>
      </c>
      <c r="J85" s="154" t="s">
        <v>87</v>
      </c>
      <c r="K85" s="154">
        <v>4.0000000000000001E-3</v>
      </c>
      <c r="L85" s="154">
        <v>5.0000000000000001E-3</v>
      </c>
      <c r="M85" s="154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55">
        <f ca="1"/>
        <v>9.2989371787344233E-4</v>
      </c>
      <c r="P85" s="155">
        <f ca="1"/>
        <v>1.9501777720840607E-3</v>
      </c>
      <c r="Q85" s="155">
        <f ca="1"/>
        <v>6.5947275550821693E-3</v>
      </c>
      <c r="R85" s="155">
        <f ca="1"/>
        <v>1.2916447267609321E-2</v>
      </c>
      <c r="S85" s="155">
        <f ca="1"/>
        <v>0</v>
      </c>
      <c r="T85" s="155">
        <f ca="1"/>
        <v>3.4259821147004987E-2</v>
      </c>
      <c r="U85" s="155">
        <f ca="1"/>
        <v>5.9468497360534056E-2</v>
      </c>
      <c r="V85" s="138">
        <f ca="1"/>
        <v>9.3526148575498458E-2</v>
      </c>
      <c r="W85" s="137">
        <f ca="1"/>
        <v>0</v>
      </c>
      <c r="X85" s="155">
        <f ca="1"/>
        <v>1.0228340424542903E-3</v>
      </c>
      <c r="Y85" s="155">
        <f ca="1"/>
        <v>2.1165055480969475E-3</v>
      </c>
      <c r="Z85" s="155">
        <f ca="1"/>
        <v>6.9258074628465449E-3</v>
      </c>
      <c r="AA85" s="155">
        <f ca="1"/>
        <v>1.340986567911151E-2</v>
      </c>
      <c r="AB85" s="155">
        <f ca="1"/>
        <v>0</v>
      </c>
      <c r="AC85" s="155">
        <f ca="1"/>
        <v>3.5084773130199753E-2</v>
      </c>
      <c r="AD85" s="155">
        <f ca="1"/>
        <v>6.0592544326548592E-2</v>
      </c>
      <c r="AE85" s="138">
        <f ca="1"/>
        <v>9.5066562390114462E-2</v>
      </c>
      <c r="AG85" s="454"/>
      <c r="AH85" s="456"/>
      <c r="AI85" s="455"/>
      <c r="AJ85" s="457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4">
        <v>1.7600000000000001E-3</v>
      </c>
      <c r="G86" s="154">
        <v>2.0899999999999998E-3</v>
      </c>
      <c r="H86" s="154">
        <v>2.7299999999999998E-3</v>
      </c>
      <c r="I86" s="154">
        <v>3.0999999999999999E-3</v>
      </c>
      <c r="J86" s="154" t="s">
        <v>87</v>
      </c>
      <c r="K86" s="154">
        <v>3.7000000000000002E-3</v>
      </c>
      <c r="L86" s="154">
        <v>4.0499999999999998E-3</v>
      </c>
      <c r="M86" s="154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55">
        <f ca="1"/>
        <v>1.6360347078093751E-3</v>
      </c>
      <c r="P86" s="155">
        <f ca="1"/>
        <v>3.7047900155665614E-3</v>
      </c>
      <c r="Q86" s="155">
        <f ca="1"/>
        <v>9.4362989176387524E-3</v>
      </c>
      <c r="R86" s="155">
        <f ca="1"/>
        <v>1.5914763535672782E-2</v>
      </c>
      <c r="S86" s="155">
        <f ca="1"/>
        <v>0</v>
      </c>
      <c r="T86" s="155">
        <f ca="1"/>
        <v>3.1359298110783418E-2</v>
      </c>
      <c r="U86" s="155">
        <f ca="1"/>
        <v>4.7658959025164815E-2</v>
      </c>
      <c r="V86" s="138">
        <f ca="1"/>
        <v>7.3178966158565117E-2</v>
      </c>
      <c r="W86" s="137">
        <f ca="1"/>
        <v>0</v>
      </c>
      <c r="X86" s="155">
        <f ca="1"/>
        <v>1.7289062706385971E-3</v>
      </c>
      <c r="Y86" s="155">
        <f ca="1"/>
        <v>3.870825380564713E-3</v>
      </c>
      <c r="Z86" s="155">
        <f ca="1"/>
        <v>9.7664317928084499E-3</v>
      </c>
      <c r="AA86" s="155">
        <f ca="1"/>
        <v>1.6406683163765368E-2</v>
      </c>
      <c r="AB86" s="155">
        <f ca="1"/>
        <v>0</v>
      </c>
      <c r="AC86" s="155">
        <f ca="1"/>
        <v>3.2185462500155748E-2</v>
      </c>
      <c r="AD86" s="155">
        <f ca="1"/>
        <v>4.8793247963910158E-2</v>
      </c>
      <c r="AE86" s="138">
        <f ca="1"/>
        <v>7.4750326419525392E-2</v>
      </c>
      <c r="AG86" s="454"/>
      <c r="AH86" s="456"/>
      <c r="AI86" s="455"/>
      <c r="AJ86" s="457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4">
        <v>1.16E-3</v>
      </c>
      <c r="G87" s="154">
        <v>1.5100000000000001E-3</v>
      </c>
      <c r="H87" s="154">
        <v>2.0300000000000001E-3</v>
      </c>
      <c r="I87" s="154">
        <v>2.3800000000000002E-3</v>
      </c>
      <c r="J87" s="154" t="s">
        <v>87</v>
      </c>
      <c r="K87" s="154">
        <v>2.8999999999999998E-3</v>
      </c>
      <c r="L87" s="154">
        <v>3.29E-3</v>
      </c>
      <c r="M87" s="154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55">
        <f ca="1"/>
        <v>1.0785964566852879E-3</v>
      </c>
      <c r="P87" s="155">
        <f ca="1"/>
        <v>2.6799072358231202E-3</v>
      </c>
      <c r="Q87" s="155">
        <f ca="1"/>
        <v>7.0286383423295851E-3</v>
      </c>
      <c r="R87" s="155">
        <f ca="1"/>
        <v>1.2252423796713985E-2</v>
      </c>
      <c r="S87" s="155">
        <f ca="1"/>
        <v>0</v>
      </c>
      <c r="T87" s="155">
        <f ca="1"/>
        <v>2.4683359137490091E-2</v>
      </c>
      <c r="U87" s="155">
        <f ca="1"/>
        <v>3.8987751734345322E-2</v>
      </c>
      <c r="V87" s="138">
        <f ca="1"/>
        <v>6.218308293201491E-2</v>
      </c>
      <c r="W87" s="137">
        <f ca="1"/>
        <v>0</v>
      </c>
      <c r="X87" s="155">
        <f ca="1"/>
        <v>1.1715224482327091E-3</v>
      </c>
      <c r="Y87" s="155">
        <f ca="1"/>
        <v>2.8461134003846533E-3</v>
      </c>
      <c r="Z87" s="155">
        <f ca="1"/>
        <v>7.35957363726647E-3</v>
      </c>
      <c r="AA87" s="155">
        <f ca="1"/>
        <v>1.2746174136945343E-2</v>
      </c>
      <c r="AB87" s="155">
        <f ca="1"/>
        <v>0</v>
      </c>
      <c r="AC87" s="155">
        <f ca="1"/>
        <v>2.5515365558859471E-2</v>
      </c>
      <c r="AD87" s="155">
        <f ca="1"/>
        <v>4.0132641397888968E-2</v>
      </c>
      <c r="AE87" s="138">
        <f ca="1"/>
        <v>6.3774873121799636E-2</v>
      </c>
      <c r="AG87" s="454"/>
      <c r="AH87" s="456"/>
      <c r="AI87" s="455"/>
      <c r="AJ87" s="457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4">
        <v>6.9999999999999999E-4</v>
      </c>
      <c r="G88" s="154">
        <v>1E-3</v>
      </c>
      <c r="H88" s="154">
        <v>1.6000000000000001E-3</v>
      </c>
      <c r="I88" s="154">
        <v>2.0999999999999999E-3</v>
      </c>
      <c r="J88" s="154" t="s">
        <v>87</v>
      </c>
      <c r="K88" s="154">
        <v>3.3E-3</v>
      </c>
      <c r="L88" s="154">
        <v>4.0000000000000001E-3</v>
      </c>
      <c r="M88" s="154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55">
        <f ca="1"/>
        <v>6.5101642887865907E-4</v>
      </c>
      <c r="P88" s="155">
        <f ca="1"/>
        <v>1.7766591472427873E-3</v>
      </c>
      <c r="Q88" s="155">
        <f ca="1"/>
        <v>5.5551056434797186E-3</v>
      </c>
      <c r="R88" s="155">
        <f ca="1"/>
        <v>1.0857157672062523E-2</v>
      </c>
      <c r="S88" s="155">
        <f ca="1"/>
        <v>0</v>
      </c>
      <c r="T88" s="155">
        <f ca="1"/>
        <v>2.8310498799882899E-2</v>
      </c>
      <c r="U88" s="155">
        <f ca="1"/>
        <v>4.7693299749230422E-2</v>
      </c>
      <c r="V88" s="138">
        <f ca="1"/>
        <v>8.099246209590949E-2</v>
      </c>
      <c r="W88" s="137">
        <f ca="1"/>
        <v>0</v>
      </c>
      <c r="X88" s="155">
        <f ca="1"/>
        <v>7.4398343160742009E-4</v>
      </c>
      <c r="Y88" s="155">
        <f ca="1"/>
        <v>1.9430158406077425E-3</v>
      </c>
      <c r="Z88" s="155">
        <f ca="1"/>
        <v>5.8865320341132676E-3</v>
      </c>
      <c r="AA88" s="155">
        <f ca="1"/>
        <v>1.1351605470971471E-2</v>
      </c>
      <c r="AB88" s="155">
        <f ca="1"/>
        <v>0</v>
      </c>
      <c r="AC88" s="155">
        <f ca="1"/>
        <v>2.9140454341276212E-2</v>
      </c>
      <c r="AD88" s="155">
        <f ca="1"/>
        <v>4.8830389153821985E-2</v>
      </c>
      <c r="AE88" s="138">
        <f ca="1"/>
        <v>8.2554782543989846E-2</v>
      </c>
      <c r="AG88" s="454"/>
      <c r="AH88" s="456"/>
      <c r="AI88" s="455"/>
      <c r="AJ88" s="457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4">
        <v>1.6999999999999999E-3</v>
      </c>
      <c r="G89" s="154">
        <v>1.8E-3</v>
      </c>
      <c r="H89" s="154">
        <v>2.7000000000000001E-3</v>
      </c>
      <c r="I89" s="154">
        <v>3.8999999999999998E-3</v>
      </c>
      <c r="J89" s="154" t="s">
        <v>87</v>
      </c>
      <c r="K89" s="154">
        <v>6.0000000000000001E-3</v>
      </c>
      <c r="L89" s="154">
        <v>7.1999999999999998E-3</v>
      </c>
      <c r="M89" s="154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55">
        <f ca="1"/>
        <v>1.5803048768830985E-3</v>
      </c>
      <c r="P89" s="155">
        <f ca="1"/>
        <v>3.1881713916263044E-3</v>
      </c>
      <c r="Q89" s="155">
        <f ca="1"/>
        <v>9.3456745966299382E-3</v>
      </c>
      <c r="R89" s="155">
        <f ca="1"/>
        <v>2.0117555229110184E-2</v>
      </c>
      <c r="S89" s="155">
        <f ca="1"/>
        <v>0</v>
      </c>
      <c r="T89" s="155">
        <f ca="1"/>
        <v>5.1044981338480122E-2</v>
      </c>
      <c r="U89" s="155">
        <f ca="1"/>
        <v>8.4569039157784132E-2</v>
      </c>
      <c r="V89" s="138">
        <f ca="1"/>
        <v>0.14309351631162259</v>
      </c>
      <c r="W89" s="137">
        <f ca="1"/>
        <v>0</v>
      </c>
      <c r="X89" s="155">
        <f ca="1"/>
        <v>1.6731819323599906E-3</v>
      </c>
      <c r="Y89" s="155">
        <f ca="1"/>
        <v>3.3542928525593929E-3</v>
      </c>
      <c r="Z89" s="155">
        <f ca="1"/>
        <v>9.6758376748599106E-3</v>
      </c>
      <c r="AA89" s="155">
        <f ca="1"/>
        <v>2.0607373986616495E-2</v>
      </c>
      <c r="AB89" s="155">
        <f ca="1"/>
        <v>0</v>
      </c>
      <c r="AC89" s="155">
        <f ca="1"/>
        <v>5.1854643136294842E-2</v>
      </c>
      <c r="AD89" s="155">
        <f ca="1"/>
        <v>8.5662914957836289E-2</v>
      </c>
      <c r="AE89" s="138">
        <f ca="1"/>
        <v>0.14457445353772314</v>
      </c>
      <c r="AG89" s="454"/>
      <c r="AH89" s="456"/>
      <c r="AI89" s="455"/>
      <c r="AJ89" s="457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4">
        <v>4.0000000000000002E-4</v>
      </c>
      <c r="G90" s="154">
        <v>6.9999999999999999E-4</v>
      </c>
      <c r="H90" s="154">
        <v>1.5E-3</v>
      </c>
      <c r="I90" s="154">
        <v>2.2000000000000001E-3</v>
      </c>
      <c r="J90" s="154" t="s">
        <v>87</v>
      </c>
      <c r="K90" s="154">
        <v>3.3999999999999998E-3</v>
      </c>
      <c r="L90" s="154">
        <v>4.1999999999999997E-3</v>
      </c>
      <c r="M90" s="154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55">
        <f ca="1"/>
        <v>3.7206130320088793E-4</v>
      </c>
      <c r="P90" s="155">
        <f ca="1"/>
        <v>1.2454766991428778E-3</v>
      </c>
      <c r="Q90" s="155">
        <f ca="1"/>
        <v>5.2231072249007138E-3</v>
      </c>
      <c r="R90" s="155">
        <f ca="1"/>
        <v>1.1411128213588362E-2</v>
      </c>
      <c r="S90" s="155">
        <f ca="1"/>
        <v>0</v>
      </c>
      <c r="T90" s="155">
        <f ca="1"/>
        <v>2.9188175917013059E-2</v>
      </c>
      <c r="U90" s="155">
        <f ca="1"/>
        <v>5.0112719447452658E-2</v>
      </c>
      <c r="V90" s="138">
        <f ca="1"/>
        <v>9.3135386029580935E-2</v>
      </c>
      <c r="W90" s="137">
        <f ca="1"/>
        <v>0</v>
      </c>
      <c r="X90" s="155">
        <f ca="1"/>
        <v>4.6505473678803977E-4</v>
      </c>
      <c r="Y90" s="155">
        <f ca="1"/>
        <v>1.4119219155342977E-3</v>
      </c>
      <c r="Z90" s="155">
        <f ca="1"/>
        <v>5.5546442632351534E-3</v>
      </c>
      <c r="AA90" s="155">
        <f ca="1"/>
        <v>1.1905299096449995E-2</v>
      </c>
      <c r="AB90" s="155">
        <f ca="1"/>
        <v>0</v>
      </c>
      <c r="AC90" s="155">
        <f ca="1"/>
        <v>3.0017585361636123E-2</v>
      </c>
      <c r="AD90" s="155">
        <f ca="1"/>
        <v>5.1247388976237263E-2</v>
      </c>
      <c r="AE90" s="138">
        <f ca="1"/>
        <v>9.4676129708973877E-2</v>
      </c>
      <c r="AG90" s="454"/>
      <c r="AH90" s="456"/>
      <c r="AI90" s="455"/>
      <c r="AJ90" s="457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4">
        <v>1.1000000000000001E-3</v>
      </c>
      <c r="G91" s="154">
        <v>1.1000000000000001E-3</v>
      </c>
      <c r="H91" s="154">
        <v>1.6000000000000001E-3</v>
      </c>
      <c r="I91" s="154">
        <v>2.3E-3</v>
      </c>
      <c r="J91" s="154" t="s">
        <v>87</v>
      </c>
      <c r="K91" s="154">
        <v>3.7000000000000002E-3</v>
      </c>
      <c r="L91" s="154">
        <v>4.3E-3</v>
      </c>
      <c r="M91" s="154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55">
        <f ca="1"/>
        <v>1.0228355227774877E-3</v>
      </c>
      <c r="P91" s="155">
        <f ca="1"/>
        <v>1.9484382883890872E-3</v>
      </c>
      <c r="Q91" s="155">
        <f ca="1"/>
        <v>5.5437837315863714E-3</v>
      </c>
      <c r="R91" s="155">
        <f ca="1"/>
        <v>1.1895906367095033E-2</v>
      </c>
      <c r="S91" s="155">
        <f ca="1"/>
        <v>0</v>
      </c>
      <c r="T91" s="155">
        <f ca="1"/>
        <v>3.1732413535224824E-2</v>
      </c>
      <c r="U91" s="155">
        <f ca="1"/>
        <v>5.111290353473219E-2</v>
      </c>
      <c r="V91" s="138">
        <f ca="1"/>
        <v>9.1017065048547452E-2</v>
      </c>
      <c r="W91" s="137">
        <f ca="1"/>
        <v>0</v>
      </c>
      <c r="X91" s="155">
        <f ca="1"/>
        <v>1.1157668979256963E-3</v>
      </c>
      <c r="Y91" s="155">
        <f ca="1"/>
        <v>2.1147663542824269E-3</v>
      </c>
      <c r="Z91" s="155">
        <f ca="1"/>
        <v>5.8752138955807665E-3</v>
      </c>
      <c r="AA91" s="155">
        <f ca="1"/>
        <v>1.2389834921480047E-2</v>
      </c>
      <c r="AB91" s="155">
        <f ca="1"/>
        <v>0</v>
      </c>
      <c r="AC91" s="155">
        <f ca="1"/>
        <v>3.2559601477961442E-2</v>
      </c>
      <c r="AD91" s="155">
        <f ca="1"/>
        <v>5.2245968458774494E-2</v>
      </c>
      <c r="AE91" s="138">
        <f ca="1"/>
        <v>9.2560914614519429E-2</v>
      </c>
      <c r="AG91" s="454"/>
      <c r="AH91" s="456"/>
      <c r="AI91" s="455"/>
      <c r="AJ91" s="457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4">
        <v>5.9999999999999995E-4</v>
      </c>
      <c r="G92" s="154">
        <v>6.9999999999999999E-4</v>
      </c>
      <c r="H92" s="154">
        <v>1.1999999999999999E-3</v>
      </c>
      <c r="I92" s="154">
        <v>1.6999999999999999E-3</v>
      </c>
      <c r="J92" s="154" t="s">
        <v>87</v>
      </c>
      <c r="K92" s="154">
        <v>2.7000000000000001E-3</v>
      </c>
      <c r="L92" s="154">
        <v>3.5000000000000001E-3</v>
      </c>
      <c r="M92" s="154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55">
        <f ca="1"/>
        <v>5.5804003710946404E-4</v>
      </c>
      <c r="P92" s="155">
        <f ca="1"/>
        <v>1.2420622443276574E-3</v>
      </c>
      <c r="Q92" s="155">
        <f ca="1"/>
        <v>4.1693301398034732E-3</v>
      </c>
      <c r="R92" s="155">
        <f ca="1"/>
        <v>8.8095516897865878E-3</v>
      </c>
      <c r="S92" s="155">
        <f ca="1"/>
        <v>0</v>
      </c>
      <c r="T92" s="155">
        <f ca="1"/>
        <v>2.3226116581695044E-2</v>
      </c>
      <c r="U92" s="155">
        <f ca="1"/>
        <v>4.1986142293107154E-2</v>
      </c>
      <c r="V92" s="138">
        <f ca="1"/>
        <v>7.8451918598546388E-2</v>
      </c>
      <c r="W92" s="137">
        <f ca="1"/>
        <v>0</v>
      </c>
      <c r="X92" s="155">
        <f ca="1"/>
        <v>6.5101587709581743E-4</v>
      </c>
      <c r="Y92" s="155">
        <f ca="1"/>
        <v>1.4085080297483454E-3</v>
      </c>
      <c r="Z92" s="155">
        <f ca="1"/>
        <v>4.5012183786501403E-3</v>
      </c>
      <c r="AA92" s="155">
        <f ca="1"/>
        <v>9.3050230357887287E-3</v>
      </c>
      <c r="AB92" s="155">
        <f ca="1"/>
        <v>0</v>
      </c>
      <c r="AC92" s="155">
        <f ca="1"/>
        <v>2.4060349854587382E-2</v>
      </c>
      <c r="AD92" s="155">
        <f ca="1"/>
        <v>4.3130194930539267E-2</v>
      </c>
      <c r="AE92" s="138">
        <f ca="1"/>
        <v>8.0020103862983749E-2</v>
      </c>
      <c r="AG92" s="454"/>
      <c r="AH92" s="456"/>
      <c r="AI92" s="455"/>
      <c r="AJ92" s="457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4">
        <v>8.9999999999999998E-4</v>
      </c>
      <c r="G93" s="154">
        <v>2.3999999999999998E-3</v>
      </c>
      <c r="H93" s="154">
        <v>3.5000000000000001E-3</v>
      </c>
      <c r="I93" s="154">
        <v>4.4999999999999997E-3</v>
      </c>
      <c r="J93" s="154" t="s">
        <v>87</v>
      </c>
      <c r="K93" s="154">
        <v>6.7999999999999996E-3</v>
      </c>
      <c r="L93" s="154">
        <v>8.2000000000000007E-3</v>
      </c>
      <c r="M93" s="154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55">
        <f ca="1"/>
        <v>8.3694326804184538E-4</v>
      </c>
      <c r="P93" s="155">
        <f ca="1"/>
        <v>4.2739271774636656E-3</v>
      </c>
      <c r="Q93" s="155">
        <f ca="1"/>
        <v>1.2123049571844513E-2</v>
      </c>
      <c r="R93" s="155">
        <f ca="1"/>
        <v>2.3147414493462581E-2</v>
      </c>
      <c r="S93" s="155">
        <f ca="1"/>
        <v>0</v>
      </c>
      <c r="T93" s="155">
        <f ca="1"/>
        <v>5.7634630839085821E-2</v>
      </c>
      <c r="U93" s="155">
        <f ca="1"/>
        <v>9.5835538067300163E-2</v>
      </c>
      <c r="V93" s="138">
        <f ca="1"/>
        <v>0.16149146883689935</v>
      </c>
      <c r="W93" s="137">
        <f ca="1"/>
        <v>0</v>
      </c>
      <c r="X93" s="155">
        <f ca="1"/>
        <v>9.2989251347452839E-4</v>
      </c>
      <c r="Y93" s="155">
        <f ca="1"/>
        <v>4.4398676941669324E-3</v>
      </c>
      <c r="Z93" s="155">
        <f ca="1"/>
        <v>1.2452287012679975E-2</v>
      </c>
      <c r="AA93" s="155">
        <f ca="1"/>
        <v>2.3635718699997921E-2</v>
      </c>
      <c r="AB93" s="155">
        <f ca="1"/>
        <v>0</v>
      </c>
      <c r="AC93" s="155">
        <f ca="1"/>
        <v>5.8419608194030137E-2</v>
      </c>
      <c r="AD93" s="155">
        <f ca="1"/>
        <v>9.6916372138231788E-2</v>
      </c>
      <c r="AE93" s="138">
        <f ca="1"/>
        <v>0.16294659218287377</v>
      </c>
      <c r="AG93" s="454"/>
      <c r="AH93" s="456"/>
      <c r="AI93" s="455"/>
      <c r="AJ93" s="457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4">
        <v>6.9999999999999999E-4</v>
      </c>
      <c r="G94" s="154">
        <v>1E-3</v>
      </c>
      <c r="H94" s="154">
        <v>2E-3</v>
      </c>
      <c r="I94" s="154">
        <v>3.0999999999999999E-3</v>
      </c>
      <c r="J94" s="154" t="s">
        <v>87</v>
      </c>
      <c r="K94" s="154">
        <v>4.7999999999999996E-3</v>
      </c>
      <c r="L94" s="154">
        <v>5.8999999999999999E-3</v>
      </c>
      <c r="M94" s="154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55">
        <f ca="1"/>
        <v>6.5101642887865907E-4</v>
      </c>
      <c r="P94" s="155">
        <f ca="1"/>
        <v>1.7766591472427873E-3</v>
      </c>
      <c r="Q94" s="155">
        <f ca="1"/>
        <v>6.9540649089502304E-3</v>
      </c>
      <c r="R94" s="155">
        <f ca="1"/>
        <v>1.6062637080415554E-2</v>
      </c>
      <c r="S94" s="155">
        <f ca="1"/>
        <v>0</v>
      </c>
      <c r="T94" s="155">
        <f ca="1"/>
        <v>4.1044695508083096E-2</v>
      </c>
      <c r="U94" s="155">
        <f ca="1"/>
        <v>6.9864166061188615E-2</v>
      </c>
      <c r="V94" s="138">
        <f ca="1"/>
        <v>0.1216047441610183</v>
      </c>
      <c r="W94" s="137">
        <f ca="1"/>
        <v>0</v>
      </c>
      <c r="X94" s="155">
        <f ca="1"/>
        <v>7.4398343160742009E-4</v>
      </c>
      <c r="Y94" s="155">
        <f ca="1"/>
        <v>1.9430158406077425E-3</v>
      </c>
      <c r="Z94" s="155">
        <f ca="1"/>
        <v>7.2850250575685616E-3</v>
      </c>
      <c r="AA94" s="155">
        <f ca="1"/>
        <v>1.6554482790216096E-2</v>
      </c>
      <c r="AB94" s="155">
        <f ca="1"/>
        <v>0</v>
      </c>
      <c r="AC94" s="155">
        <f ca="1"/>
        <v>4.1863945644744827E-2</v>
      </c>
      <c r="AD94" s="155">
        <f ca="1"/>
        <v>7.0976133954524401E-2</v>
      </c>
      <c r="AE94" s="138">
        <f ca="1"/>
        <v>0.12311930928503934</v>
      </c>
      <c r="AG94" s="454"/>
      <c r="AH94" s="456"/>
      <c r="AI94" s="455"/>
      <c r="AJ94" s="457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4">
        <v>5.0000000000000001E-4</v>
      </c>
      <c r="G95" s="154">
        <v>5.9999999999999995E-4</v>
      </c>
      <c r="H95" s="154">
        <v>1.4E-3</v>
      </c>
      <c r="I95" s="154">
        <v>1.9E-3</v>
      </c>
      <c r="J95" s="154" t="s">
        <v>87</v>
      </c>
      <c r="K95" s="154">
        <v>3.0000000000000001E-3</v>
      </c>
      <c r="L95" s="154">
        <v>3.8E-3</v>
      </c>
      <c r="M95" s="154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55">
        <f ca="1"/>
        <v>4.6505499562699004E-4</v>
      </c>
      <c r="P95" s="155">
        <f ca="1"/>
        <v>1.0649548260907027E-3</v>
      </c>
      <c r="Q95" s="155">
        <f ca="1"/>
        <v>4.8754797168920616E-3</v>
      </c>
      <c r="R95" s="155">
        <f ca="1"/>
        <v>9.8472051366030877E-3</v>
      </c>
      <c r="S95" s="155">
        <f ca="1"/>
        <v>0</v>
      </c>
      <c r="T95" s="155">
        <f ca="1"/>
        <v>2.5784828167540685E-2</v>
      </c>
      <c r="U95" s="155">
        <f ca="1"/>
        <v>4.5476499359134115E-2</v>
      </c>
      <c r="V95" s="138">
        <f ca="1"/>
        <v>8.5020736797667307E-2</v>
      </c>
      <c r="W95" s="137">
        <f ca="1"/>
        <v>0</v>
      </c>
      <c r="X95" s="155">
        <f ca="1"/>
        <v>5.5803964578249321E-4</v>
      </c>
      <c r="Y95" s="155">
        <f ca="1"/>
        <v>1.2314301269625849E-3</v>
      </c>
      <c r="Z95" s="155">
        <f ca="1"/>
        <v>5.2071326117818506E-3</v>
      </c>
      <c r="AA95" s="155">
        <f ca="1"/>
        <v>1.0342157785549477E-2</v>
      </c>
      <c r="AB95" s="155">
        <f ca="1"/>
        <v>0</v>
      </c>
      <c r="AC95" s="155">
        <f ca="1"/>
        <v>2.6616998669637959E-2</v>
      </c>
      <c r="AD95" s="155">
        <f ca="1"/>
        <v>4.6616532691694856E-2</v>
      </c>
      <c r="AE95" s="138">
        <f ca="1"/>
        <v>8.6576813432760025E-2</v>
      </c>
      <c r="AG95" s="454"/>
      <c r="AH95" s="456"/>
      <c r="AI95" s="455"/>
      <c r="AJ95" s="457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4">
        <v>8.9999999999999998E-4</v>
      </c>
      <c r="G96" s="154">
        <v>8.9999999999999998E-4</v>
      </c>
      <c r="H96" s="154">
        <v>1.8E-3</v>
      </c>
      <c r="I96" s="154">
        <v>2.3E-3</v>
      </c>
      <c r="J96" s="154" t="s">
        <v>87</v>
      </c>
      <c r="K96" s="154">
        <v>3.7000000000000002E-3</v>
      </c>
      <c r="L96" s="154">
        <v>4.3E-3</v>
      </c>
      <c r="M96" s="154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55">
        <f ca="1"/>
        <v>8.3694326804184538E-4</v>
      </c>
      <c r="P96" s="155">
        <f ca="1"/>
        <v>1.5944595646587567E-3</v>
      </c>
      <c r="Q96" s="155">
        <f ca="1"/>
        <v>6.255374409511405E-3</v>
      </c>
      <c r="R96" s="155">
        <f ca="1"/>
        <v>1.1887661768570479E-2</v>
      </c>
      <c r="S96" s="155">
        <f ca="1"/>
        <v>0</v>
      </c>
      <c r="T96" s="155">
        <f ca="1"/>
        <v>3.1723471093874633E-2</v>
      </c>
      <c r="U96" s="155">
        <f ca="1"/>
        <v>5.1103738750401972E-2</v>
      </c>
      <c r="V96" s="138">
        <f ca="1"/>
        <v>8.9238925987210282E-2</v>
      </c>
      <c r="W96" s="137">
        <f ca="1"/>
        <v>0</v>
      </c>
      <c r="X96" s="155">
        <f ca="1"/>
        <v>9.2989251347452839E-4</v>
      </c>
      <c r="Y96" s="155">
        <f ca="1"/>
        <v>1.7608466221001873E-3</v>
      </c>
      <c r="Z96" s="155">
        <f ca="1"/>
        <v>6.586567416132727E-3</v>
      </c>
      <c r="AA96" s="155">
        <f ca="1"/>
        <v>1.2381594444224375E-2</v>
      </c>
      <c r="AB96" s="155">
        <f ca="1"/>
        <v>0</v>
      </c>
      <c r="AC96" s="155">
        <f ca="1"/>
        <v>3.2550608833279759E-2</v>
      </c>
      <c r="AD96" s="155">
        <f ca="1"/>
        <v>5.2236757365233921E-2</v>
      </c>
      <c r="AE96" s="138">
        <f ca="1"/>
        <v>9.0785985793591206E-2</v>
      </c>
      <c r="AG96" s="454"/>
      <c r="AH96" s="456"/>
      <c r="AI96" s="455"/>
      <c r="AJ96" s="457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4">
        <v>6.9999999999999999E-4</v>
      </c>
      <c r="G97" s="154">
        <v>1.6999999999999999E-3</v>
      </c>
      <c r="H97" s="154">
        <v>2.7000000000000001E-3</v>
      </c>
      <c r="I97" s="154">
        <v>3.5000000000000001E-3</v>
      </c>
      <c r="J97" s="154" t="s">
        <v>87</v>
      </c>
      <c r="K97" s="154">
        <v>4.7999999999999996E-3</v>
      </c>
      <c r="L97" s="154">
        <v>5.7000000000000002E-3</v>
      </c>
      <c r="M97" s="154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55">
        <f ca="1"/>
        <v>6.5101642887865907E-4</v>
      </c>
      <c r="P97" s="155">
        <f ca="1"/>
        <v>3.0275084364738136E-3</v>
      </c>
      <c r="Q97" s="155">
        <f ca="1"/>
        <v>9.3687725877679151E-3</v>
      </c>
      <c r="R97" s="155">
        <f ca="1"/>
        <v>1.8049393556694882E-2</v>
      </c>
      <c r="S97" s="155">
        <f ca="1"/>
        <v>0</v>
      </c>
      <c r="T97" s="155">
        <f ca="1"/>
        <v>4.0828718589213775E-2</v>
      </c>
      <c r="U97" s="155">
        <f ca="1"/>
        <v>6.7201179669957201E-2</v>
      </c>
      <c r="V97" s="138">
        <f ca="1"/>
        <v>0.11290739981709574</v>
      </c>
      <c r="W97" s="137">
        <f ca="1"/>
        <v>0</v>
      </c>
      <c r="X97" s="155">
        <f ca="1"/>
        <v>7.4398343160742009E-4</v>
      </c>
      <c r="Y97" s="155">
        <f ca="1"/>
        <v>3.1936566723339554E-3</v>
      </c>
      <c r="Z97" s="155">
        <f ca="1"/>
        <v>9.6989279679383644E-3</v>
      </c>
      <c r="AA97" s="155">
        <f ca="1"/>
        <v>1.8540246136555028E-2</v>
      </c>
      <c r="AB97" s="155">
        <f ca="1"/>
        <v>0</v>
      </c>
      <c r="AC97" s="155">
        <f ca="1"/>
        <v>4.1647549265428019E-2</v>
      </c>
      <c r="AD97" s="155">
        <f ca="1"/>
        <v>6.8314900721030969E-2</v>
      </c>
      <c r="AE97" s="138">
        <f ca="1"/>
        <v>0.11443108567447247</v>
      </c>
      <c r="AG97" s="454"/>
      <c r="AH97" s="456"/>
      <c r="AI97" s="455"/>
      <c r="AJ97" s="457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4">
        <v>2.9999999999999997E-4</v>
      </c>
      <c r="G98" s="154">
        <v>5.0000000000000001E-4</v>
      </c>
      <c r="H98" s="154">
        <v>8.9999999999999998E-4</v>
      </c>
      <c r="I98" s="154">
        <v>1.2999999999999999E-3</v>
      </c>
      <c r="J98" s="154" t="s">
        <v>87</v>
      </c>
      <c r="K98" s="154">
        <v>2.0999999999999999E-3</v>
      </c>
      <c r="L98" s="154">
        <v>2.7000000000000001E-3</v>
      </c>
      <c r="M98" s="154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55">
        <f ca="1"/>
        <v>2.7905895862256891E-4</v>
      </c>
      <c r="P98" s="155">
        <f ca="1"/>
        <v>8.8950690353517547E-4</v>
      </c>
      <c r="Q98" s="155">
        <f ca="1"/>
        <v>3.1318488539382461E-3</v>
      </c>
      <c r="R98" s="155">
        <f ca="1"/>
        <v>6.7477296865081637E-3</v>
      </c>
      <c r="S98" s="155">
        <f ca="1"/>
        <v>0</v>
      </c>
      <c r="T98" s="155">
        <f ca="1"/>
        <v>1.8110742472247976E-2</v>
      </c>
      <c r="U98" s="155">
        <f ca="1"/>
        <v>3.2501751559077974E-2</v>
      </c>
      <c r="V98" s="138">
        <f ca="1"/>
        <v>5.8238461602633129E-2</v>
      </c>
      <c r="W98" s="137">
        <f ca="1"/>
        <v>0</v>
      </c>
      <c r="X98" s="155">
        <f ca="1"/>
        <v>3.7206114936716439E-4</v>
      </c>
      <c r="Y98" s="155">
        <f ca="1"/>
        <v>1.0560114432898171E-3</v>
      </c>
      <c r="Z98" s="155">
        <f ca="1"/>
        <v>3.4640828622398701E-3</v>
      </c>
      <c r="AA98" s="155">
        <f ca="1"/>
        <v>7.2442316858342126E-3</v>
      </c>
      <c r="AB98" s="155">
        <f ca="1"/>
        <v>0</v>
      </c>
      <c r="AC98" s="155">
        <f ca="1"/>
        <v>1.8949093377563342E-2</v>
      </c>
      <c r="AD98" s="155">
        <f ca="1"/>
        <v>3.3656143872612732E-2</v>
      </c>
      <c r="AE98" s="138">
        <f ca="1"/>
        <v>5.9841058630086263E-2</v>
      </c>
      <c r="AG98" s="454"/>
      <c r="AH98" s="456"/>
      <c r="AI98" s="455"/>
      <c r="AJ98" s="457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4">
        <v>1.65E-3</v>
      </c>
      <c r="G99" s="154">
        <v>2.5300000000000001E-3</v>
      </c>
      <c r="H99" s="154">
        <v>3.2299999999999998E-3</v>
      </c>
      <c r="I99" s="154">
        <v>3.5400000000000002E-3</v>
      </c>
      <c r="J99" s="154" t="s">
        <v>87</v>
      </c>
      <c r="K99" s="154">
        <v>4.1999999999999997E-3</v>
      </c>
      <c r="L99" s="154">
        <v>4.5999999999999999E-3</v>
      </c>
      <c r="M99" s="154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55">
        <f ca="1"/>
        <v>1.5338609761123001E-3</v>
      </c>
      <c r="P99" s="155">
        <f ca="1"/>
        <v>4.4920611665246746E-3</v>
      </c>
      <c r="Q99" s="155">
        <f ca="1"/>
        <v>1.1161877087716654E-2</v>
      </c>
      <c r="R99" s="155">
        <f ca="1"/>
        <v>1.8143825486639065E-2</v>
      </c>
      <c r="S99" s="155">
        <f ca="1"/>
        <v>0</v>
      </c>
      <c r="T99" s="155">
        <f ca="1"/>
        <v>3.5511793296383987E-2</v>
      </c>
      <c r="U99" s="155">
        <f ca="1"/>
        <v>5.3959568804628266E-2</v>
      </c>
      <c r="V99" s="138">
        <f ca="1"/>
        <v>8.2774072892819017E-2</v>
      </c>
      <c r="W99" s="137">
        <f ca="1"/>
        <v>0</v>
      </c>
      <c r="X99" s="155">
        <f ca="1"/>
        <v>1.6267426001351781E-3</v>
      </c>
      <c r="Y99" s="155">
        <f ca="1"/>
        <v>4.6579653305909297E-3</v>
      </c>
      <c r="Z99" s="155">
        <f ca="1"/>
        <v>1.1491434865996464E-2</v>
      </c>
      <c r="AA99" s="155">
        <f ca="1"/>
        <v>1.863463086232231E-2</v>
      </c>
      <c r="AB99" s="155">
        <f ca="1"/>
        <v>0</v>
      </c>
      <c r="AC99" s="155">
        <f ca="1"/>
        <v>3.633424728740553E-2</v>
      </c>
      <c r="AD99" s="155">
        <f ca="1"/>
        <v>5.5086377308666279E-2</v>
      </c>
      <c r="AE99" s="138">
        <f ca="1"/>
        <v>8.4328362916499588E-2</v>
      </c>
      <c r="AG99" s="454"/>
      <c r="AH99" s="456"/>
      <c r="AI99" s="455"/>
      <c r="AJ99" s="457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4">
        <v>4.0000000000000002E-4</v>
      </c>
      <c r="G100" s="154">
        <v>6.9999999999999999E-4</v>
      </c>
      <c r="H100" s="154">
        <v>1.1999999999999999E-3</v>
      </c>
      <c r="I100" s="154">
        <v>1.4E-3</v>
      </c>
      <c r="J100" s="154" t="s">
        <v>87</v>
      </c>
      <c r="K100" s="154">
        <v>2.0999999999999999E-3</v>
      </c>
      <c r="L100" s="154">
        <v>2.5000000000000001E-3</v>
      </c>
      <c r="M100" s="154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55">
        <f ca="1"/>
        <v>3.7206130320088793E-4</v>
      </c>
      <c r="P100" s="155">
        <f ca="1"/>
        <v>1.2454766991428778E-3</v>
      </c>
      <c r="Q100" s="155">
        <f ca="1"/>
        <v>4.17282171915212E-3</v>
      </c>
      <c r="R100" s="155">
        <f ca="1"/>
        <v>7.2347951633826568E-3</v>
      </c>
      <c r="S100" s="155">
        <f ca="1"/>
        <v>0</v>
      </c>
      <c r="T100" s="155">
        <f ca="1"/>
        <v>1.8048096602917174E-2</v>
      </c>
      <c r="U100" s="155">
        <f ca="1"/>
        <v>2.994855215755543E-2</v>
      </c>
      <c r="V100" s="138">
        <f ca="1"/>
        <v>5.11623821038385E-2</v>
      </c>
      <c r="W100" s="137">
        <f ca="1"/>
        <v>0</v>
      </c>
      <c r="X100" s="155">
        <f ca="1"/>
        <v>4.6505473678803977E-4</v>
      </c>
      <c r="Y100" s="155">
        <f ca="1"/>
        <v>1.4119219155342977E-3</v>
      </c>
      <c r="Z100" s="155">
        <f ca="1"/>
        <v>4.5047087943315134E-3</v>
      </c>
      <c r="AA100" s="155">
        <f ca="1"/>
        <v>7.7310536908179461E-3</v>
      </c>
      <c r="AB100" s="155">
        <f ca="1"/>
        <v>0</v>
      </c>
      <c r="AC100" s="155">
        <f ca="1"/>
        <v>1.8886171046680444E-2</v>
      </c>
      <c r="AD100" s="155">
        <f ca="1"/>
        <v>3.1104810847312092E-2</v>
      </c>
      <c r="AE100" s="138">
        <f ca="1"/>
        <v>5.2775051439579834E-2</v>
      </c>
      <c r="AG100" s="454"/>
      <c r="AH100" s="456"/>
      <c r="AI100" s="455"/>
      <c r="AJ100" s="457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4">
        <v>5.9999999999999995E-4</v>
      </c>
      <c r="G101" s="154">
        <v>1.5E-3</v>
      </c>
      <c r="H101" s="154">
        <v>2.3E-3</v>
      </c>
      <c r="I101" s="154">
        <v>3.3999999999999998E-3</v>
      </c>
      <c r="J101" s="154" t="s">
        <v>87</v>
      </c>
      <c r="K101" s="154">
        <v>5.3E-3</v>
      </c>
      <c r="L101" s="154">
        <v>6.6E-3</v>
      </c>
      <c r="M101" s="154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55">
        <f ca="1"/>
        <v>5.5804003710946404E-4</v>
      </c>
      <c r="P101" s="155">
        <f ca="1"/>
        <v>2.6719711221631082E-3</v>
      </c>
      <c r="Q101" s="155">
        <f ca="1"/>
        <v>7.9826500398360034E-3</v>
      </c>
      <c r="R101" s="155">
        <f ca="1"/>
        <v>1.7580911970764168E-2</v>
      </c>
      <c r="S101" s="155">
        <f ca="1"/>
        <v>0</v>
      </c>
      <c r="T101" s="155">
        <f ca="1"/>
        <v>4.523115685301593E-2</v>
      </c>
      <c r="U101" s="155">
        <f ca="1"/>
        <v>7.7949924525147152E-2</v>
      </c>
      <c r="V101" s="138">
        <f ca="1"/>
        <v>0.13590058694851925</v>
      </c>
      <c r="W101" s="137">
        <f ca="1"/>
        <v>0</v>
      </c>
      <c r="X101" s="155">
        <f ca="1"/>
        <v>6.5101587709581743E-4</v>
      </c>
      <c r="Y101" s="155">
        <f ca="1"/>
        <v>2.8381786093024663E-3</v>
      </c>
      <c r="Z101" s="155">
        <f ca="1"/>
        <v>8.3132673838615112E-3</v>
      </c>
      <c r="AA101" s="155">
        <f ca="1"/>
        <v>1.8071998732862804E-2</v>
      </c>
      <c r="AB101" s="155">
        <f ca="1"/>
        <v>0</v>
      </c>
      <c r="AC101" s="155">
        <f ca="1"/>
        <v>4.6046463052442421E-2</v>
      </c>
      <c r="AD101" s="155">
        <f ca="1"/>
        <v>7.9052185047551293E-2</v>
      </c>
      <c r="AE101" s="138">
        <f ca="1"/>
        <v>0.13739478374389613</v>
      </c>
      <c r="AG101" s="454"/>
      <c r="AH101" s="456"/>
      <c r="AI101" s="455"/>
      <c r="AJ101" s="457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4">
        <v>4.0000000000000002E-4</v>
      </c>
      <c r="G102" s="154">
        <v>5.0000000000000001E-4</v>
      </c>
      <c r="H102" s="154">
        <v>8.9999999999999998E-4</v>
      </c>
      <c r="I102" s="154">
        <v>1.1999999999999999E-3</v>
      </c>
      <c r="J102" s="154" t="s">
        <v>87</v>
      </c>
      <c r="K102" s="154">
        <v>2E-3</v>
      </c>
      <c r="L102" s="154">
        <v>2.5000000000000001E-3</v>
      </c>
      <c r="M102" s="154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55">
        <f ca="1"/>
        <v>3.7206130320088793E-4</v>
      </c>
      <c r="P102" s="155">
        <f ca="1"/>
        <v>8.8781598165987852E-4</v>
      </c>
      <c r="Q102" s="155">
        <f ca="1"/>
        <v>3.1301268310327535E-3</v>
      </c>
      <c r="R102" s="155">
        <f ca="1"/>
        <v>6.2193849879695895E-3</v>
      </c>
      <c r="S102" s="155">
        <f ca="1"/>
        <v>0</v>
      </c>
      <c r="T102" s="155">
        <f ca="1"/>
        <v>1.7254351517723032E-2</v>
      </c>
      <c r="U102" s="155">
        <f ca="1"/>
        <v>3.0082364991195432E-2</v>
      </c>
      <c r="V102" s="138">
        <f ca="1"/>
        <v>5.6709760950243937E-2</v>
      </c>
      <c r="W102" s="137">
        <f ca="1"/>
        <v>0</v>
      </c>
      <c r="X102" s="155">
        <f ca="1"/>
        <v>4.6505473678803977E-4</v>
      </c>
      <c r="Y102" s="155">
        <f ca="1"/>
        <v>1.0543208032058882E-3</v>
      </c>
      <c r="Z102" s="155">
        <f ca="1"/>
        <v>3.4623614132652802E-3</v>
      </c>
      <c r="AA102" s="155">
        <f ca="1"/>
        <v>6.716151093599354E-3</v>
      </c>
      <c r="AB102" s="155">
        <f ca="1"/>
        <v>0</v>
      </c>
      <c r="AC102" s="155">
        <f ca="1"/>
        <v>1.8093356105677638E-2</v>
      </c>
      <c r="AD102" s="155">
        <f ca="1"/>
        <v>3.1239183965570905E-2</v>
      </c>
      <c r="AE102" s="138">
        <f ca="1"/>
        <v>5.8315074096689345E-2</v>
      </c>
      <c r="AG102" s="454"/>
      <c r="AH102" s="456"/>
      <c r="AI102" s="455"/>
      <c r="AJ102" s="457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4">
        <v>5.0000000000000001E-4</v>
      </c>
      <c r="G103" s="154">
        <v>5.0000000000000001E-4</v>
      </c>
      <c r="H103" s="154">
        <v>8.9999999999999998E-4</v>
      </c>
      <c r="I103" s="154">
        <v>1.2999999999999999E-3</v>
      </c>
      <c r="J103" s="154" t="s">
        <v>87</v>
      </c>
      <c r="K103" s="154">
        <v>2E-3</v>
      </c>
      <c r="L103" s="154">
        <v>2.5000000000000001E-3</v>
      </c>
      <c r="M103" s="154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55">
        <f ca="1"/>
        <v>4.6505499562699004E-4</v>
      </c>
      <c r="P103" s="155">
        <f ca="1"/>
        <v>8.861251903584666E-4</v>
      </c>
      <c r="Q103" s="155">
        <f ca="1"/>
        <v>3.1284049153029736E-3</v>
      </c>
      <c r="R103" s="155">
        <f ca="1"/>
        <v>6.7442263493121546E-3</v>
      </c>
      <c r="S103" s="155">
        <f ca="1"/>
        <v>0</v>
      </c>
      <c r="T103" s="155">
        <f ca="1"/>
        <v>1.7230848485186301E-2</v>
      </c>
      <c r="U103" s="155">
        <f ca="1"/>
        <v>3.0058384714369613E-2</v>
      </c>
      <c r="V103" s="138">
        <f ca="1"/>
        <v>4.7661859320709876E-2</v>
      </c>
      <c r="W103" s="137">
        <f ca="1"/>
        <v>0</v>
      </c>
      <c r="X103" s="155">
        <f ca="1"/>
        <v>5.5803964578249321E-4</v>
      </c>
      <c r="Y103" s="155">
        <f ca="1"/>
        <v>1.0526302936837428E-3</v>
      </c>
      <c r="Z103" s="155">
        <f ca="1"/>
        <v>3.4606400714001229E-3</v>
      </c>
      <c r="AA103" s="155">
        <f ca="1"/>
        <v>7.2407300998433843E-3</v>
      </c>
      <c r="AB103" s="155">
        <f ca="1"/>
        <v>0</v>
      </c>
      <c r="AC103" s="155">
        <f ca="1"/>
        <v>1.8069778395644276E-2</v>
      </c>
      <c r="AD103" s="155">
        <f ca="1"/>
        <v>3.1215084141382854E-2</v>
      </c>
      <c r="AE103" s="138">
        <f ca="1"/>
        <v>4.9280024618853502E-2</v>
      </c>
      <c r="AG103" s="454"/>
      <c r="AH103" s="456"/>
      <c r="AI103" s="455"/>
      <c r="AJ103" s="457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4">
        <v>2.9999999999999997E-4</v>
      </c>
      <c r="G104" s="154">
        <v>1.1000000000000001E-3</v>
      </c>
      <c r="H104" s="154">
        <v>1.5E-3</v>
      </c>
      <c r="I104" s="154">
        <v>2E-3</v>
      </c>
      <c r="J104" s="154" t="s">
        <v>87</v>
      </c>
      <c r="K104" s="154">
        <v>2.8999999999999998E-3</v>
      </c>
      <c r="L104" s="154">
        <v>3.5999999999999999E-3</v>
      </c>
      <c r="M104" s="154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55">
        <f ca="1"/>
        <v>2.7905895862256891E-4</v>
      </c>
      <c r="P104" s="155">
        <f ca="1"/>
        <v>1.9623579162451055E-3</v>
      </c>
      <c r="Q104" s="155">
        <f ca="1"/>
        <v>5.2081041541578443E-3</v>
      </c>
      <c r="R104" s="155">
        <f ca="1"/>
        <v>1.0344877554731235E-2</v>
      </c>
      <c r="S104" s="155">
        <f ca="1"/>
        <v>0</v>
      </c>
      <c r="T104" s="155">
        <f ca="1"/>
        <v>2.4860286274200782E-2</v>
      </c>
      <c r="U104" s="155">
        <f ca="1"/>
        <v>4.300300692121295E-2</v>
      </c>
      <c r="V104" s="138">
        <f ca="1"/>
        <v>7.6335358818028887E-2</v>
      </c>
      <c r="W104" s="137">
        <f ca="1"/>
        <v>0</v>
      </c>
      <c r="X104" s="155">
        <f ca="1"/>
        <v>3.7206114936716439E-4</v>
      </c>
      <c r="Y104" s="155">
        <f ca="1"/>
        <v>2.1286836623901628E-3</v>
      </c>
      <c r="Z104" s="155">
        <f ca="1"/>
        <v>5.5396461926924268E-3</v>
      </c>
      <c r="AA104" s="155">
        <f ca="1"/>
        <v>1.0839581429685996E-2</v>
      </c>
      <c r="AB104" s="155">
        <f ca="1"/>
        <v>0</v>
      </c>
      <c r="AC104" s="155">
        <f ca="1"/>
        <v>2.5692910677243552E-2</v>
      </c>
      <c r="AD104" s="155">
        <f ca="1"/>
        <v>4.4145210078562203E-2</v>
      </c>
      <c r="AE104" s="138">
        <f ca="1"/>
        <v>7.7906134115715675E-2</v>
      </c>
      <c r="AG104" s="454"/>
      <c r="AH104" s="456"/>
      <c r="AI104" s="455"/>
      <c r="AJ104" s="457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4">
        <v>2.9999999999999997E-4</v>
      </c>
      <c r="G105" s="154">
        <v>5.0000000000000001E-4</v>
      </c>
      <c r="H105" s="154">
        <v>8.9999999999999998E-4</v>
      </c>
      <c r="I105" s="154">
        <v>1.2999999999999999E-3</v>
      </c>
      <c r="J105" s="154" t="s">
        <v>87</v>
      </c>
      <c r="K105" s="154">
        <v>2.0999999999999999E-3</v>
      </c>
      <c r="L105" s="154">
        <v>2.7000000000000001E-3</v>
      </c>
      <c r="M105" s="154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55">
        <f ca="1"/>
        <v>2.7905895862256891E-4</v>
      </c>
      <c r="P105" s="155">
        <f ca="1"/>
        <v>8.8950690353517547E-4</v>
      </c>
      <c r="Q105" s="155">
        <f ca="1"/>
        <v>3.1318488539382461E-3</v>
      </c>
      <c r="R105" s="155">
        <f ca="1"/>
        <v>6.7477296865081637E-3</v>
      </c>
      <c r="S105" s="155">
        <f ca="1"/>
        <v>0</v>
      </c>
      <c r="T105" s="155">
        <f ca="1"/>
        <v>1.8110742472247976E-2</v>
      </c>
      <c r="U105" s="155">
        <f ca="1"/>
        <v>3.2501751559077974E-2</v>
      </c>
      <c r="V105" s="138">
        <f ca="1"/>
        <v>5.8238461602633129E-2</v>
      </c>
      <c r="W105" s="137">
        <f ca="1"/>
        <v>0</v>
      </c>
      <c r="X105" s="155">
        <f ca="1"/>
        <v>3.7206114936716439E-4</v>
      </c>
      <c r="Y105" s="155">
        <f ca="1"/>
        <v>1.0560114432898171E-3</v>
      </c>
      <c r="Z105" s="155">
        <f ca="1"/>
        <v>3.4640828622398701E-3</v>
      </c>
      <c r="AA105" s="155">
        <f ca="1"/>
        <v>7.2442316858342126E-3</v>
      </c>
      <c r="AB105" s="155">
        <f ca="1"/>
        <v>0</v>
      </c>
      <c r="AC105" s="155">
        <f ca="1"/>
        <v>1.8949093377563342E-2</v>
      </c>
      <c r="AD105" s="155">
        <f ca="1"/>
        <v>3.3656143872612732E-2</v>
      </c>
      <c r="AE105" s="138">
        <f ca="1"/>
        <v>5.9841058630086263E-2</v>
      </c>
      <c r="AG105" s="454"/>
      <c r="AH105" s="456"/>
      <c r="AI105" s="455"/>
      <c r="AJ105" s="457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4">
        <v>8.9999999999999998E-4</v>
      </c>
      <c r="G106" s="154">
        <v>8.9999999999999998E-4</v>
      </c>
      <c r="H106" s="154">
        <v>1.8E-3</v>
      </c>
      <c r="I106" s="154">
        <v>2.5999999999999999E-3</v>
      </c>
      <c r="J106" s="154" t="s">
        <v>87</v>
      </c>
      <c r="K106" s="154">
        <v>4.3E-3</v>
      </c>
      <c r="L106" s="154">
        <v>5.4000000000000003E-3</v>
      </c>
      <c r="M106" s="154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55">
        <f ca="1"/>
        <v>8.3694326804184538E-4</v>
      </c>
      <c r="P106" s="155">
        <f ca="1"/>
        <v>1.5944595646587567E-3</v>
      </c>
      <c r="Q106" s="155">
        <f ca="1"/>
        <v>6.255374409511405E-3</v>
      </c>
      <c r="R106" s="155">
        <f ca="1"/>
        <v>1.3462295185912798E-2</v>
      </c>
      <c r="S106" s="155">
        <f ca="1"/>
        <v>0</v>
      </c>
      <c r="T106" s="155">
        <f ca="1"/>
        <v>3.6861622409441464E-2</v>
      </c>
      <c r="U106" s="155">
        <f ca="1"/>
        <v>6.419814649130573E-2</v>
      </c>
      <c r="V106" s="138">
        <f ca="1"/>
        <v>0.1069576482862189</v>
      </c>
      <c r="W106" s="137">
        <f ca="1"/>
        <v>0</v>
      </c>
      <c r="X106" s="155">
        <f ca="1"/>
        <v>9.2989251347452839E-4</v>
      </c>
      <c r="Y106" s="155">
        <f ca="1"/>
        <v>1.7608466221001873E-3</v>
      </c>
      <c r="Z106" s="155">
        <f ca="1"/>
        <v>6.586567416132727E-3</v>
      </c>
      <c r="AA106" s="155">
        <f ca="1"/>
        <v>1.3955440741641345E-2</v>
      </c>
      <c r="AB106" s="155">
        <f ca="1"/>
        <v>0</v>
      </c>
      <c r="AC106" s="155">
        <f ca="1"/>
        <v>3.768454696144341E-2</v>
      </c>
      <c r="AD106" s="155">
        <f ca="1"/>
        <v>6.5317094699882339E-2</v>
      </c>
      <c r="AE106" s="138">
        <f ca="1"/>
        <v>0.10847384986438136</v>
      </c>
      <c r="AG106" s="454"/>
      <c r="AH106" s="456"/>
      <c r="AI106" s="455"/>
      <c r="AJ106" s="457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4">
        <v>2.9999999999999997E-4</v>
      </c>
      <c r="G107" s="154">
        <v>5.0000000000000001E-4</v>
      </c>
      <c r="H107" s="154">
        <v>1.1999999999999999E-3</v>
      </c>
      <c r="I107" s="154">
        <v>1.6000000000000001E-3</v>
      </c>
      <c r="J107" s="154" t="s">
        <v>87</v>
      </c>
      <c r="K107" s="154">
        <v>2.5999999999999999E-3</v>
      </c>
      <c r="L107" s="154">
        <v>3.3999999999999998E-3</v>
      </c>
      <c r="M107" s="154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55">
        <f ca="1"/>
        <v>2.7905895862256891E-4</v>
      </c>
      <c r="P107" s="155">
        <f ca="1"/>
        <v>8.8950690353517547E-4</v>
      </c>
      <c r="Q107" s="155">
        <f ca="1"/>
        <v>4.1828214564052502E-3</v>
      </c>
      <c r="R107" s="155">
        <f ca="1"/>
        <v>8.2972828841487711E-3</v>
      </c>
      <c r="S107" s="155">
        <f ca="1"/>
        <v>0</v>
      </c>
      <c r="T107" s="155">
        <f ca="1"/>
        <v>2.2389125699564083E-2</v>
      </c>
      <c r="U107" s="155">
        <f ca="1"/>
        <v>4.0837726218479919E-2</v>
      </c>
      <c r="V107" s="138">
        <f ca="1"/>
        <v>7.5082245997469266E-2</v>
      </c>
      <c r="W107" s="137">
        <f ca="1"/>
        <v>0</v>
      </c>
      <c r="X107" s="155">
        <f ca="1"/>
        <v>3.7206114936716439E-4</v>
      </c>
      <c r="Y107" s="155">
        <f ca="1"/>
        <v>1.0560114432898171E-3</v>
      </c>
      <c r="Z107" s="155">
        <f ca="1"/>
        <v>4.5147051988828624E-3</v>
      </c>
      <c r="AA107" s="155">
        <f ca="1"/>
        <v>8.7930103005294802E-3</v>
      </c>
      <c r="AB107" s="155">
        <f ca="1"/>
        <v>0</v>
      </c>
      <c r="AC107" s="155">
        <f ca="1"/>
        <v>2.3224094595250988E-2</v>
      </c>
      <c r="AD107" s="155">
        <f ca="1"/>
        <v>4.1983189710391611E-2</v>
      </c>
      <c r="AE107" s="138">
        <f ca="1"/>
        <v>7.665652401641021E-2</v>
      </c>
      <c r="AH107" s="135"/>
      <c r="AI107" s="45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4">
        <v>6.9999999999999999E-4</v>
      </c>
      <c r="G108" s="154">
        <v>1.1000000000000001E-3</v>
      </c>
      <c r="H108" s="154">
        <v>2E-3</v>
      </c>
      <c r="I108" s="154">
        <v>2.8999999999999998E-3</v>
      </c>
      <c r="J108" s="154" t="s">
        <v>87</v>
      </c>
      <c r="K108" s="154">
        <v>4.8999999999999998E-3</v>
      </c>
      <c r="L108" s="154">
        <v>6.0000000000000001E-3</v>
      </c>
      <c r="M108" s="154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55">
        <f ca="1"/>
        <v>6.5101642887865907E-4</v>
      </c>
      <c r="P108" s="155">
        <f ca="1"/>
        <v>1.9553970284662547E-3</v>
      </c>
      <c r="Q108" s="155">
        <f ca="1"/>
        <v>6.9497609941292504E-3</v>
      </c>
      <c r="R108" s="155">
        <f ca="1"/>
        <v>1.5009609838959714E-2</v>
      </c>
      <c r="S108" s="155">
        <f ca="1"/>
        <v>0</v>
      </c>
      <c r="T108" s="155">
        <f ca="1"/>
        <v>4.1955684309711083E-2</v>
      </c>
      <c r="U108" s="155">
        <f ca="1"/>
        <v>7.1072292926078862E-2</v>
      </c>
      <c r="V108" s="138">
        <f ca="1"/>
        <v>0.11973853983159477</v>
      </c>
      <c r="W108" s="137">
        <f ca="1"/>
        <v>0</v>
      </c>
      <c r="X108" s="155">
        <f ca="1"/>
        <v>7.4398343160742009E-4</v>
      </c>
      <c r="Y108" s="155">
        <f ca="1"/>
        <v>2.121723934676023E-3</v>
      </c>
      <c r="Z108" s="155">
        <f ca="1"/>
        <v>7.2807225771310824E-3</v>
      </c>
      <c r="AA108" s="155">
        <f ca="1"/>
        <v>1.5501981930766795E-2</v>
      </c>
      <c r="AB108" s="155">
        <f ca="1"/>
        <v>0</v>
      </c>
      <c r="AC108" s="155">
        <f ca="1"/>
        <v>4.2774088165653312E-2</v>
      </c>
      <c r="AD108" s="155">
        <f ca="1"/>
        <v>7.2183201837246358E-2</v>
      </c>
      <c r="AE108" s="138">
        <f ca="1"/>
        <v>0.12125453779943629</v>
      </c>
      <c r="AH108" s="135"/>
      <c r="AI108" s="45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4">
        <v>4.0000000000000002E-4</v>
      </c>
      <c r="G109" s="154">
        <v>8.9999999999999998E-4</v>
      </c>
      <c r="H109" s="154">
        <v>1.4E-3</v>
      </c>
      <c r="I109" s="154">
        <v>1.6999999999999999E-3</v>
      </c>
      <c r="J109" s="154" t="s">
        <v>87</v>
      </c>
      <c r="K109" s="154">
        <v>2.5000000000000001E-3</v>
      </c>
      <c r="L109" s="154">
        <v>2.8999999999999998E-3</v>
      </c>
      <c r="M109" s="154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55">
        <f ca="1"/>
        <v>3.7206130320088793E-4</v>
      </c>
      <c r="P109" s="155">
        <f ca="1"/>
        <v>1.6030771977488811E-3</v>
      </c>
      <c r="Q109" s="155">
        <f ca="1"/>
        <v>4.8647287890087876E-3</v>
      </c>
      <c r="R109" s="155">
        <f ca="1"/>
        <v>8.7847450422715578E-3</v>
      </c>
      <c r="S109" s="155">
        <f ca="1"/>
        <v>0</v>
      </c>
      <c r="T109" s="155">
        <f ca="1"/>
        <v>2.1452464614187705E-2</v>
      </c>
      <c r="U109" s="155">
        <f ca="1"/>
        <v>3.4622944339471551E-2</v>
      </c>
      <c r="V109" s="138">
        <f ca="1"/>
        <v>5.7667098019783647E-2</v>
      </c>
      <c r="W109" s="137">
        <f ca="1"/>
        <v>0</v>
      </c>
      <c r="X109" s="155">
        <f ca="1"/>
        <v>4.6505473678803977E-4</v>
      </c>
      <c r="Y109" s="155">
        <f ca="1"/>
        <v>1.7694628190280115E-3</v>
      </c>
      <c r="Z109" s="155">
        <f ca="1"/>
        <v>5.1963852669225652E-3</v>
      </c>
      <c r="AA109" s="155">
        <f ca="1"/>
        <v>9.2802287884720114E-3</v>
      </c>
      <c r="AB109" s="155">
        <f ca="1"/>
        <v>0</v>
      </c>
      <c r="AC109" s="155">
        <f ca="1"/>
        <v>2.2287800982086381E-2</v>
      </c>
      <c r="AD109" s="155">
        <f ca="1"/>
        <v>3.5773845959844786E-2</v>
      </c>
      <c r="AE109" s="138">
        <f ca="1"/>
        <v>5.9268342870375856E-2</v>
      </c>
      <c r="AH109" s="135"/>
      <c r="AI109" s="45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4">
        <v>8.0000000000000004E-4</v>
      </c>
      <c r="G110" s="154">
        <v>8.0000000000000004E-4</v>
      </c>
      <c r="H110" s="154">
        <v>1.6999999999999999E-3</v>
      </c>
      <c r="I110" s="154">
        <v>2.3E-3</v>
      </c>
      <c r="J110" s="154" t="s">
        <v>87</v>
      </c>
      <c r="K110" s="154">
        <v>4.1999999999999997E-3</v>
      </c>
      <c r="L110" s="154">
        <v>5.3E-3</v>
      </c>
      <c r="M110" s="154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55">
        <f ca="1"/>
        <v>7.4398417212018231E-4</v>
      </c>
      <c r="P110" s="155">
        <f ca="1"/>
        <v>1.417423095768755E-3</v>
      </c>
      <c r="Q110" s="155">
        <f ca="1"/>
        <v>5.9116217571401064E-3</v>
      </c>
      <c r="R110" s="155">
        <f ca="1"/>
        <v>1.1904150103915656E-2</v>
      </c>
      <c r="S110" s="155">
        <f ca="1"/>
        <v>0</v>
      </c>
      <c r="T110" s="155">
        <f ca="1"/>
        <v>3.6085569074443713E-2</v>
      </c>
      <c r="U110" s="155">
        <f ca="1"/>
        <v>6.3125879446809363E-2</v>
      </c>
      <c r="V110" s="138">
        <f ca="1"/>
        <v>0.10895923337684621</v>
      </c>
      <c r="W110" s="137">
        <f ca="1"/>
        <v>0</v>
      </c>
      <c r="X110" s="155">
        <f ca="1"/>
        <v>8.3694231015207787E-4</v>
      </c>
      <c r="Y110" s="155">
        <f ca="1"/>
        <v>1.5838396568128577E-3</v>
      </c>
      <c r="Z110" s="155">
        <f ca="1"/>
        <v>6.2429293288966958E-3</v>
      </c>
      <c r="AA110" s="155">
        <f ca="1"/>
        <v>1.2398074537480874E-2</v>
      </c>
      <c r="AB110" s="155">
        <f ca="1"/>
        <v>0</v>
      </c>
      <c r="AC110" s="155">
        <f ca="1"/>
        <v>3.6909252216182908E-2</v>
      </c>
      <c r="AD110" s="155">
        <f ca="1"/>
        <v>6.4246499429228443E-2</v>
      </c>
      <c r="AE110" s="138">
        <f ca="1"/>
        <v>0.11049288825021031</v>
      </c>
      <c r="AH110" s="135"/>
      <c r="AI110" s="45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4">
        <v>1.6000000000000001E-3</v>
      </c>
      <c r="G111" s="154">
        <v>1.9E-3</v>
      </c>
      <c r="H111" s="154">
        <v>2.3999999999999998E-3</v>
      </c>
      <c r="I111" s="154">
        <v>2.7000000000000001E-3</v>
      </c>
      <c r="J111" s="154" t="s">
        <v>87</v>
      </c>
      <c r="K111" s="154">
        <v>3.3E-3</v>
      </c>
      <c r="L111" s="154">
        <v>3.65E-3</v>
      </c>
      <c r="M111" s="154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55">
        <f ca="1"/>
        <v>1.4874149160477579E-3</v>
      </c>
      <c r="P111" s="155">
        <f ca="1"/>
        <v>3.3685111664935041E-3</v>
      </c>
      <c r="Q111" s="155">
        <f ca="1"/>
        <v>8.2960014589447129E-3</v>
      </c>
      <c r="R111" s="155">
        <f ca="1"/>
        <v>1.386643577155855E-2</v>
      </c>
      <c r="S111" s="155">
        <f ca="1"/>
        <v>0</v>
      </c>
      <c r="T111" s="155">
        <f ca="1"/>
        <v>2.80265647044593E-2</v>
      </c>
      <c r="U111" s="155">
        <f ca="1"/>
        <v>4.3086350949964602E-2</v>
      </c>
      <c r="V111" s="138">
        <f ca="1"/>
        <v>6.8610444199141529E-2</v>
      </c>
      <c r="W111" s="137">
        <f ca="1"/>
        <v>0</v>
      </c>
      <c r="X111" s="155">
        <f ca="1"/>
        <v>1.5803011008691525E-3</v>
      </c>
      <c r="Y111" s="155">
        <f ca="1"/>
        <v>3.5346025733001829E-3</v>
      </c>
      <c r="Z111" s="155">
        <f ca="1"/>
        <v>8.6265143699220115E-3</v>
      </c>
      <c r="AA111" s="155">
        <f ca="1"/>
        <v>1.4359379307508413E-2</v>
      </c>
      <c r="AB111" s="155">
        <f ca="1"/>
        <v>0</v>
      </c>
      <c r="AC111" s="155">
        <f ca="1"/>
        <v>2.8855637049501115E-2</v>
      </c>
      <c r="AD111" s="155">
        <f ca="1"/>
        <v>4.4226165787482397E-2</v>
      </c>
      <c r="AE111" s="138">
        <f ca="1"/>
        <v>7.0190631175764406E-2</v>
      </c>
      <c r="AH111" s="135"/>
      <c r="AI111" s="45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4">
        <v>6.9999999999999999E-4</v>
      </c>
      <c r="G112" s="154">
        <v>1.4E-3</v>
      </c>
      <c r="H112" s="154">
        <v>2.5000000000000001E-3</v>
      </c>
      <c r="I112" s="154">
        <v>3.5999999999999999E-3</v>
      </c>
      <c r="J112" s="154" t="s">
        <v>87</v>
      </c>
      <c r="K112" s="154">
        <v>5.5999999999999999E-3</v>
      </c>
      <c r="L112" s="154">
        <v>7.0000000000000001E-3</v>
      </c>
      <c r="M112" s="154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55">
        <f ca="1"/>
        <v>6.5101642887865907E-4</v>
      </c>
      <c r="P112" s="155">
        <f ca="1"/>
        <v>2.4915204094962951E-3</v>
      </c>
      <c r="Q112" s="155">
        <f ca="1"/>
        <v>8.6837853539136756E-3</v>
      </c>
      <c r="R112" s="155">
        <f ca="1"/>
        <v>1.8608618094673068E-2</v>
      </c>
      <c r="S112" s="155">
        <f ca="1"/>
        <v>0</v>
      </c>
      <c r="T112" s="155">
        <f ca="1"/>
        <v>4.774559354357899E-2</v>
      </c>
      <c r="U112" s="155">
        <f ca="1"/>
        <v>8.254541589752018E-2</v>
      </c>
      <c r="V112" s="138">
        <f ca="1"/>
        <v>0.14203101413189645</v>
      </c>
      <c r="W112" s="137">
        <f ca="1"/>
        <v>0</v>
      </c>
      <c r="X112" s="155">
        <f ca="1"/>
        <v>7.4398343160742009E-4</v>
      </c>
      <c r="Y112" s="155">
        <f ca="1"/>
        <v>2.6577579692423914E-3</v>
      </c>
      <c r="Z112" s="155">
        <f ca="1"/>
        <v>9.0141690251233086E-3</v>
      </c>
      <c r="AA112" s="155">
        <f ca="1"/>
        <v>1.9099191132149751E-2</v>
      </c>
      <c r="AB112" s="155">
        <f ca="1"/>
        <v>0</v>
      </c>
      <c r="AC112" s="155">
        <f ca="1"/>
        <v>4.8558551937589289E-2</v>
      </c>
      <c r="AD112" s="155">
        <f ca="1"/>
        <v>8.3642062231109371E-2</v>
      </c>
      <c r="AE112" s="138">
        <f ca="1"/>
        <v>0.14351574161939695</v>
      </c>
      <c r="AH112" s="135"/>
      <c r="AI112" s="45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4">
        <v>1.1999999999999999E-3</v>
      </c>
      <c r="G113" s="154">
        <v>1.6999999999999999E-3</v>
      </c>
      <c r="H113" s="154">
        <v>3.0999999999999999E-3</v>
      </c>
      <c r="I113" s="154">
        <v>4.1000000000000003E-3</v>
      </c>
      <c r="J113" s="154" t="s">
        <v>87</v>
      </c>
      <c r="K113" s="154">
        <v>5.1000000000000004E-3</v>
      </c>
      <c r="L113" s="154">
        <v>6.1000000000000004E-3</v>
      </c>
      <c r="M113" s="154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55">
        <f ca="1"/>
        <v>1.1157686840057579E-3</v>
      </c>
      <c r="P113" s="155">
        <f ca="1"/>
        <v>3.0185630785608542E-3</v>
      </c>
      <c r="Q113" s="155">
        <f ca="1"/>
        <v>1.0755048081746765E-2</v>
      </c>
      <c r="R113" s="155">
        <f ca="1"/>
        <v>2.1132244236943043E-2</v>
      </c>
      <c r="S113" s="155">
        <f ca="1"/>
        <v>0</v>
      </c>
      <c r="T113" s="155">
        <f ca="1"/>
        <v>4.3209344970355668E-2</v>
      </c>
      <c r="U113" s="155">
        <f ca="1"/>
        <v>7.1683504808213283E-2</v>
      </c>
      <c r="V113" s="138">
        <f ca="1"/>
        <v>0.1276663782444164</v>
      </c>
      <c r="W113" s="137">
        <f ca="1"/>
        <v>0</v>
      </c>
      <c r="X113" s="155">
        <f ca="1"/>
        <v>1.2086910806557993E-3</v>
      </c>
      <c r="Y113" s="155">
        <f ca="1"/>
        <v>3.1847128051830653E-3</v>
      </c>
      <c r="Z113" s="155">
        <f ca="1"/>
        <v>1.1084741447099256E-2</v>
      </c>
      <c r="AA113" s="155">
        <f ca="1"/>
        <v>2.1621555776727863E-2</v>
      </c>
      <c r="AB113" s="155">
        <f ca="1"/>
        <v>0</v>
      </c>
      <c r="AC113" s="155">
        <f ca="1"/>
        <v>4.4025867653712636E-2</v>
      </c>
      <c r="AD113" s="155">
        <f ca="1"/>
        <v>7.2791242900179909E-2</v>
      </c>
      <c r="AE113" s="138">
        <f ca="1"/>
        <v>0.12917079183548985</v>
      </c>
      <c r="AH113" s="135"/>
      <c r="AI113" s="45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4">
        <v>1.8E-3</v>
      </c>
      <c r="G114" s="154">
        <v>2.0999999999999999E-3</v>
      </c>
      <c r="H114" s="154">
        <v>2.3E-3</v>
      </c>
      <c r="I114" s="154">
        <v>2.7000000000000001E-3</v>
      </c>
      <c r="J114" s="154" t="s">
        <v>87</v>
      </c>
      <c r="K114" s="154">
        <v>3.8E-3</v>
      </c>
      <c r="L114" s="154">
        <v>4.5999999999999999E-3</v>
      </c>
      <c r="M114" s="154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55">
        <f ca="1"/>
        <v>1.6731862012576704E-3</v>
      </c>
      <c r="P114" s="155">
        <f ca="1"/>
        <v>3.721911016653312E-3</v>
      </c>
      <c r="Q114" s="155">
        <f ca="1"/>
        <v>7.9344648681387575E-3</v>
      </c>
      <c r="R114" s="155">
        <f ca="1"/>
        <v>1.3864378368521835E-2</v>
      </c>
      <c r="S114" s="155">
        <f ca="1"/>
        <v>0</v>
      </c>
      <c r="T114" s="155">
        <f ca="1"/>
        <v>3.2368756776914975E-2</v>
      </c>
      <c r="U114" s="155">
        <f ca="1"/>
        <v>5.4510240063174731E-2</v>
      </c>
      <c r="V114" s="138">
        <f ca="1"/>
        <v>9.5682305903729836E-2</v>
      </c>
      <c r="W114" s="137">
        <f ca="1"/>
        <v>0</v>
      </c>
      <c r="X114" s="155">
        <f ca="1"/>
        <v>1.76605409602415E-3</v>
      </c>
      <c r="Y114" s="155">
        <f ca="1"/>
        <v>3.8879435283871722E-3</v>
      </c>
      <c r="Z114" s="155">
        <f ca="1"/>
        <v>8.2650982712075827E-3</v>
      </c>
      <c r="AA114" s="155">
        <f ca="1"/>
        <v>1.4357322932918137E-2</v>
      </c>
      <c r="AB114" s="155">
        <f ca="1"/>
        <v>0</v>
      </c>
      <c r="AC114" s="155">
        <f ca="1"/>
        <v>3.3194587735601133E-2</v>
      </c>
      <c r="AD114" s="155">
        <f ca="1"/>
        <v>5.563863898950161E-2</v>
      </c>
      <c r="AE114" s="138">
        <f ca="1"/>
        <v>9.721707421453607E-2</v>
      </c>
      <c r="AH114" s="135"/>
      <c r="AI114" s="45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4">
        <v>5.9999999999999995E-4</v>
      </c>
      <c r="G115" s="154">
        <v>8.0000000000000004E-4</v>
      </c>
      <c r="H115" s="154">
        <v>1.4E-3</v>
      </c>
      <c r="I115" s="154">
        <v>1.9E-3</v>
      </c>
      <c r="J115" s="154" t="s">
        <v>87</v>
      </c>
      <c r="K115" s="154">
        <v>3.0000000000000001E-3</v>
      </c>
      <c r="L115" s="154">
        <v>3.7000000000000002E-3</v>
      </c>
      <c r="M115" s="154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55">
        <f ca="1"/>
        <v>5.5804003710946404E-4</v>
      </c>
      <c r="P115" s="155">
        <f ca="1"/>
        <v>1.4208535207560491E-3</v>
      </c>
      <c r="Q115" s="155">
        <f ca="1"/>
        <v>4.8653760104611088E-3</v>
      </c>
      <c r="R115" s="155">
        <f ca="1"/>
        <v>9.8368683374404631E-3</v>
      </c>
      <c r="S115" s="155">
        <f ca="1"/>
        <v>0</v>
      </c>
      <c r="T115" s="155">
        <f ca="1"/>
        <v>2.5773997894222078E-2</v>
      </c>
      <c r="U115" s="155">
        <f ca="1"/>
        <v>4.422907117052044E-2</v>
      </c>
      <c r="V115" s="138">
        <f ca="1"/>
        <v>8.333921314083792E-2</v>
      </c>
      <c r="W115" s="137">
        <f ca="1"/>
        <v>0</v>
      </c>
      <c r="X115" s="155">
        <f ca="1"/>
        <v>6.5101587709581743E-4</v>
      </c>
      <c r="Y115" s="155">
        <f ca="1"/>
        <v>1.5872695101263323E-3</v>
      </c>
      <c r="Z115" s="155">
        <f ca="1"/>
        <v>5.1970322726690998E-3</v>
      </c>
      <c r="AA115" s="155">
        <f ca="1"/>
        <v>1.0331826153502921E-2</v>
      </c>
      <c r="AB115" s="155">
        <f ca="1"/>
        <v>0</v>
      </c>
      <c r="AC115" s="155">
        <f ca="1"/>
        <v>2.6606119503083336E-2</v>
      </c>
      <c r="AD115" s="155">
        <f ca="1"/>
        <v>4.5370235523910618E-2</v>
      </c>
      <c r="AE115" s="138">
        <f ca="1"/>
        <v>8.4897925031326982E-2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4">
        <v>8.9999999999999998E-4</v>
      </c>
      <c r="G116" s="154">
        <v>1E-3</v>
      </c>
      <c r="H116" s="154">
        <v>1.8E-3</v>
      </c>
      <c r="I116" s="154">
        <v>2.0999999999999999E-3</v>
      </c>
      <c r="J116" s="154" t="s">
        <v>87</v>
      </c>
      <c r="K116" s="154">
        <v>3.3E-3</v>
      </c>
      <c r="L116" s="154">
        <v>4.1000000000000003E-3</v>
      </c>
      <c r="M116" s="154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55">
        <f ca="1"/>
        <v>8.3694326804184538E-4</v>
      </c>
      <c r="P116" s="155">
        <f ca="1"/>
        <v>1.7731960000901825E-3</v>
      </c>
      <c r="Q116" s="155">
        <f ca="1"/>
        <v>6.2511154853329698E-3</v>
      </c>
      <c r="R116" s="155">
        <f ca="1"/>
        <v>1.0833157652178849E-2</v>
      </c>
      <c r="S116" s="155">
        <f ca="1"/>
        <v>0</v>
      </c>
      <c r="T116" s="155">
        <f ca="1"/>
        <v>2.8285127436902702E-2</v>
      </c>
      <c r="U116" s="155">
        <f ca="1"/>
        <v>4.8900979822372848E-2</v>
      </c>
      <c r="V116" s="138">
        <f ca="1"/>
        <v>8.7955403756972639E-2</v>
      </c>
      <c r="W116" s="137">
        <f ca="1"/>
        <v>0</v>
      </c>
      <c r="X116" s="155">
        <f ca="1"/>
        <v>9.2989251347452839E-4</v>
      </c>
      <c r="Y116" s="155">
        <f ca="1"/>
        <v>1.939553270604355E-3</v>
      </c>
      <c r="Z116" s="155">
        <f ca="1"/>
        <v>6.5823099113677674E-3</v>
      </c>
      <c r="AA116" s="155">
        <f ca="1"/>
        <v>1.1327617448092853E-2</v>
      </c>
      <c r="AB116" s="155">
        <f ca="1"/>
        <v>0</v>
      </c>
      <c r="AC116" s="155">
        <f ca="1"/>
        <v>2.9114961217139079E-2</v>
      </c>
      <c r="AD116" s="155">
        <f ca="1"/>
        <v>5.0036767160337337E-2</v>
      </c>
      <c r="AE116" s="138">
        <f ca="1"/>
        <v>8.9505613077711321E-2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4">
        <v>5.0000000000000001E-4</v>
      </c>
      <c r="G117" s="154">
        <v>6.9999999999999999E-4</v>
      </c>
      <c r="H117" s="154">
        <v>1.1999999999999999E-3</v>
      </c>
      <c r="I117" s="154">
        <v>1.8E-3</v>
      </c>
      <c r="J117" s="154" t="s">
        <v>87</v>
      </c>
      <c r="K117" s="154">
        <v>2.8999999999999998E-3</v>
      </c>
      <c r="L117" s="154">
        <v>3.5000000000000001E-3</v>
      </c>
      <c r="M117" s="154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55">
        <f ca="1"/>
        <v>4.6505499562699004E-4</v>
      </c>
      <c r="P117" s="155">
        <f ca="1"/>
        <v>1.2437694058637927E-3</v>
      </c>
      <c r="Q117" s="155">
        <f ca="1"/>
        <v>4.1710758751135613E-3</v>
      </c>
      <c r="R117" s="155">
        <f ca="1"/>
        <v>9.3372570474214989E-3</v>
      </c>
      <c r="S117" s="155">
        <f ca="1"/>
        <v>0</v>
      </c>
      <c r="T117" s="155">
        <f ca="1"/>
        <v>2.4951817837279067E-2</v>
      </c>
      <c r="U117" s="155">
        <f ca="1"/>
        <v>4.1859275222448811E-2</v>
      </c>
      <c r="V117" s="138">
        <f ca="1"/>
        <v>8.0102088992840881E-2</v>
      </c>
      <c r="W117" s="137">
        <f ca="1"/>
        <v>0</v>
      </c>
      <c r="X117" s="155">
        <f ca="1"/>
        <v>5.5803964578249321E-4</v>
      </c>
      <c r="Y117" s="155">
        <f ca="1"/>
        <v>1.4102149067779512E-3</v>
      </c>
      <c r="Z117" s="155">
        <f ca="1"/>
        <v>4.502963532121762E-3</v>
      </c>
      <c r="AA117" s="155">
        <f ca="1"/>
        <v>9.832464606708391E-3</v>
      </c>
      <c r="AB117" s="155">
        <f ca="1"/>
        <v>0</v>
      </c>
      <c r="AC117" s="155">
        <f ca="1"/>
        <v>2.578475177096784E-2</v>
      </c>
      <c r="AD117" s="155">
        <f ca="1"/>
        <v>4.3003063331239821E-2</v>
      </c>
      <c r="AE117" s="138">
        <f ca="1"/>
        <v>8.1666565034208993E-2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4">
        <v>2.0000000000000001E-4</v>
      </c>
      <c r="G118" s="154">
        <v>5.0000000000000001E-4</v>
      </c>
      <c r="H118" s="154">
        <v>1E-3</v>
      </c>
      <c r="I118" s="154">
        <v>1.5E-3</v>
      </c>
      <c r="J118" s="154" t="s">
        <v>87</v>
      </c>
      <c r="K118" s="154">
        <v>2.3E-3</v>
      </c>
      <c r="L118" s="154">
        <v>2.8E-3</v>
      </c>
      <c r="M118" s="154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55">
        <f ca="1"/>
        <v>1.8604796070598173E-4</v>
      </c>
      <c r="P118" s="155">
        <f ca="1"/>
        <v>8.9119795580616668E-4</v>
      </c>
      <c r="Q118" s="155">
        <f ca="1"/>
        <v>3.4839620411752925E-3</v>
      </c>
      <c r="R118" s="155">
        <f ca="1"/>
        <v>7.7925856287666129E-3</v>
      </c>
      <c r="S118" s="155">
        <f ca="1"/>
        <v>0</v>
      </c>
      <c r="T118" s="155">
        <f ca="1"/>
        <v>1.9809838885417652E-2</v>
      </c>
      <c r="U118" s="155">
        <f ca="1"/>
        <v>3.3590737798637305E-2</v>
      </c>
      <c r="V118" s="138">
        <f ca="1"/>
        <v>5.9778640153607565E-2</v>
      </c>
      <c r="W118" s="137">
        <f ca="1"/>
        <v>0</v>
      </c>
      <c r="X118" s="155">
        <f ca="1"/>
        <v>2.7905888266266388E-4</v>
      </c>
      <c r="Y118" s="155">
        <f ca="1"/>
        <v>1.057702213748013E-3</v>
      </c>
      <c r="Z118" s="155">
        <f ca="1"/>
        <v>3.816078697969183E-3</v>
      </c>
      <c r="AA118" s="155">
        <f ca="1"/>
        <v>8.2885653306976614E-3</v>
      </c>
      <c r="AB118" s="155">
        <f ca="1"/>
        <v>0</v>
      </c>
      <c r="AC118" s="155">
        <f ca="1"/>
        <v>2.0646818000833678E-2</v>
      </c>
      <c r="AD118" s="155">
        <f ca="1"/>
        <v>3.4743507469845336E-2</v>
      </c>
      <c r="AE118" s="138">
        <f ca="1"/>
        <v>6.1377981023001738E-2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4">
        <v>5.9999999999999995E-4</v>
      </c>
      <c r="G119" s="154">
        <v>8.9999999999999998E-4</v>
      </c>
      <c r="H119" s="154">
        <v>1.6999999999999999E-3</v>
      </c>
      <c r="I119" s="154">
        <v>2.3999999999999998E-3</v>
      </c>
      <c r="J119" s="154" t="s">
        <v>87</v>
      </c>
      <c r="K119" s="154">
        <v>3.8E-3</v>
      </c>
      <c r="L119" s="154">
        <v>4.8999999999999998E-3</v>
      </c>
      <c r="M119" s="154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55">
        <f ca="1"/>
        <v>5.5804003710946404E-4</v>
      </c>
      <c r="P119" s="155">
        <f ca="1"/>
        <v>1.599629745781761E-3</v>
      </c>
      <c r="Q119" s="155">
        <f ca="1"/>
        <v>5.9109561402828081E-3</v>
      </c>
      <c r="R119" s="155">
        <f ca="1"/>
        <v>1.2428501721498786E-2</v>
      </c>
      <c r="S119" s="155">
        <f ca="1"/>
        <v>0</v>
      </c>
      <c r="T119" s="155">
        <f ca="1"/>
        <v>3.2585736515271413E-2</v>
      </c>
      <c r="U119" s="155">
        <f ca="1"/>
        <v>5.841981234740945E-2</v>
      </c>
      <c r="V119" s="138">
        <f ca="1"/>
        <v>0.10786827325911974</v>
      </c>
      <c r="W119" s="137">
        <f ca="1"/>
        <v>0</v>
      </c>
      <c r="X119" s="155">
        <f ca="1"/>
        <v>6.5101587709581743E-4</v>
      </c>
      <c r="Y119" s="155">
        <f ca="1"/>
        <v>1.7660159415965326E-3</v>
      </c>
      <c r="Z119" s="155">
        <f ca="1"/>
        <v>6.2422639338595154E-3</v>
      </c>
      <c r="AA119" s="155">
        <f ca="1"/>
        <v>1.2922164044760431E-2</v>
      </c>
      <c r="AB119" s="155">
        <f ca="1"/>
        <v>0</v>
      </c>
      <c r="AC119" s="155">
        <f ca="1"/>
        <v>3.3412256153985243E-2</v>
      </c>
      <c r="AD119" s="155">
        <f ca="1"/>
        <v>5.9545361962268228E-2</v>
      </c>
      <c r="AE119" s="138">
        <f ca="1"/>
        <v>0.10940603967082108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4">
        <v>1.14E-3</v>
      </c>
      <c r="G120" s="154">
        <v>1.64E-3</v>
      </c>
      <c r="H120" s="154">
        <v>2.3600000000000001E-3</v>
      </c>
      <c r="I120" s="154">
        <v>2.9199999999999999E-3</v>
      </c>
      <c r="J120" s="154" t="s">
        <v>87</v>
      </c>
      <c r="K120" s="154">
        <v>4.0000000000000001E-3</v>
      </c>
      <c r="L120" s="154">
        <v>4.4000000000000003E-3</v>
      </c>
      <c r="M120" s="154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55">
        <f ca="1"/>
        <v>1.0600098244549772E-3</v>
      </c>
      <c r="P120" s="155">
        <f ca="1"/>
        <v>2.9124713149857318E-3</v>
      </c>
      <c r="Q120" s="155">
        <f ca="1"/>
        <v>8.1761880313130364E-3</v>
      </c>
      <c r="R120" s="155">
        <f ca="1"/>
        <v>1.5043622751057861E-2</v>
      </c>
      <c r="S120" s="155">
        <f ca="1"/>
        <v>0</v>
      </c>
      <c r="T120" s="155">
        <f ca="1"/>
        <v>3.4078763874921147E-2</v>
      </c>
      <c r="U120" s="155">
        <f ca="1"/>
        <v>5.1916353268317783E-2</v>
      </c>
      <c r="V120" s="138">
        <f ca="1"/>
        <v>7.8088519275721802E-2</v>
      </c>
      <c r="W120" s="137">
        <f ca="1"/>
        <v>0</v>
      </c>
      <c r="X120" s="155">
        <f ca="1"/>
        <v>1.1529376116886647E-3</v>
      </c>
      <c r="Y120" s="155">
        <f ca="1"/>
        <v>3.0786387220990141E-3</v>
      </c>
      <c r="Z120" s="155">
        <f ca="1"/>
        <v>8.5067408734251782E-3</v>
      </c>
      <c r="AA120" s="155">
        <f ca="1"/>
        <v>1.5535977840635429E-2</v>
      </c>
      <c r="AB120" s="155">
        <f ca="1"/>
        <v>0</v>
      </c>
      <c r="AC120" s="155">
        <f ca="1"/>
        <v>3.4903329148861961E-2</v>
      </c>
      <c r="AD120" s="155">
        <f ca="1"/>
        <v>5.3046913592970757E-2</v>
      </c>
      <c r="AE120" s="138">
        <f ca="1"/>
        <v>7.9652215939760462E-2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4">
        <v>1.15E-3</v>
      </c>
      <c r="G121" s="154">
        <v>1.81E-3</v>
      </c>
      <c r="H121" s="154">
        <v>2.8E-3</v>
      </c>
      <c r="I121" s="154">
        <v>3.5000000000000001E-3</v>
      </c>
      <c r="J121" s="154" t="s">
        <v>87</v>
      </c>
      <c r="K121" s="154">
        <v>4.5999999999999999E-3</v>
      </c>
      <c r="L121" s="154">
        <v>5.1999999999999998E-3</v>
      </c>
      <c r="M121" s="154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55">
        <f ca="1"/>
        <v>1.0693031837868405E-3</v>
      </c>
      <c r="P121" s="155">
        <f ca="1"/>
        <v>3.2159117106301816E-3</v>
      </c>
      <c r="Q121" s="155">
        <f ca="1"/>
        <v>9.7044457131680861E-3</v>
      </c>
      <c r="R121" s="155">
        <f ca="1"/>
        <v>1.8024697668141076E-2</v>
      </c>
      <c r="S121" s="155">
        <f ca="1"/>
        <v>0</v>
      </c>
      <c r="T121" s="155">
        <f ca="1"/>
        <v>3.9074189189502895E-2</v>
      </c>
      <c r="U121" s="155">
        <f ca="1"/>
        <v>6.1183406730358048E-2</v>
      </c>
      <c r="V121" s="138">
        <f ca="1"/>
        <v>9.4330983660937839E-2</v>
      </c>
      <c r="W121" s="137">
        <f ca="1"/>
        <v>0</v>
      </c>
      <c r="X121" s="155">
        <f ca="1"/>
        <v>1.1622300733186153E-3</v>
      </c>
      <c r="Y121" s="155">
        <f ca="1"/>
        <v>3.3820285485609558E-3</v>
      </c>
      <c r="Z121" s="155">
        <f ca="1"/>
        <v>1.0034489220950848E-2</v>
      </c>
      <c r="AA121" s="155">
        <f ca="1"/>
        <v>1.851556259286169E-2</v>
      </c>
      <c r="AB121" s="155">
        <f ca="1"/>
        <v>0</v>
      </c>
      <c r="AC121" s="155">
        <f ca="1"/>
        <v>3.9894333640201451E-2</v>
      </c>
      <c r="AD121" s="155">
        <f ca="1"/>
        <v>6.2303321450526528E-2</v>
      </c>
      <c r="AE121" s="138">
        <f ca="1"/>
        <v>9.586652564636533E-2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4">
        <v>2.9999999999999997E-4</v>
      </c>
      <c r="G122" s="154">
        <v>2.9999999999999997E-4</v>
      </c>
      <c r="H122" s="154">
        <v>6.9999999999999999E-4</v>
      </c>
      <c r="I122" s="154">
        <v>1E-3</v>
      </c>
      <c r="J122" s="154" t="s">
        <v>87</v>
      </c>
      <c r="K122" s="154">
        <v>1.6999999999999999E-3</v>
      </c>
      <c r="L122" s="154">
        <v>2.2000000000000001E-3</v>
      </c>
      <c r="M122" s="154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55">
        <f ca="1"/>
        <v>2.7905895862256891E-4</v>
      </c>
      <c r="P122" s="155">
        <f ca="1"/>
        <v>5.3176944581567742E-4</v>
      </c>
      <c r="Q122" s="155">
        <f ca="1"/>
        <v>2.4389372963387057E-3</v>
      </c>
      <c r="R122" s="155">
        <f ca="1"/>
        <v>5.1949267469081351E-3</v>
      </c>
      <c r="S122" s="155">
        <f ca="1"/>
        <v>0</v>
      </c>
      <c r="T122" s="155">
        <f ca="1"/>
        <v>1.4696018265604183E-2</v>
      </c>
      <c r="U122" s="155">
        <f ca="1"/>
        <v>2.6565078730864888E-2</v>
      </c>
      <c r="V122" s="138">
        <f ca="1"/>
        <v>4.8204147803402764E-2</v>
      </c>
      <c r="W122" s="137">
        <f ca="1"/>
        <v>0</v>
      </c>
      <c r="X122" s="155">
        <f ca="1"/>
        <v>3.7206114936716439E-4</v>
      </c>
      <c r="Y122" s="155">
        <f ca="1"/>
        <v>6.9833360351390095E-4</v>
      </c>
      <c r="Z122" s="155">
        <f ca="1"/>
        <v>2.7714022366824853E-3</v>
      </c>
      <c r="AA122" s="155">
        <f ca="1"/>
        <v>5.6922049536252128E-3</v>
      </c>
      <c r="AB122" s="155">
        <f ca="1"/>
        <v>0</v>
      </c>
      <c r="AC122" s="155">
        <f ca="1"/>
        <v>1.5537086116214849E-2</v>
      </c>
      <c r="AD122" s="155">
        <f ca="1"/>
        <v>2.7725944239318068E-2</v>
      </c>
      <c r="AE122" s="138">
        <f ca="1"/>
        <v>4.9823451016874687E-2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4">
        <v>6.9999999999999999E-4</v>
      </c>
      <c r="G123" s="154">
        <v>1.1999999999999999E-3</v>
      </c>
      <c r="H123" s="154">
        <v>1.9E-3</v>
      </c>
      <c r="I123" s="154">
        <v>2.5999999999999999E-3</v>
      </c>
      <c r="J123" s="154" t="s">
        <v>87</v>
      </c>
      <c r="K123" s="154">
        <v>3.8E-3</v>
      </c>
      <c r="L123" s="154">
        <v>4.5999999999999999E-3</v>
      </c>
      <c r="M123" s="154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55">
        <f ca="1"/>
        <v>6.5101642887865907E-4</v>
      </c>
      <c r="P123" s="155">
        <f ca="1"/>
        <v>2.1341198646572801E-3</v>
      </c>
      <c r="Q123" s="155">
        <f ca="1"/>
        <v>6.5958501457518137E-3</v>
      </c>
      <c r="R123" s="155">
        <f ca="1"/>
        <v>1.3442262263770655E-2</v>
      </c>
      <c r="S123" s="155">
        <f ca="1"/>
        <v>0</v>
      </c>
      <c r="T123" s="155">
        <f ca="1"/>
        <v>3.2499787331016994E-2</v>
      </c>
      <c r="U123" s="155">
        <f ca="1"/>
        <v>5.4644461386066934E-2</v>
      </c>
      <c r="V123" s="138">
        <f ca="1"/>
        <v>9.229163473048918E-2</v>
      </c>
      <c r="W123" s="137">
        <f ca="1"/>
        <v>0</v>
      </c>
      <c r="X123" s="155">
        <f ca="1"/>
        <v>7.4398343160742009E-4</v>
      </c>
      <c r="Y123" s="155">
        <f ca="1"/>
        <v>2.3004169862056445E-3</v>
      </c>
      <c r="Z123" s="155">
        <f ca="1"/>
        <v>6.9269296793713631E-3</v>
      </c>
      <c r="AA123" s="155">
        <f ca="1"/>
        <v>1.3935417833490615E-2</v>
      </c>
      <c r="AB123" s="155">
        <f ca="1"/>
        <v>0</v>
      </c>
      <c r="AC123" s="155">
        <f ca="1"/>
        <v>3.3326111534668468E-2</v>
      </c>
      <c r="AD123" s="155">
        <f ca="1"/>
        <v>5.5773405263596976E-2</v>
      </c>
      <c r="AE123" s="138">
        <f ca="1"/>
        <v>9.3833406739349923E-2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4">
        <v>5.9999999999999995E-4</v>
      </c>
      <c r="G124" s="154">
        <v>8.0000000000000004E-4</v>
      </c>
      <c r="H124" s="154">
        <v>1.4E-3</v>
      </c>
      <c r="I124" s="154">
        <v>2E-3</v>
      </c>
      <c r="J124" s="154" t="s">
        <v>87</v>
      </c>
      <c r="K124" s="154">
        <v>3.0999999999999999E-3</v>
      </c>
      <c r="L124" s="154">
        <v>3.8999999999999998E-3</v>
      </c>
      <c r="M124" s="154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55">
        <f ca="1"/>
        <v>5.5804003710946404E-4</v>
      </c>
      <c r="P124" s="155">
        <f ca="1"/>
        <v>1.4208535207560491E-3</v>
      </c>
      <c r="Q124" s="155">
        <f ca="1"/>
        <v>4.8653760104611088E-3</v>
      </c>
      <c r="R124" s="155">
        <f ca="1"/>
        <v>1.0362467170501821E-2</v>
      </c>
      <c r="S124" s="155">
        <f ca="1"/>
        <v>0</v>
      </c>
      <c r="T124" s="155">
        <f ca="1"/>
        <v>2.6623114978476914E-2</v>
      </c>
      <c r="U124" s="155">
        <f ca="1"/>
        <v>4.6623651172537639E-2</v>
      </c>
      <c r="V124" s="138">
        <f ca="1"/>
        <v>7.9489409164597125E-2</v>
      </c>
      <c r="W124" s="137">
        <f ca="1"/>
        <v>0</v>
      </c>
      <c r="X124" s="155">
        <f ca="1"/>
        <v>6.5101587709581743E-4</v>
      </c>
      <c r="Y124" s="155">
        <f ca="1"/>
        <v>1.5872695101263323E-3</v>
      </c>
      <c r="Z124" s="155">
        <f ca="1"/>
        <v>5.1970322726690998E-3</v>
      </c>
      <c r="AA124" s="155">
        <f ca="1"/>
        <v>1.0857162252831287E-2</v>
      </c>
      <c r="AB124" s="155">
        <f ca="1"/>
        <v>0</v>
      </c>
      <c r="AC124" s="155">
        <f ca="1"/>
        <v>2.7454558599008472E-2</v>
      </c>
      <c r="AD124" s="155">
        <f ca="1"/>
        <v>4.7762286804519549E-2</v>
      </c>
      <c r="AE124" s="138">
        <f ca="1"/>
        <v>8.1054999187664234E-2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4">
        <v>2.0999999999999999E-3</v>
      </c>
      <c r="G125" s="154">
        <v>2.0999999999999999E-3</v>
      </c>
      <c r="H125" s="154">
        <v>3.8E-3</v>
      </c>
      <c r="I125" s="154">
        <v>7.1000000000000004E-3</v>
      </c>
      <c r="J125" s="154" t="s">
        <v>87</v>
      </c>
      <c r="K125" s="154">
        <v>9.5999999999999992E-3</v>
      </c>
      <c r="L125" s="154">
        <v>1.15E-2</v>
      </c>
      <c r="M125" s="154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55">
        <f ca="1"/>
        <v>1.9517783676042955E-3</v>
      </c>
      <c r="P125" s="155">
        <f ca="1"/>
        <v>3.7164491483555606E-3</v>
      </c>
      <c r="Q125" s="155">
        <f ca="1"/>
        <v>1.3158725651486236E-2</v>
      </c>
      <c r="R125" s="155">
        <f ca="1"/>
        <v>3.6634231860774968E-2</v>
      </c>
      <c r="S125" s="155">
        <f ca="1"/>
        <v>0</v>
      </c>
      <c r="T125" s="155">
        <f ca="1"/>
        <v>8.0642169229329208E-2</v>
      </c>
      <c r="U125" s="155">
        <f ca="1"/>
        <v>0.13231511931774598</v>
      </c>
      <c r="V125" s="138">
        <f ca="1"/>
        <v>0.2093550815775691</v>
      </c>
      <c r="W125" s="137">
        <f ca="1"/>
        <v>0</v>
      </c>
      <c r="X125" s="155">
        <f ca="1"/>
        <v>2.0446185884611667E-3</v>
      </c>
      <c r="Y125" s="155">
        <f ca="1"/>
        <v>3.8824825703310806E-3</v>
      </c>
      <c r="Z125" s="155">
        <f ca="1"/>
        <v>1.3487617924505702E-2</v>
      </c>
      <c r="AA125" s="155">
        <f ca="1"/>
        <v>3.7115794344209418E-2</v>
      </c>
      <c r="AB125" s="155">
        <f ca="1"/>
        <v>0</v>
      </c>
      <c r="AC125" s="155">
        <f ca="1"/>
        <v>8.1407981622122039E-2</v>
      </c>
      <c r="AD125" s="155">
        <f ca="1"/>
        <v>0.13336833467165976</v>
      </c>
      <c r="AE125" s="138">
        <f ca="1"/>
        <v>0.21073285478839654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4">
        <v>1.4E-3</v>
      </c>
      <c r="G126" s="154">
        <v>1.6999999999999999E-3</v>
      </c>
      <c r="H126" s="154">
        <v>3.2000000000000002E-3</v>
      </c>
      <c r="I126" s="154">
        <v>4.4000000000000003E-3</v>
      </c>
      <c r="J126" s="154" t="s">
        <v>87</v>
      </c>
      <c r="K126" s="154">
        <v>6.4000000000000003E-3</v>
      </c>
      <c r="L126" s="154">
        <v>8.0000000000000002E-3</v>
      </c>
      <c r="M126" s="154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55">
        <f ca="1"/>
        <v>1.3016090801948321E-3</v>
      </c>
      <c r="P126" s="155">
        <f ca="1"/>
        <v>3.0149859007806423E-3</v>
      </c>
      <c r="Q126" s="155">
        <f ca="1"/>
        <v>1.1099992556305227E-2</v>
      </c>
      <c r="R126" s="155">
        <f ca="1"/>
        <v>2.2683772855019102E-2</v>
      </c>
      <c r="S126" s="155">
        <f ca="1"/>
        <v>0</v>
      </c>
      <c r="T126" s="155">
        <f ca="1"/>
        <v>5.429617158974509E-2</v>
      </c>
      <c r="U126" s="155">
        <f ca="1"/>
        <v>9.3782477606681791E-2</v>
      </c>
      <c r="V126" s="138">
        <f ca="1"/>
        <v>0.15190529188919011</v>
      </c>
      <c r="W126" s="137">
        <f ca="1"/>
        <v>0</v>
      </c>
      <c r="X126" s="155">
        <f ca="1"/>
        <v>1.3945134312961516E-3</v>
      </c>
      <c r="Y126" s="155">
        <f ca="1"/>
        <v>3.1811362235519836E-3</v>
      </c>
      <c r="Z126" s="155">
        <f ca="1"/>
        <v>1.1429570959337054E-2</v>
      </c>
      <c r="AA126" s="155">
        <f ca="1"/>
        <v>2.3172308824420784E-2</v>
      </c>
      <c r="AB126" s="155">
        <f ca="1"/>
        <v>0</v>
      </c>
      <c r="AC126" s="155">
        <f ca="1"/>
        <v>5.5102702505994916E-2</v>
      </c>
      <c r="AD126" s="155">
        <f ca="1"/>
        <v>9.4864354185693389E-2</v>
      </c>
      <c r="AE126" s="138">
        <f ca="1"/>
        <v>0.15337145788036644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4">
        <v>2.9999999999999997E-4</v>
      </c>
      <c r="G127" s="154">
        <v>5.9999999999999995E-4</v>
      </c>
      <c r="H127" s="154">
        <v>1.1000000000000001E-3</v>
      </c>
      <c r="I127" s="154">
        <v>1.4E-3</v>
      </c>
      <c r="J127" s="154" t="s">
        <v>87</v>
      </c>
      <c r="K127" s="154">
        <v>2.2000000000000001E-3</v>
      </c>
      <c r="L127" s="154">
        <v>2.5999999999999999E-3</v>
      </c>
      <c r="M127" s="154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55">
        <f ca="1"/>
        <v>2.7905895862256891E-4</v>
      </c>
      <c r="P127" s="155">
        <f ca="1"/>
        <v>1.068353042610326E-3</v>
      </c>
      <c r="Q127" s="155">
        <f ca="1"/>
        <v>3.8284513697161016E-3</v>
      </c>
      <c r="R127" s="155">
        <f ca="1"/>
        <v>7.2505015147837915E-3</v>
      </c>
      <c r="S127" s="155">
        <f ca="1"/>
        <v>0</v>
      </c>
      <c r="T127" s="155">
        <f ca="1"/>
        <v>1.89400705523739E-2</v>
      </c>
      <c r="U127" s="155">
        <f ca="1"/>
        <v>3.1159593235840832E-2</v>
      </c>
      <c r="V127" s="138">
        <f ca="1"/>
        <v>5.2833624797151035E-2</v>
      </c>
      <c r="W127" s="137">
        <f ca="1"/>
        <v>0</v>
      </c>
      <c r="X127" s="155">
        <f ca="1"/>
        <v>3.7206114936716439E-4</v>
      </c>
      <c r="Y127" s="155">
        <f ca="1"/>
        <v>1.2348277771475624E-3</v>
      </c>
      <c r="Z127" s="155">
        <f ca="1"/>
        <v>4.1604532158860952E-3</v>
      </c>
      <c r="AA127" s="155">
        <f ca="1"/>
        <v>7.7467521910196124E-3</v>
      </c>
      <c r="AB127" s="155">
        <f ca="1"/>
        <v>0</v>
      </c>
      <c r="AC127" s="155">
        <f ca="1"/>
        <v>1.9777630356072051E-2</v>
      </c>
      <c r="AD127" s="155">
        <f ca="1"/>
        <v>3.2314707585635705E-2</v>
      </c>
      <c r="AE127" s="138">
        <f ca="1"/>
        <v>5.4443609173323804E-2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4">
        <v>5.0000000000000001E-4</v>
      </c>
      <c r="G128" s="154">
        <v>1.1000000000000001E-3</v>
      </c>
      <c r="H128" s="154">
        <v>1.9E-3</v>
      </c>
      <c r="I128" s="154">
        <v>2.5000000000000001E-3</v>
      </c>
      <c r="J128" s="154" t="s">
        <v>87</v>
      </c>
      <c r="K128" s="154">
        <v>3.8E-3</v>
      </c>
      <c r="L128" s="154">
        <v>4.5999999999999999E-3</v>
      </c>
      <c r="M128" s="154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55">
        <f ca="1"/>
        <v>4.6505499562699004E-4</v>
      </c>
      <c r="P128" s="155">
        <f ca="1"/>
        <v>1.9588772037373303E-3</v>
      </c>
      <c r="Q128" s="155">
        <f ca="1"/>
        <v>6.6037345542214743E-3</v>
      </c>
      <c r="R128" s="155">
        <f ca="1"/>
        <v>1.2925666465893215E-2</v>
      </c>
      <c r="S128" s="155">
        <f ca="1"/>
        <v>0</v>
      </c>
      <c r="T128" s="155">
        <f ca="1"/>
        <v>3.2532262728262595E-2</v>
      </c>
      <c r="U128" s="155">
        <f ca="1"/>
        <v>5.4677722478374768E-2</v>
      </c>
      <c r="V128" s="138">
        <f ca="1"/>
        <v>9.4090286231327203E-2</v>
      </c>
      <c r="W128" s="137">
        <f ca="1"/>
        <v>0</v>
      </c>
      <c r="X128" s="155">
        <f ca="1"/>
        <v>5.5803964578249321E-4</v>
      </c>
      <c r="Y128" s="155">
        <f ca="1"/>
        <v>2.1252035299526018E-3</v>
      </c>
      <c r="Z128" s="155">
        <f ca="1"/>
        <v>6.9348114601380795E-3</v>
      </c>
      <c r="AA128" s="155">
        <f ca="1"/>
        <v>1.3419080268936789E-2</v>
      </c>
      <c r="AB128" s="155">
        <f ca="1"/>
        <v>0</v>
      </c>
      <c r="AC128" s="155">
        <f ca="1"/>
        <v>3.3358634037022439E-2</v>
      </c>
      <c r="AD128" s="155">
        <f ca="1"/>
        <v>5.5806810007505314E-2</v>
      </c>
      <c r="AE128" s="138">
        <f ca="1"/>
        <v>9.5628939645625799E-2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4">
        <v>1E-3</v>
      </c>
      <c r="G129" s="154">
        <v>1.6000000000000001E-3</v>
      </c>
      <c r="H129" s="154">
        <v>2.3999999999999998E-3</v>
      </c>
      <c r="I129" s="154">
        <v>3.0999999999999999E-3</v>
      </c>
      <c r="J129" s="154" t="s">
        <v>87</v>
      </c>
      <c r="K129" s="154">
        <v>5.1999999999999998E-3</v>
      </c>
      <c r="L129" s="154">
        <v>6.3E-3</v>
      </c>
      <c r="M129" s="154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55">
        <f ca="1"/>
        <v>9.2989371787344233E-4</v>
      </c>
      <c r="P129" s="155">
        <f ca="1"/>
        <v>2.8435178916559334E-3</v>
      </c>
      <c r="Q129" s="155">
        <f ca="1"/>
        <v>8.3202093886309836E-3</v>
      </c>
      <c r="R129" s="155">
        <f ca="1"/>
        <v>1.5986747660227341E-2</v>
      </c>
      <c r="S129" s="155">
        <f ca="1"/>
        <v>0</v>
      </c>
      <c r="T129" s="155">
        <f ca="1"/>
        <v>4.4420291511269028E-2</v>
      </c>
      <c r="U129" s="155">
        <f ca="1"/>
        <v>7.4415712127248068E-2</v>
      </c>
      <c r="V129" s="138">
        <f ca="1"/>
        <v>0.11907411790997691</v>
      </c>
      <c r="W129" s="137">
        <f ca="1"/>
        <v>0</v>
      </c>
      <c r="X129" s="155">
        <f ca="1"/>
        <v>1.0228340424542903E-3</v>
      </c>
      <c r="Y129" s="155">
        <f ca="1"/>
        <v>3.0096967900550275E-3</v>
      </c>
      <c r="Z129" s="155">
        <f ca="1"/>
        <v>8.6507142316519792E-3</v>
      </c>
      <c r="AA129" s="155">
        <f ca="1"/>
        <v>1.6478631305257951E-2</v>
      </c>
      <c r="AB129" s="155">
        <f ca="1"/>
        <v>0</v>
      </c>
      <c r="AC129" s="155">
        <f ca="1"/>
        <v>4.5236125406236782E-2</v>
      </c>
      <c r="AD129" s="155">
        <f ca="1"/>
        <v>7.5522300172308321E-2</v>
      </c>
      <c r="AE129" s="138">
        <f ca="1"/>
        <v>0.12058796881259626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4">
        <v>6.9999999999999999E-4</v>
      </c>
      <c r="G130" s="154">
        <v>1E-3</v>
      </c>
      <c r="H130" s="154">
        <v>1.6999999999999999E-3</v>
      </c>
      <c r="I130" s="154">
        <v>2.3999999999999998E-3</v>
      </c>
      <c r="J130" s="154" t="s">
        <v>87</v>
      </c>
      <c r="K130" s="154">
        <v>3.8E-3</v>
      </c>
      <c r="L130" s="154">
        <v>4.7999999999999996E-3</v>
      </c>
      <c r="M130" s="154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55">
        <f ca="1"/>
        <v>6.5101642887865907E-4</v>
      </c>
      <c r="P130" s="155">
        <f ca="1"/>
        <v>1.7766591472427873E-3</v>
      </c>
      <c r="Q130" s="155">
        <f ca="1"/>
        <v>5.9049333382219515E-3</v>
      </c>
      <c r="R130" s="155">
        <f ca="1"/>
        <v>1.2422287894686579E-2</v>
      </c>
      <c r="S130" s="155">
        <f ca="1"/>
        <v>0</v>
      </c>
      <c r="T130" s="155">
        <f ca="1"/>
        <v>3.2579164672873584E-2</v>
      </c>
      <c r="U130" s="155">
        <f ca="1"/>
        <v>5.7184377111408891E-2</v>
      </c>
      <c r="V130" s="138">
        <f ca="1"/>
        <v>0.10096654273982109</v>
      </c>
      <c r="W130" s="137">
        <f ca="1"/>
        <v>0</v>
      </c>
      <c r="X130" s="155">
        <f ca="1"/>
        <v>7.4398343160742009E-4</v>
      </c>
      <c r="Y130" s="155">
        <f ca="1"/>
        <v>1.9430158406077425E-3</v>
      </c>
      <c r="Z130" s="155">
        <f ca="1"/>
        <v>6.236243139080333E-3</v>
      </c>
      <c r="AA130" s="155">
        <f ca="1"/>
        <v>1.2915953324115326E-2</v>
      </c>
      <c r="AB130" s="155">
        <f ca="1"/>
        <v>0</v>
      </c>
      <c r="AC130" s="155">
        <f ca="1"/>
        <v>3.3405656302077258E-2</v>
      </c>
      <c r="AD130" s="155">
        <f ca="1"/>
        <v>5.8311181048631866E-2</v>
      </c>
      <c r="AE130" s="138">
        <f ca="1"/>
        <v>0.10249328137085179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4">
        <v>1.1000000000000001E-3</v>
      </c>
      <c r="G131" s="154">
        <v>1.5E-3</v>
      </c>
      <c r="H131" s="154">
        <v>1.9E-3</v>
      </c>
      <c r="I131" s="154">
        <v>2.5999999999999999E-3</v>
      </c>
      <c r="J131" s="154" t="s">
        <v>87</v>
      </c>
      <c r="K131" s="154">
        <v>3.8E-3</v>
      </c>
      <c r="L131" s="154">
        <v>4.7000000000000002E-3</v>
      </c>
      <c r="M131" s="154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55">
        <f ca="1"/>
        <v>1.0228355227774877E-3</v>
      </c>
      <c r="P131" s="155">
        <f ca="1"/>
        <v>2.6631074892390361E-3</v>
      </c>
      <c r="Q131" s="155">
        <f ca="1"/>
        <v>6.575806954124741E-3</v>
      </c>
      <c r="R131" s="155">
        <f ca="1"/>
        <v>1.3421602970174251E-2</v>
      </c>
      <c r="S131" s="155">
        <f ca="1"/>
        <v>0</v>
      </c>
      <c r="T131" s="155">
        <f ca="1"/>
        <v>3.2478168562836029E-2</v>
      </c>
      <c r="U131" s="155">
        <f ca="1"/>
        <v>5.5851330729520088E-2</v>
      </c>
      <c r="V131" s="138">
        <f ca="1"/>
        <v>9.5686745694948172E-2</v>
      </c>
      <c r="W131" s="137">
        <f ca="1"/>
        <v>0</v>
      </c>
      <c r="X131" s="155">
        <f ca="1"/>
        <v>1.1157668979256963E-3</v>
      </c>
      <c r="Y131" s="155">
        <f ca="1"/>
        <v>2.8293164535180271E-3</v>
      </c>
      <c r="Z131" s="155">
        <f ca="1"/>
        <v>6.9068931677103151E-3</v>
      </c>
      <c r="AA131" s="155">
        <f ca="1"/>
        <v>1.3914768866949867E-2</v>
      </c>
      <c r="AB131" s="155">
        <f ca="1"/>
        <v>0</v>
      </c>
      <c r="AC131" s="155">
        <f ca="1"/>
        <v>3.3304401318842491E-2</v>
      </c>
      <c r="AD131" s="155">
        <f ca="1"/>
        <v>5.6978954358280043E-2</v>
      </c>
      <c r="AE131" s="138">
        <f ca="1"/>
        <v>9.7222559200771497E-2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4">
        <v>8.0000000000000004E-4</v>
      </c>
      <c r="G132" s="154">
        <v>1E-3</v>
      </c>
      <c r="H132" s="154">
        <v>1.9E-3</v>
      </c>
      <c r="I132" s="154">
        <v>2.3999999999999998E-3</v>
      </c>
      <c r="J132" s="154" t="s">
        <v>87</v>
      </c>
      <c r="K132" s="154">
        <v>3.8E-3</v>
      </c>
      <c r="L132" s="154">
        <v>4.4999999999999997E-3</v>
      </c>
      <c r="M132" s="154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55">
        <f ca="1"/>
        <v>7.4398417212018231E-4</v>
      </c>
      <c r="P132" s="155">
        <f ca="1"/>
        <v>1.7749275068706938E-3</v>
      </c>
      <c r="Q132" s="155">
        <f ca="1"/>
        <v>6.6026113077128912E-3</v>
      </c>
      <c r="R132" s="155">
        <f ca="1"/>
        <v>1.2399726377339215E-2</v>
      </c>
      <c r="S132" s="155">
        <f ca="1"/>
        <v>0</v>
      </c>
      <c r="T132" s="155">
        <f ca="1"/>
        <v>3.2555101365710382E-2</v>
      </c>
      <c r="U132" s="155">
        <f ca="1"/>
        <v>5.3471431924260293E-2</v>
      </c>
      <c r="V132" s="138">
        <f ca="1"/>
        <v>9.0693038903939871E-2</v>
      </c>
      <c r="W132" s="137">
        <f ca="1"/>
        <v>0</v>
      </c>
      <c r="X132" s="155">
        <f ca="1"/>
        <v>8.3694231015207787E-4</v>
      </c>
      <c r="Y132" s="155">
        <f ca="1"/>
        <v>1.9412844888236913E-3</v>
      </c>
      <c r="Z132" s="155">
        <f ca="1"/>
        <v>6.9336885879874854E-3</v>
      </c>
      <c r="AA132" s="155">
        <f ca="1"/>
        <v>1.2893403084678789E-2</v>
      </c>
      <c r="AB132" s="155">
        <f ca="1"/>
        <v>0</v>
      </c>
      <c r="AC132" s="155">
        <f ca="1"/>
        <v>3.3381479359115396E-2</v>
      </c>
      <c r="AD132" s="155">
        <f ca="1"/>
        <v>5.4601847763098399E-2</v>
      </c>
      <c r="AE132" s="138">
        <f ca="1"/>
        <v>9.2237654524721546E-2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4">
        <v>6.9999999999999999E-4</v>
      </c>
      <c r="G133" s="154">
        <v>8.0000000000000004E-4</v>
      </c>
      <c r="H133" s="154">
        <v>1.2999999999999999E-3</v>
      </c>
      <c r="I133" s="154">
        <v>1.6999999999999999E-3</v>
      </c>
      <c r="J133" s="154" t="s">
        <v>87</v>
      </c>
      <c r="K133" s="154">
        <v>2.7000000000000001E-3</v>
      </c>
      <c r="L133" s="154">
        <v>3.0999999999999999E-3</v>
      </c>
      <c r="M133" s="154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55">
        <f ca="1"/>
        <v>6.5101642887865907E-4</v>
      </c>
      <c r="P133" s="155">
        <f ca="1"/>
        <v>1.4191382420905008E-3</v>
      </c>
      <c r="Q133" s="155">
        <f ca="1"/>
        <v>4.5135659951300866E-3</v>
      </c>
      <c r="R133" s="155">
        <f ca="1"/>
        <v>8.7935832928932589E-3</v>
      </c>
      <c r="S133" s="155">
        <f ca="1"/>
        <v>0</v>
      </c>
      <c r="T133" s="155">
        <f ca="1"/>
        <v>2.320937925687383E-2</v>
      </c>
      <c r="U133" s="155">
        <f ca="1"/>
        <v>3.7011513562194676E-2</v>
      </c>
      <c r="V133" s="138">
        <f ca="1"/>
        <v>6.6340907406771454E-2</v>
      </c>
      <c r="W133" s="137">
        <f ca="1"/>
        <v>0</v>
      </c>
      <c r="X133" s="155">
        <f ca="1"/>
        <v>7.4398343160742009E-4</v>
      </c>
      <c r="Y133" s="155">
        <f ca="1"/>
        <v>1.58555451730924E-3</v>
      </c>
      <c r="Z133" s="155">
        <f ca="1"/>
        <v>4.8453395078115191E-3</v>
      </c>
      <c r="AA133" s="155">
        <f ca="1"/>
        <v>9.2890626210838656E-3</v>
      </c>
      <c r="AB133" s="155">
        <f ca="1"/>
        <v>0</v>
      </c>
      <c r="AC133" s="155">
        <f ca="1"/>
        <v>2.4043530515335032E-2</v>
      </c>
      <c r="AD133" s="155">
        <f ca="1"/>
        <v>3.8160022133495897E-2</v>
      </c>
      <c r="AE133" s="138">
        <f ca="1"/>
        <v>6.7928430265941753E-2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4">
        <v>2.9999999999999997E-4</v>
      </c>
      <c r="G134" s="154">
        <v>5.9999999999999995E-4</v>
      </c>
      <c r="H134" s="154">
        <v>1.2999999999999999E-3</v>
      </c>
      <c r="I134" s="154">
        <v>1.8E-3</v>
      </c>
      <c r="J134" s="154" t="s">
        <v>87</v>
      </c>
      <c r="K134" s="154">
        <v>2.8999999999999998E-3</v>
      </c>
      <c r="L134" s="154">
        <v>3.5000000000000001E-3</v>
      </c>
      <c r="M134" s="154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55">
        <f ca="1"/>
        <v>2.7905895862256891E-4</v>
      </c>
      <c r="P134" s="155">
        <f ca="1"/>
        <v>1.068353042610326E-3</v>
      </c>
      <c r="Q134" s="155">
        <f ca="1"/>
        <v>4.5288788172164196E-3</v>
      </c>
      <c r="R134" s="155">
        <f ca="1"/>
        <v>9.3350668973307682E-3</v>
      </c>
      <c r="S134" s="155">
        <f ca="1"/>
        <v>0</v>
      </c>
      <c r="T134" s="155">
        <f ca="1"/>
        <v>2.4949425540031767E-2</v>
      </c>
      <c r="U134" s="155">
        <f ca="1"/>
        <v>4.1856783204997194E-2</v>
      </c>
      <c r="V134" s="138">
        <f ca="1"/>
        <v>7.6534605099999986E-2</v>
      </c>
      <c r="W134" s="137">
        <f ca="1"/>
        <v>0</v>
      </c>
      <c r="X134" s="155">
        <f ca="1"/>
        <v>3.7206114936716439E-4</v>
      </c>
      <c r="Y134" s="155">
        <f ca="1"/>
        <v>1.2348277771475624E-3</v>
      </c>
      <c r="Z134" s="155">
        <f ca="1"/>
        <v>4.8606472264616229E-3</v>
      </c>
      <c r="AA134" s="155">
        <f ca="1"/>
        <v>9.8302755514179108E-3</v>
      </c>
      <c r="AB134" s="155">
        <f ca="1"/>
        <v>0</v>
      </c>
      <c r="AC134" s="155">
        <f ca="1"/>
        <v>2.5782341659320918E-2</v>
      </c>
      <c r="AD134" s="155">
        <f ca="1"/>
        <v>4.300055463013619E-2</v>
      </c>
      <c r="AE134" s="138">
        <f ca="1"/>
        <v>7.8105318875687169E-2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4">
        <v>5.9999999999999995E-4</v>
      </c>
      <c r="G135" s="154">
        <v>8.9999999999999998E-4</v>
      </c>
      <c r="H135" s="154">
        <v>1.8E-3</v>
      </c>
      <c r="I135" s="154">
        <v>2.5000000000000001E-3</v>
      </c>
      <c r="J135" s="154" t="s">
        <v>87</v>
      </c>
      <c r="K135" s="154">
        <v>3.8999999999999998E-3</v>
      </c>
      <c r="L135" s="154">
        <v>4.7999999999999996E-3</v>
      </c>
      <c r="M135" s="154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55">
        <f ca="1"/>
        <v>5.5804003710946404E-4</v>
      </c>
      <c r="P135" s="155">
        <f ca="1"/>
        <v>1.599629745781761E-3</v>
      </c>
      <c r="Q135" s="155">
        <f ca="1"/>
        <v>6.2607557461714647E-3</v>
      </c>
      <c r="R135" s="155">
        <f ca="1"/>
        <v>1.2943039068224471E-2</v>
      </c>
      <c r="S135" s="155">
        <f ca="1"/>
        <v>0</v>
      </c>
      <c r="T135" s="155">
        <f ca="1"/>
        <v>3.3419551812797321E-2</v>
      </c>
      <c r="U135" s="155">
        <f ca="1"/>
        <v>5.7098553065288216E-2</v>
      </c>
      <c r="V135" s="138">
        <f ca="1"/>
        <v>0.10612900502976541</v>
      </c>
      <c r="W135" s="137">
        <f ca="1"/>
        <v>0</v>
      </c>
      <c r="X135" s="155">
        <f ca="1"/>
        <v>6.5101587709581743E-4</v>
      </c>
      <c r="Y135" s="155">
        <f ca="1"/>
        <v>1.7660159415965326E-3</v>
      </c>
      <c r="Z135" s="155">
        <f ca="1"/>
        <v>6.5919469593380686E-3</v>
      </c>
      <c r="AA135" s="155">
        <f ca="1"/>
        <v>1.3436444187130969E-2</v>
      </c>
      <c r="AB135" s="155">
        <f ca="1"/>
        <v>0</v>
      </c>
      <c r="AC135" s="155">
        <f ca="1"/>
        <v>3.4245323376498771E-2</v>
      </c>
      <c r="AD135" s="155">
        <f ca="1"/>
        <v>5.8225231810158928E-2</v>
      </c>
      <c r="AE135" s="138">
        <f ca="1"/>
        <v>0.10766863265508497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4">
        <v>1.1800000000000001E-3</v>
      </c>
      <c r="G136" s="154">
        <v>1.5299999999999999E-3</v>
      </c>
      <c r="H136" s="154">
        <v>2.0699999999999998E-3</v>
      </c>
      <c r="I136" s="154">
        <v>2.49E-3</v>
      </c>
      <c r="J136" s="154" t="s">
        <v>87</v>
      </c>
      <c r="K136" s="154">
        <v>3.2000000000000002E-3</v>
      </c>
      <c r="L136" s="154">
        <v>3.62E-3</v>
      </c>
      <c r="M136" s="154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55">
        <f ca="1"/>
        <v>1.0971827432074699E-3</v>
      </c>
      <c r="P136" s="155">
        <f ca="1"/>
        <v>2.7152781385691993E-3</v>
      </c>
      <c r="Q136" s="155">
        <f ca="1"/>
        <v>7.1671889864053373E-3</v>
      </c>
      <c r="R136" s="155">
        <f ca="1"/>
        <v>1.2824074672578067E-2</v>
      </c>
      <c r="S136" s="155">
        <f ca="1"/>
        <v>0</v>
      </c>
      <c r="T136" s="155">
        <f ca="1"/>
        <v>2.7265411599102674E-2</v>
      </c>
      <c r="U136" s="155">
        <f ca="1"/>
        <v>4.2878595136080944E-2</v>
      </c>
      <c r="V136" s="138">
        <f ca="1"/>
        <v>6.7020397055715497E-2</v>
      </c>
      <c r="W136" s="137">
        <f ca="1"/>
        <v>0</v>
      </c>
      <c r="X136" s="155">
        <f ca="1"/>
        <v>1.1901069378937867E-3</v>
      </c>
      <c r="Y136" s="155">
        <f ca="1"/>
        <v>2.8814784084625344E-3</v>
      </c>
      <c r="Z136" s="155">
        <f ca="1"/>
        <v>7.4980781055105084E-3</v>
      </c>
      <c r="AA136" s="155">
        <f ca="1"/>
        <v>1.3317539258827504E-2</v>
      </c>
      <c r="AB136" s="155">
        <f ca="1"/>
        <v>0</v>
      </c>
      <c r="AC136" s="155">
        <f ca="1"/>
        <v>2.8095482988864995E-2</v>
      </c>
      <c r="AD136" s="155">
        <f ca="1"/>
        <v>4.4019340707832755E-2</v>
      </c>
      <c r="AE136" s="138">
        <f ca="1"/>
        <v>6.8603877882490116E-2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4" t="s">
        <v>87</v>
      </c>
      <c r="G137" s="154">
        <v>7.1500000000000003E-4</v>
      </c>
      <c r="H137" s="154" t="s">
        <v>87</v>
      </c>
      <c r="I137" s="154">
        <v>1.815E-3</v>
      </c>
      <c r="J137" s="154" t="s">
        <v>87</v>
      </c>
      <c r="K137" s="154">
        <v>2.7499999999999998E-3</v>
      </c>
      <c r="L137" s="154">
        <v>3.0799999999999998E-3</v>
      </c>
      <c r="M137" s="154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55">
        <f ca="1"/>
        <v>0</v>
      </c>
      <c r="P137" s="155">
        <f ca="1"/>
        <v>1.2645288830771539E-3</v>
      </c>
      <c r="Q137" s="155">
        <f ca="1"/>
        <v>0</v>
      </c>
      <c r="R137" s="155">
        <f ca="1"/>
        <v>9.4033901320041968E-3</v>
      </c>
      <c r="S137" s="155">
        <f ca="1"/>
        <v>0</v>
      </c>
      <c r="T137" s="155">
        <f ca="1"/>
        <v>2.3860281763755986E-2</v>
      </c>
      <c r="U137" s="155">
        <f ca="1"/>
        <v>3.7184129065447991E-2</v>
      </c>
      <c r="V137" s="138">
        <f ca="1"/>
        <v>6.2899363170737965E-2</v>
      </c>
      <c r="W137" s="137">
        <f ca="1"/>
        <v>0</v>
      </c>
      <c r="X137" s="155">
        <f ca="1"/>
        <v>0</v>
      </c>
      <c r="Y137" s="155">
        <f ca="1"/>
        <v>1.4309709243925939E-3</v>
      </c>
      <c r="Z137" s="155">
        <f ca="1"/>
        <v>0</v>
      </c>
      <c r="AA137" s="155">
        <f ca="1"/>
        <v>9.8985646330022048E-3</v>
      </c>
      <c r="AB137" s="155">
        <f ca="1"/>
        <v>0</v>
      </c>
      <c r="AC137" s="155">
        <f ca="1"/>
        <v>2.4673392685709228E-2</v>
      </c>
      <c r="AD137" s="155">
        <f ca="1"/>
        <v>3.8331033918645119E-2</v>
      </c>
      <c r="AE137" s="138">
        <f ca="1"/>
        <v>6.4486230200101913E-2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4" t="s">
        <v>87</v>
      </c>
      <c r="G138" s="154">
        <v>1.4220000000000001E-3</v>
      </c>
      <c r="H138" s="154" t="s">
        <v>87</v>
      </c>
      <c r="I138" s="154">
        <v>2.6410000000000001E-3</v>
      </c>
      <c r="J138" s="154" t="s">
        <v>87</v>
      </c>
      <c r="K138" s="154">
        <v>3.8600000000000001E-3</v>
      </c>
      <c r="L138" s="154">
        <v>4.7739999999999996E-3</v>
      </c>
      <c r="M138" s="154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55">
        <f ca="1"/>
        <v>0</v>
      </c>
      <c r="P138" s="155">
        <f ca="1"/>
        <v>2.5133485202567529E-3</v>
      </c>
      <c r="Q138" s="155">
        <f ca="1"/>
        <v>0</v>
      </c>
      <c r="R138" s="155">
        <f ca="1"/>
        <v>1.3609018674823781E-2</v>
      </c>
      <c r="S138" s="155">
        <f ca="1"/>
        <v>0</v>
      </c>
      <c r="T138" s="155">
        <f ca="1"/>
        <v>3.3262857910175581E-2</v>
      </c>
      <c r="U138" s="155">
        <f ca="1"/>
        <v>5.7674761795750595E-2</v>
      </c>
      <c r="V138" s="138">
        <f ca="1"/>
        <v>9.7848961769685272E-2</v>
      </c>
      <c r="W138" s="137">
        <f ca="1"/>
        <v>0</v>
      </c>
      <c r="X138" s="155">
        <f ca="1"/>
        <v>0</v>
      </c>
      <c r="Y138" s="155">
        <f ca="1"/>
        <v>2.6795824422980452E-3</v>
      </c>
      <c r="Z138" s="155">
        <f ca="1"/>
        <v>0</v>
      </c>
      <c r="AA138" s="155">
        <f ca="1"/>
        <v>1.4102090887170293E-2</v>
      </c>
      <c r="AB138" s="155">
        <f ca="1"/>
        <v>0</v>
      </c>
      <c r="AC138" s="155">
        <f ca="1"/>
        <v>3.4068136615873157E-2</v>
      </c>
      <c r="AD138" s="155">
        <f ca="1"/>
        <v>5.879749272586543E-2</v>
      </c>
      <c r="AE138" s="138">
        <f ca="1"/>
        <v>9.9396881268259629E-2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4">
        <v>1.34E-3</v>
      </c>
      <c r="G139" s="154">
        <v>2.0799999999999998E-3</v>
      </c>
      <c r="H139" s="154">
        <v>3.0500000000000002E-3</v>
      </c>
      <c r="I139" s="154">
        <v>3.5400000000000002E-3</v>
      </c>
      <c r="J139" s="154" t="s">
        <v>87</v>
      </c>
      <c r="K139" s="154">
        <v>4.2700000000000004E-3</v>
      </c>
      <c r="L139" s="154">
        <v>4.64E-3</v>
      </c>
      <c r="M139" s="154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55">
        <f ca="1"/>
        <v>1.2436358769156719E-3</v>
      </c>
      <c r="P139" s="155">
        <f ca="1"/>
        <v>3.6918531872806026E-3</v>
      </c>
      <c r="Q139" s="155">
        <f ca="1"/>
        <v>1.0566755793972482E-2</v>
      </c>
      <c r="R139" s="155">
        <f ca="1"/>
        <v>1.8220415177120586E-2</v>
      </c>
      <c r="S139" s="155">
        <f ca="1"/>
        <v>0</v>
      </c>
      <c r="T139" s="155">
        <f ca="1"/>
        <v>3.6353114225047167E-2</v>
      </c>
      <c r="U139" s="155">
        <f ca="1"/>
        <v>5.4893207245415909E-2</v>
      </c>
      <c r="V139" s="138">
        <f ca="1"/>
        <v>8.3951839380907667E-2</v>
      </c>
      <c r="W139" s="137">
        <f ca="1"/>
        <v>0</v>
      </c>
      <c r="X139" s="155">
        <f ca="1"/>
        <v>1.3363791047872331E-3</v>
      </c>
      <c r="Y139" s="155">
        <f ca="1"/>
        <v>3.8578907082327252E-3</v>
      </c>
      <c r="Z139" s="155">
        <f ca="1"/>
        <v>1.0896511912972917E-2</v>
      </c>
      <c r="AA139" s="155">
        <f ca="1"/>
        <v>1.8711182267522442E-2</v>
      </c>
      <c r="AB139" s="155">
        <f ca="1"/>
        <v>0</v>
      </c>
      <c r="AC139" s="155">
        <f ca="1"/>
        <v>3.7155818789800232E-2</v>
      </c>
      <c r="AD139" s="155">
        <f ca="1"/>
        <v>5.6017342397183589E-2</v>
      </c>
      <c r="AE139" s="138">
        <f ca="1"/>
        <v>8.5477314732693155E-2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4" t="s">
        <v>87</v>
      </c>
      <c r="G140" s="154">
        <v>7.7700000000000002E-4</v>
      </c>
      <c r="H140" s="154" t="s">
        <v>87</v>
      </c>
      <c r="I140" s="154">
        <v>1.4959999999999999E-3</v>
      </c>
      <c r="J140" s="154" t="s">
        <v>87</v>
      </c>
      <c r="K140" s="154">
        <v>2.1710000000000002E-3</v>
      </c>
      <c r="L140" s="154">
        <v>2.5089999999999999E-3</v>
      </c>
      <c r="M140" s="154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55">
        <f ca="1"/>
        <v>0</v>
      </c>
      <c r="P140" s="155">
        <f ca="1"/>
        <v>1.3741055129523616E-3</v>
      </c>
      <c r="Q140" s="155">
        <f ca="1"/>
        <v>0</v>
      </c>
      <c r="R140" s="155">
        <f ca="1"/>
        <v>7.731346813689921E-3</v>
      </c>
      <c r="S140" s="155">
        <f ca="1"/>
        <v>0</v>
      </c>
      <c r="T140" s="155">
        <f ca="1"/>
        <v>1.8807857967923725E-2</v>
      </c>
      <c r="U140" s="155">
        <f ca="1"/>
        <v>3.0410059943794421E-2</v>
      </c>
      <c r="V140" s="138">
        <f ca="1"/>
        <v>6.1775496684611464E-2</v>
      </c>
      <c r="W140" s="137">
        <f ca="1"/>
        <v>0</v>
      </c>
      <c r="X140" s="155">
        <f ca="1"/>
        <v>0</v>
      </c>
      <c r="Y140" s="155">
        <f ca="1"/>
        <v>1.5405292929854264E-3</v>
      </c>
      <c r="Z140" s="155">
        <f ca="1"/>
        <v>0</v>
      </c>
      <c r="AA140" s="155">
        <f ca="1"/>
        <v>8.2273571273520085E-3</v>
      </c>
      <c r="AB140" s="155">
        <f ca="1"/>
        <v>0</v>
      </c>
      <c r="AC140" s="155">
        <f ca="1"/>
        <v>1.9625177489220325E-2</v>
      </c>
      <c r="AD140" s="155">
        <f ca="1"/>
        <v>3.1564492890963081E-2</v>
      </c>
      <c r="AE140" s="138">
        <f ca="1"/>
        <v>6.3363889490641423E-2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4" t="s">
        <v>87</v>
      </c>
      <c r="G141" s="154">
        <v>9.4300000000000004E-4</v>
      </c>
      <c r="H141" s="154" t="s">
        <v>87</v>
      </c>
      <c r="I141" s="154">
        <v>2.702E-3</v>
      </c>
      <c r="J141" s="154" t="s">
        <v>87</v>
      </c>
      <c r="K141" s="154">
        <v>3.908E-3</v>
      </c>
      <c r="L141" s="154">
        <v>4.6319999999999998E-3</v>
      </c>
      <c r="M141" s="154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55">
        <f ca="1"/>
        <v>0</v>
      </c>
      <c r="P141" s="155">
        <f ca="1"/>
        <v>1.6674293642588989E-3</v>
      </c>
      <c r="Q141" s="155">
        <f ca="1"/>
        <v>0</v>
      </c>
      <c r="R141" s="155">
        <f ca="1"/>
        <v>1.3990430918900953E-2</v>
      </c>
      <c r="S141" s="155">
        <f ca="1"/>
        <v>0</v>
      </c>
      <c r="T141" s="155">
        <f ca="1"/>
        <v>3.3723574293051506E-2</v>
      </c>
      <c r="U141" s="155">
        <f ca="1"/>
        <v>5.5794997197432084E-2</v>
      </c>
      <c r="V141" s="138">
        <f ca="1"/>
        <v>9.8247965850615016E-2</v>
      </c>
      <c r="W141" s="137">
        <f ca="1"/>
        <v>0</v>
      </c>
      <c r="X141" s="155">
        <f ca="1"/>
        <v>0</v>
      </c>
      <c r="Y141" s="155">
        <f ca="1"/>
        <v>1.8338042610678285E-3</v>
      </c>
      <c r="Z141" s="155">
        <f ca="1"/>
        <v>0</v>
      </c>
      <c r="AA141" s="155">
        <f ca="1"/>
        <v>1.4483312472769461E-2</v>
      </c>
      <c r="AB141" s="155">
        <f ca="1"/>
        <v>0</v>
      </c>
      <c r="AC141" s="155">
        <f ca="1"/>
        <v>3.4528469228355063E-2</v>
      </c>
      <c r="AD141" s="155">
        <f ca="1"/>
        <v>5.6920224074440529E-2</v>
      </c>
      <c r="AE141" s="138">
        <f ca="1"/>
        <v>9.9796108763467894E-2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4" t="s">
        <v>87</v>
      </c>
      <c r="G142" s="154">
        <v>1.206E-3</v>
      </c>
      <c r="H142" s="154" t="s">
        <v>87</v>
      </c>
      <c r="I142" s="154">
        <v>1.9189999999999999E-3</v>
      </c>
      <c r="J142" s="154" t="s">
        <v>87</v>
      </c>
      <c r="K142" s="154">
        <v>2.4130000000000002E-3</v>
      </c>
      <c r="L142" s="154">
        <v>2.6809999999999998E-3</v>
      </c>
      <c r="M142" s="154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55">
        <f ca="1"/>
        <v>0</v>
      </c>
      <c r="P142" s="155">
        <f ca="1"/>
        <v>2.1319782706600288E-3</v>
      </c>
      <c r="Q142" s="155">
        <f ca="1"/>
        <v>0</v>
      </c>
      <c r="R142" s="155">
        <f ca="1"/>
        <v>9.8811139812525761E-3</v>
      </c>
      <c r="S142" s="155">
        <f ca="1"/>
        <v>0</v>
      </c>
      <c r="T142" s="155">
        <f ca="1"/>
        <v>2.0699720716882419E-2</v>
      </c>
      <c r="U142" s="155">
        <f ca="1"/>
        <v>3.2142221070117882E-2</v>
      </c>
      <c r="V142" s="138">
        <f ca="1"/>
        <v>5.5774923485873429E-2</v>
      </c>
      <c r="W142" s="137">
        <f ca="1"/>
        <v>0</v>
      </c>
      <c r="X142" s="155">
        <f ca="1"/>
        <v>0</v>
      </c>
      <c r="Y142" s="155">
        <f ca="1"/>
        <v>2.2982757490949135E-3</v>
      </c>
      <c r="Z142" s="155">
        <f ca="1"/>
        <v>0</v>
      </c>
      <c r="AA142" s="155">
        <f ca="1"/>
        <v>1.037604968001582E-2</v>
      </c>
      <c r="AB142" s="155">
        <f ca="1"/>
        <v>0</v>
      </c>
      <c r="AC142" s="155">
        <f ca="1"/>
        <v>2.151546434259799E-2</v>
      </c>
      <c r="AD142" s="155">
        <f ca="1"/>
        <v>3.3293725094792337E-2</v>
      </c>
      <c r="AE142" s="138">
        <f ca="1"/>
        <v>5.7373507966816839E-2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4" t="s">
        <v>87</v>
      </c>
      <c r="G143" s="154">
        <v>1.178E-3</v>
      </c>
      <c r="H143" s="154" t="s">
        <v>87</v>
      </c>
      <c r="I143" s="154">
        <v>2.3010000000000001E-3</v>
      </c>
      <c r="J143" s="154" t="s">
        <v>87</v>
      </c>
      <c r="K143" s="154">
        <v>3.3779999999999999E-3</v>
      </c>
      <c r="L143" s="154">
        <v>4.3559999999999996E-3</v>
      </c>
      <c r="M143" s="154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55">
        <f ca="1"/>
        <v>0</v>
      </c>
      <c r="P143" s="155">
        <f ca="1"/>
        <v>2.0825307962583084E-3</v>
      </c>
      <c r="Q143" s="155">
        <f ca="1"/>
        <v>0</v>
      </c>
      <c r="R143" s="155">
        <f ca="1"/>
        <v>1.1873674581774019E-2</v>
      </c>
      <c r="S143" s="155">
        <f ca="1"/>
        <v>0</v>
      </c>
      <c r="T143" s="155">
        <f ca="1"/>
        <v>2.9169631798185214E-2</v>
      </c>
      <c r="U143" s="155">
        <f ca="1"/>
        <v>5.2961946537993243E-2</v>
      </c>
      <c r="V143" s="138">
        <f ca="1"/>
        <v>9.2641515704560584E-2</v>
      </c>
      <c r="W143" s="137">
        <f ca="1"/>
        <v>0</v>
      </c>
      <c r="X143" s="155">
        <f ca="1"/>
        <v>0</v>
      </c>
      <c r="Y143" s="155">
        <f ca="1"/>
        <v>2.2488365152585343E-3</v>
      </c>
      <c r="Z143" s="155">
        <f ca="1"/>
        <v>0</v>
      </c>
      <c r="AA143" s="155">
        <f ca="1"/>
        <v>1.2367614249250702E-2</v>
      </c>
      <c r="AB143" s="155">
        <f ca="1"/>
        <v>0</v>
      </c>
      <c r="AC143" s="155">
        <f ca="1"/>
        <v>2.9978320104739442E-2</v>
      </c>
      <c r="AD143" s="155">
        <f ca="1"/>
        <v>5.4090572672429227E-2</v>
      </c>
      <c r="AE143" s="138">
        <f ca="1"/>
        <v>9.4198967903101005E-2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4" t="s">
        <v>87</v>
      </c>
      <c r="G144" s="154">
        <v>1.1900000000000001E-3</v>
      </c>
      <c r="H144" s="154" t="s">
        <v>87</v>
      </c>
      <c r="I144" s="154">
        <v>2.4269999999999999E-3</v>
      </c>
      <c r="J144" s="154" t="s">
        <v>87</v>
      </c>
      <c r="K144" s="154">
        <v>3.522E-3</v>
      </c>
      <c r="L144" s="154">
        <v>3.6649999999999999E-3</v>
      </c>
      <c r="M144" s="154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55">
        <f ca="1"/>
        <v>0</v>
      </c>
      <c r="P144" s="155">
        <f ca="1"/>
        <v>2.1037228686712206E-3</v>
      </c>
      <c r="Q144" s="155">
        <f ca="1"/>
        <v>0</v>
      </c>
      <c r="R144" s="155">
        <f ca="1"/>
        <v>1.2527546433242942E-2</v>
      </c>
      <c r="S144" s="155">
        <f ca="1"/>
        <v>0</v>
      </c>
      <c r="T144" s="155">
        <f ca="1"/>
        <v>3.0388157904753355E-2</v>
      </c>
      <c r="U144" s="155">
        <f ca="1"/>
        <v>4.3656411689497854E-2</v>
      </c>
      <c r="V144" s="138">
        <f ca="1"/>
        <v>6.4900595110023773E-2</v>
      </c>
      <c r="W144" s="137">
        <f ca="1"/>
        <v>0</v>
      </c>
      <c r="X144" s="155">
        <f ca="1"/>
        <v>0</v>
      </c>
      <c r="Y144" s="155">
        <f ca="1"/>
        <v>2.2700250559570812E-3</v>
      </c>
      <c r="Z144" s="155">
        <f ca="1"/>
        <v>0</v>
      </c>
      <c r="AA144" s="155">
        <f ca="1"/>
        <v>1.3021159246578984E-2</v>
      </c>
      <c r="AB144" s="155">
        <f ca="1"/>
        <v>0</v>
      </c>
      <c r="AC144" s="155">
        <f ca="1"/>
        <v>3.1195831195874768E-2</v>
      </c>
      <c r="AD144" s="155">
        <f ca="1"/>
        <v>4.4795064341811131E-2</v>
      </c>
      <c r="AE144" s="138">
        <f ca="1"/>
        <v>6.6457796090244381E-2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4" t="s">
        <v>87</v>
      </c>
      <c r="G145" s="154">
        <v>1.103E-3</v>
      </c>
      <c r="H145" s="154" t="s">
        <v>87</v>
      </c>
      <c r="I145" s="154">
        <v>1.805E-3</v>
      </c>
      <c r="J145" s="154" t="s">
        <v>87</v>
      </c>
      <c r="K145" s="154">
        <v>2.5569999999999998E-3</v>
      </c>
      <c r="L145" s="154">
        <v>3.46E-3</v>
      </c>
      <c r="M145" s="154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55">
        <f ca="1"/>
        <v>0</v>
      </c>
      <c r="P145" s="155">
        <f ca="1"/>
        <v>1.9500702263623992E-3</v>
      </c>
      <c r="Q145" s="155">
        <f ca="1"/>
        <v>0</v>
      </c>
      <c r="R145" s="155">
        <f ca="1"/>
        <v>9.3005536776513686E-3</v>
      </c>
      <c r="S145" s="155">
        <f ca="1"/>
        <v>0</v>
      </c>
      <c r="T145" s="155">
        <f ca="1"/>
        <v>2.207506055987174E-2</v>
      </c>
      <c r="U145" s="155">
        <f ca="1"/>
        <v>4.23591348623783E-2</v>
      </c>
      <c r="V145" s="138">
        <f ca="1"/>
        <v>7.4732658901387028E-2</v>
      </c>
      <c r="W145" s="137">
        <f ca="1"/>
        <v>0</v>
      </c>
      <c r="X145" s="155">
        <f ca="1"/>
        <v>0</v>
      </c>
      <c r="Y145" s="155">
        <f ca="1"/>
        <v>2.1163980202744126E-3</v>
      </c>
      <c r="Z145" s="155">
        <f ca="1"/>
        <v>0</v>
      </c>
      <c r="AA145" s="155">
        <f ca="1"/>
        <v>9.7957795840372119E-3</v>
      </c>
      <c r="AB145" s="155">
        <f ca="1"/>
        <v>0</v>
      </c>
      <c r="AC145" s="155">
        <f ca="1"/>
        <v>2.288965854640479E-2</v>
      </c>
      <c r="AD145" s="155">
        <f ca="1"/>
        <v>4.3500371381014924E-2</v>
      </c>
      <c r="AE145" s="138">
        <f ca="1"/>
        <v>7.6299509293118573E-2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4" t="s">
        <v>87</v>
      </c>
      <c r="G146" s="154">
        <v>1.1720000000000001E-3</v>
      </c>
      <c r="H146" s="154" t="s">
        <v>87</v>
      </c>
      <c r="I146" s="154">
        <v>3.0980000000000001E-3</v>
      </c>
      <c r="J146" s="154" t="s">
        <v>87</v>
      </c>
      <c r="K146" s="154">
        <v>3.908E-3</v>
      </c>
      <c r="L146" s="154">
        <v>4.8139999999999997E-3</v>
      </c>
      <c r="M146" s="154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55">
        <f ca="1"/>
        <v>0</v>
      </c>
      <c r="P146" s="155">
        <f ca="1"/>
        <v>2.0719345925962473E-3</v>
      </c>
      <c r="Q146" s="155">
        <f ca="1"/>
        <v>0</v>
      </c>
      <c r="R146" s="155">
        <f ca="1"/>
        <v>1.6016038664327104E-2</v>
      </c>
      <c r="S146" s="155">
        <f ca="1"/>
        <v>0</v>
      </c>
      <c r="T146" s="155">
        <f ca="1"/>
        <v>3.346141535184799E-2</v>
      </c>
      <c r="U146" s="155">
        <f ca="1"/>
        <v>5.7911295835664123E-2</v>
      </c>
      <c r="V146" s="138">
        <f ca="1"/>
        <v>0.10638645620861265</v>
      </c>
      <c r="W146" s="137">
        <f ca="1"/>
        <v>0</v>
      </c>
      <c r="X146" s="155">
        <f ca="1"/>
        <v>0</v>
      </c>
      <c r="Y146" s="155">
        <f ca="1"/>
        <v>2.2382420775028944E-3</v>
      </c>
      <c r="Z146" s="155">
        <f ca="1"/>
        <v>0</v>
      </c>
      <c r="AA146" s="155">
        <f ca="1"/>
        <v>1.6507907667484334E-2</v>
      </c>
      <c r="AB146" s="155">
        <f ca="1"/>
        <v>0</v>
      </c>
      <c r="AC146" s="155">
        <f ca="1"/>
        <v>3.4266528661902496E-2</v>
      </c>
      <c r="AD146" s="155">
        <f ca="1"/>
        <v>5.9032978767780464E-2</v>
      </c>
      <c r="AE146" s="138">
        <f ca="1"/>
        <v>0.10792469638202284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4" t="s">
        <v>87</v>
      </c>
      <c r="G147" s="154">
        <v>1.0380000000000001E-3</v>
      </c>
      <c r="H147" s="154" t="s">
        <v>87</v>
      </c>
      <c r="I147" s="154">
        <v>2.8470000000000001E-3</v>
      </c>
      <c r="J147" s="154" t="s">
        <v>87</v>
      </c>
      <c r="K147" s="154">
        <v>4.3429999999999996E-3</v>
      </c>
      <c r="L147" s="154">
        <v>5.4520000000000002E-3</v>
      </c>
      <c r="M147" s="154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55">
        <f ca="1"/>
        <v>0</v>
      </c>
      <c r="P147" s="155">
        <f ca="1"/>
        <v>1.8352569539594743E-3</v>
      </c>
      <c r="Q147" s="155">
        <f ca="1"/>
        <v>0</v>
      </c>
      <c r="R147" s="155">
        <f ca="1"/>
        <v>1.473102557401329E-2</v>
      </c>
      <c r="S147" s="155">
        <f ca="1"/>
        <v>0</v>
      </c>
      <c r="T147" s="155">
        <f ca="1"/>
        <v>3.7518715227105259E-2</v>
      </c>
      <c r="U147" s="155">
        <f ca="1"/>
        <v>6.592273532337467E-2</v>
      </c>
      <c r="V147" s="138">
        <f ca="1"/>
        <v>0.12473849653385327</v>
      </c>
      <c r="W147" s="137">
        <f ca="1"/>
        <v>0</v>
      </c>
      <c r="X147" s="155">
        <f ca="1"/>
        <v>0</v>
      </c>
      <c r="Y147" s="155">
        <f ca="1"/>
        <v>2.0016038818216897E-3</v>
      </c>
      <c r="Z147" s="155">
        <f ca="1"/>
        <v>0</v>
      </c>
      <c r="AA147" s="155">
        <f ca="1"/>
        <v>1.5223536923107961E-2</v>
      </c>
      <c r="AB147" s="155">
        <f ca="1"/>
        <v>0</v>
      </c>
      <c r="AC147" s="155">
        <f ca="1"/>
        <v>3.8320448862348866E-2</v>
      </c>
      <c r="AD147" s="155">
        <f ca="1"/>
        <v>6.7035638137014519E-2</v>
      </c>
      <c r="AE147" s="138">
        <f ca="1"/>
        <v>0.12625425622548925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4" t="s">
        <v>87</v>
      </c>
      <c r="G148" s="154">
        <v>9.5500000000000001E-4</v>
      </c>
      <c r="H148" s="154" t="s">
        <v>87</v>
      </c>
      <c r="I148" s="154">
        <v>1.8079999999999999E-3</v>
      </c>
      <c r="J148" s="154" t="s">
        <v>87</v>
      </c>
      <c r="K148" s="154">
        <v>3.4740000000000001E-3</v>
      </c>
      <c r="L148" s="154">
        <v>4.7109999999999999E-3</v>
      </c>
      <c r="M148" s="154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55">
        <f ca="1"/>
        <v>0</v>
      </c>
      <c r="P148" s="155">
        <f ca="1"/>
        <v>1.6886301837989448E-3</v>
      </c>
      <c r="Q148" s="155">
        <f ca="1"/>
        <v>0</v>
      </c>
      <c r="R148" s="155">
        <f ca="1"/>
        <v>9.3355271262339778E-3</v>
      </c>
      <c r="S148" s="155">
        <f ca="1"/>
        <v>0</v>
      </c>
      <c r="T148" s="155">
        <f ca="1"/>
        <v>3.0345911650913493E-2</v>
      </c>
      <c r="U148" s="155">
        <f ca="1"/>
        <v>5.7832572996468712E-2</v>
      </c>
      <c r="V148" s="138">
        <f ca="1"/>
        <v>0.11233043886187821</v>
      </c>
      <c r="W148" s="137">
        <f ca="1"/>
        <v>0</v>
      </c>
      <c r="X148" s="155">
        <f ca="1"/>
        <v>0</v>
      </c>
      <c r="Y148" s="155">
        <f ca="1"/>
        <v>1.8550015474357862E-3</v>
      </c>
      <c r="Z148" s="155">
        <f ca="1"/>
        <v>0</v>
      </c>
      <c r="AA148" s="155">
        <f ca="1"/>
        <v>9.830735550244607E-3</v>
      </c>
      <c r="AB148" s="155">
        <f ca="1"/>
        <v>0</v>
      </c>
      <c r="AC148" s="155">
        <f ca="1"/>
        <v>3.115362013260714E-2</v>
      </c>
      <c r="AD148" s="155">
        <f ca="1"/>
        <v>5.8956444149678822E-2</v>
      </c>
      <c r="AE148" s="138">
        <f ca="1"/>
        <v>0.11386684752492904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4" t="s">
        <v>87</v>
      </c>
      <c r="G149" s="154">
        <v>6.3100000000000005E-4</v>
      </c>
      <c r="H149" s="154" t="s">
        <v>87</v>
      </c>
      <c r="I149" s="154">
        <v>1.8730000000000001E-3</v>
      </c>
      <c r="J149" s="154" t="s">
        <v>87</v>
      </c>
      <c r="K149" s="154">
        <v>3.4259999999999998E-3</v>
      </c>
      <c r="L149" s="154">
        <v>4.339E-3</v>
      </c>
      <c r="M149" s="154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55">
        <f ca="1"/>
        <v>0</v>
      </c>
      <c r="P149" s="155">
        <f ca="1"/>
        <v>1.1160511848837817E-3</v>
      </c>
      <c r="Q149" s="155">
        <f ca="1"/>
        <v>0</v>
      </c>
      <c r="R149" s="155">
        <f ca="1"/>
        <v>9.716757605742643E-3</v>
      </c>
      <c r="S149" s="155">
        <f ca="1"/>
        <v>0</v>
      </c>
      <c r="T149" s="155">
        <f ca="1"/>
        <v>2.9921471205654693E-2</v>
      </c>
      <c r="U149" s="155">
        <f ca="1"/>
        <v>5.3011582401489177E-2</v>
      </c>
      <c r="V149" s="138">
        <f ca="1"/>
        <v>0.10202272666137779</v>
      </c>
      <c r="W149" s="137">
        <f ca="1"/>
        <v>0</v>
      </c>
      <c r="X149" s="155">
        <f ca="1"/>
        <v>0</v>
      </c>
      <c r="Y149" s="155">
        <f ca="1"/>
        <v>1.2825179703969125E-3</v>
      </c>
      <c r="Z149" s="155">
        <f ca="1"/>
        <v>0</v>
      </c>
      <c r="AA149" s="155">
        <f ca="1"/>
        <v>1.0211775462151573E-2</v>
      </c>
      <c r="AB149" s="155">
        <f ca="1"/>
        <v>0</v>
      </c>
      <c r="AC149" s="155">
        <f ca="1"/>
        <v>3.0729533240349105E-2</v>
      </c>
      <c r="AD149" s="155">
        <f ca="1"/>
        <v>5.4141456164285562E-2</v>
      </c>
      <c r="AE149" s="138">
        <f ca="1"/>
        <v>0.10357153721778922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4" t="s">
        <v>87</v>
      </c>
      <c r="G150" s="154">
        <v>3.28E-4</v>
      </c>
      <c r="H150" s="154" t="s">
        <v>87</v>
      </c>
      <c r="I150" s="154">
        <v>9.8400000000000007E-4</v>
      </c>
      <c r="J150" s="154" t="s">
        <v>87</v>
      </c>
      <c r="K150" s="154">
        <v>1.6410000000000001E-3</v>
      </c>
      <c r="L150" s="154">
        <v>2.2030000000000001E-3</v>
      </c>
      <c r="M150" s="154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55">
        <f ca="1"/>
        <v>0</v>
      </c>
      <c r="P150" s="155">
        <f ca="1"/>
        <v>5.8028881125182785E-4</v>
      </c>
      <c r="Q150" s="155">
        <f ca="1"/>
        <v>0</v>
      </c>
      <c r="R150" s="155">
        <f ca="1"/>
        <v>5.1141010000160803E-3</v>
      </c>
      <c r="S150" s="155">
        <f ca="1"/>
        <v>0</v>
      </c>
      <c r="T150" s="155">
        <f ca="1"/>
        <v>1.435448977549636E-2</v>
      </c>
      <c r="U150" s="155">
        <f ca="1"/>
        <v>2.7243490213553212E-2</v>
      </c>
      <c r="V150" s="138">
        <f ca="1"/>
        <v>5.2954092297753386E-2</v>
      </c>
      <c r="W150" s="137">
        <f ca="1"/>
        <v>0</v>
      </c>
      <c r="X150" s="155">
        <f ca="1"/>
        <v>0</v>
      </c>
      <c r="Y150" s="155">
        <f ca="1"/>
        <v>7.4684488306542285E-4</v>
      </c>
      <c r="Z150" s="155">
        <f ca="1"/>
        <v>0</v>
      </c>
      <c r="AA150" s="155">
        <f ca="1"/>
        <v>5.6114196094879665E-3</v>
      </c>
      <c r="AB150" s="155">
        <f ca="1"/>
        <v>0</v>
      </c>
      <c r="AC150" s="155">
        <f ca="1"/>
        <v>1.517551889105595E-2</v>
      </c>
      <c r="AD150" s="155">
        <f ca="1"/>
        <v>2.8402642591223159E-2</v>
      </c>
      <c r="AE150" s="138">
        <f ca="1"/>
        <v>5.456102333366486E-2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4" t="s">
        <v>87</v>
      </c>
      <c r="G151" s="154">
        <v>3.0200000000000001E-3</v>
      </c>
      <c r="H151" s="154" t="s">
        <v>87</v>
      </c>
      <c r="I151" s="154">
        <v>9.3609999999999995E-3</v>
      </c>
      <c r="J151" s="154" t="s">
        <v>87</v>
      </c>
      <c r="K151" s="154">
        <v>1.5102000000000001E-2</v>
      </c>
      <c r="L151" s="154">
        <v>1.737E-2</v>
      </c>
      <c r="M151" s="154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55">
        <f ca="1"/>
        <v>0</v>
      </c>
      <c r="P151" s="155">
        <f ca="1"/>
        <v>5.3302960357051177E-3</v>
      </c>
      <c r="Q151" s="155">
        <f ca="1"/>
        <v>0</v>
      </c>
      <c r="R151" s="155">
        <f ca="1"/>
        <v>4.7866870826256736E-2</v>
      </c>
      <c r="S151" s="155">
        <f ca="1"/>
        <v>0</v>
      </c>
      <c r="T151" s="155">
        <f ca="1"/>
        <v>0.12663471609912547</v>
      </c>
      <c r="U151" s="155">
        <f ca="1"/>
        <v>0.19735579201341125</v>
      </c>
      <c r="V151" s="138">
        <f ca="1"/>
        <v>0.30201569557321484</v>
      </c>
      <c r="W151" s="137">
        <f ca="1"/>
        <v>0</v>
      </c>
      <c r="X151" s="155">
        <f ca="1"/>
        <v>0</v>
      </c>
      <c r="Y151" s="155">
        <f ca="1"/>
        <v>5.4960605056013634E-3</v>
      </c>
      <c r="Z151" s="155">
        <f ca="1"/>
        <v>0</v>
      </c>
      <c r="AA151" s="155">
        <f ca="1"/>
        <v>4.8342818394008669E-2</v>
      </c>
      <c r="AB151" s="155">
        <f ca="1"/>
        <v>0</v>
      </c>
      <c r="AC151" s="155">
        <f ca="1"/>
        <v>0.12739511937733106</v>
      </c>
      <c r="AD151" s="155">
        <f ca="1"/>
        <v>0.1983372886790018</v>
      </c>
      <c r="AE151" s="138">
        <f ca="1"/>
        <v>0.30324772017431223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4" t="s">
        <v>87</v>
      </c>
      <c r="G152" s="154">
        <v>5.31E-4</v>
      </c>
      <c r="H152" s="154" t="s">
        <v>87</v>
      </c>
      <c r="I152" s="154">
        <v>6.7599999999999995E-4</v>
      </c>
      <c r="J152" s="154" t="s">
        <v>87</v>
      </c>
      <c r="K152" s="154">
        <v>1.158E-3</v>
      </c>
      <c r="L152" s="154">
        <v>1.4959999999999999E-3</v>
      </c>
      <c r="M152" s="154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55">
        <f ca="1"/>
        <v>0</v>
      </c>
      <c r="P152" s="155">
        <f ca="1"/>
        <v>9.3926345047601334E-4</v>
      </c>
      <c r="Q152" s="155">
        <f ca="1"/>
        <v>0</v>
      </c>
      <c r="R152" s="155">
        <f ca="1"/>
        <v>3.4770172204563465E-3</v>
      </c>
      <c r="S152" s="155">
        <f ca="1"/>
        <v>0</v>
      </c>
      <c r="T152" s="155">
        <f ca="1"/>
        <v>1.011575318449387E-2</v>
      </c>
      <c r="U152" s="155">
        <f ca="1"/>
        <v>1.8466463027543845E-2</v>
      </c>
      <c r="V152" s="138">
        <f ca="1"/>
        <v>3.5526665199733798E-2</v>
      </c>
      <c r="W152" s="137">
        <f ca="1"/>
        <v>0</v>
      </c>
      <c r="X152" s="155">
        <f ca="1"/>
        <v>0</v>
      </c>
      <c r="Y152" s="155">
        <f ca="1"/>
        <v>1.1057596981427498E-3</v>
      </c>
      <c r="Z152" s="155">
        <f ca="1"/>
        <v>0</v>
      </c>
      <c r="AA152" s="155">
        <f ca="1"/>
        <v>3.9751541672536916E-3</v>
      </c>
      <c r="AB152" s="155">
        <f ca="1"/>
        <v>0</v>
      </c>
      <c r="AC152" s="155">
        <f ca="1"/>
        <v>1.0940313109125799E-2</v>
      </c>
      <c r="AD152" s="155">
        <f ca="1"/>
        <v>1.9634713176450713E-2</v>
      </c>
      <c r="AE152" s="138">
        <f ca="1"/>
        <v>3.7162927926381428E-2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4" t="s">
        <v>87</v>
      </c>
      <c r="G153" s="154">
        <v>4.7899999999999999E-4</v>
      </c>
      <c r="H153" s="154" t="s">
        <v>87</v>
      </c>
      <c r="I153" s="154">
        <v>1.245E-3</v>
      </c>
      <c r="J153" s="154" t="s">
        <v>87</v>
      </c>
      <c r="K153" s="154">
        <v>2.075E-3</v>
      </c>
      <c r="L153" s="154">
        <v>2.581E-3</v>
      </c>
      <c r="M153" s="154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55">
        <f ca="1"/>
        <v>0</v>
      </c>
      <c r="P153" s="155">
        <f ca="1"/>
        <v>8.4732155338929083E-4</v>
      </c>
      <c r="Q153" s="155">
        <f ca="1"/>
        <v>0</v>
      </c>
      <c r="R153" s="155">
        <f ca="1"/>
        <v>6.4590875949296356E-3</v>
      </c>
      <c r="S153" s="155">
        <f ca="1"/>
        <v>0</v>
      </c>
      <c r="T153" s="155">
        <f ca="1"/>
        <v>1.8118553865066445E-2</v>
      </c>
      <c r="U153" s="155">
        <f ca="1"/>
        <v>3.1644031643958459E-2</v>
      </c>
      <c r="V153" s="138">
        <f ca="1"/>
        <v>5.4226638003350813E-2</v>
      </c>
      <c r="W153" s="137">
        <f ca="1"/>
        <v>0</v>
      </c>
      <c r="X153" s="155">
        <f ca="1"/>
        <v>0</v>
      </c>
      <c r="Y153" s="155">
        <f ca="1"/>
        <v>1.0138331234285092E-3</v>
      </c>
      <c r="Z153" s="155">
        <f ca="1"/>
        <v>0</v>
      </c>
      <c r="AA153" s="155">
        <f ca="1"/>
        <v>6.95573387919457E-3</v>
      </c>
      <c r="AB153" s="155">
        <f ca="1"/>
        <v>0</v>
      </c>
      <c r="AC153" s="155">
        <f ca="1"/>
        <v>1.8936447567142078E-2</v>
      </c>
      <c r="AD153" s="155">
        <f ca="1"/>
        <v>3.279802042965152E-2</v>
      </c>
      <c r="AE153" s="138">
        <f ca="1"/>
        <v>5.5830653804902375E-2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4" t="s">
        <v>87</v>
      </c>
      <c r="G154" s="154">
        <v>9.1699999999999995E-4</v>
      </c>
      <c r="H154" s="154" t="s">
        <v>87</v>
      </c>
      <c r="I154" s="154">
        <v>1.689E-3</v>
      </c>
      <c r="J154" s="154" t="s">
        <v>87</v>
      </c>
      <c r="K154" s="154">
        <v>2.4610000000000001E-3</v>
      </c>
      <c r="L154" s="154">
        <v>3.4450000000000001E-3</v>
      </c>
      <c r="M154" s="154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55">
        <f ca="1"/>
        <v>0</v>
      </c>
      <c r="P154" s="155">
        <f ca="1"/>
        <v>1.6214927223938691E-3</v>
      </c>
      <c r="Q154" s="155">
        <f ca="1"/>
        <v>0</v>
      </c>
      <c r="R154" s="155">
        <f ca="1"/>
        <v>8.7200408059758816E-3</v>
      </c>
      <c r="S154" s="155">
        <f ca="1"/>
        <v>0</v>
      </c>
      <c r="T154" s="155">
        <f ca="1"/>
        <v>2.1299162388640269E-2</v>
      </c>
      <c r="U154" s="155">
        <f ca="1"/>
        <v>4.2355560241472578E-2</v>
      </c>
      <c r="V154" s="138">
        <f ca="1"/>
        <v>8.3057859385968991E-2</v>
      </c>
      <c r="W154" s="137">
        <f ca="1"/>
        <v>0</v>
      </c>
      <c r="X154" s="155">
        <f ca="1"/>
        <v>0</v>
      </c>
      <c r="Y154" s="155">
        <f ca="1"/>
        <v>1.7878752746717241E-3</v>
      </c>
      <c r="Z154" s="155">
        <f ca="1"/>
        <v>0</v>
      </c>
      <c r="AA154" s="155">
        <f ca="1"/>
        <v>9.2155568961904688E-3</v>
      </c>
      <c r="AB154" s="155">
        <f ca="1"/>
        <v>0</v>
      </c>
      <c r="AC154" s="155">
        <f ca="1"/>
        <v>2.2114406687691601E-2</v>
      </c>
      <c r="AD154" s="155">
        <f ca="1"/>
        <v>4.3497077076590229E-2</v>
      </c>
      <c r="AE154" s="138">
        <f ca="1"/>
        <v>8.4633603961366655E-2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4" t="s">
        <v>87</v>
      </c>
      <c r="G155" s="154">
        <v>4.0900000000000002E-4</v>
      </c>
      <c r="H155" s="154" t="s">
        <v>87</v>
      </c>
      <c r="I155" s="154">
        <v>1.271E-3</v>
      </c>
      <c r="J155" s="154" t="s">
        <v>87</v>
      </c>
      <c r="K155" s="154">
        <v>1.882E-3</v>
      </c>
      <c r="L155" s="154">
        <v>2.6949999999999999E-3</v>
      </c>
      <c r="M155" s="154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55">
        <f ca="1"/>
        <v>0</v>
      </c>
      <c r="P155" s="155">
        <f ca="1"/>
        <v>7.2354034946919832E-4</v>
      </c>
      <c r="Q155" s="155">
        <f ca="1"/>
        <v>0</v>
      </c>
      <c r="R155" s="155">
        <f ca="1"/>
        <v>6.603905833010737E-3</v>
      </c>
      <c r="S155" s="155">
        <f ca="1"/>
        <v>0</v>
      </c>
      <c r="T155" s="155">
        <f ca="1"/>
        <v>1.636819029790082E-2</v>
      </c>
      <c r="U155" s="155">
        <f ca="1"/>
        <v>3.3353183866676739E-2</v>
      </c>
      <c r="V155" s="138">
        <f ca="1"/>
        <v>5.854007454807808E-2</v>
      </c>
      <c r="W155" s="137">
        <f ca="1"/>
        <v>0</v>
      </c>
      <c r="X155" s="155">
        <f ca="1"/>
        <v>0</v>
      </c>
      <c r="Y155" s="155">
        <f ca="1"/>
        <v>8.9007254800632651E-4</v>
      </c>
      <c r="Z155" s="155">
        <f ca="1"/>
        <v>0</v>
      </c>
      <c r="AA155" s="155">
        <f ca="1"/>
        <v>7.1004797262890218E-3</v>
      </c>
      <c r="AB155" s="155">
        <f ca="1"/>
        <v>0</v>
      </c>
      <c r="AC155" s="155">
        <f ca="1"/>
        <v>1.7187542028706537E-2</v>
      </c>
      <c r="AD155" s="155">
        <f ca="1"/>
        <v>3.4505473931252362E-2</v>
      </c>
      <c r="AE155" s="138">
        <f ca="1"/>
        <v>6.0137689693277263E-2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4" t="s">
        <v>87</v>
      </c>
      <c r="G156" s="154">
        <v>4.516E-3</v>
      </c>
      <c r="H156" s="154" t="s">
        <v>87</v>
      </c>
      <c r="I156" s="154">
        <v>5.5579999999999996E-3</v>
      </c>
      <c r="J156" s="154" t="s">
        <v>87</v>
      </c>
      <c r="K156" s="154">
        <v>6.9480000000000002E-3</v>
      </c>
      <c r="L156" s="154">
        <v>6.9480000000000002E-3</v>
      </c>
      <c r="M156" s="154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55">
        <f ca="1"/>
        <v>0</v>
      </c>
      <c r="P156" s="155">
        <f ca="1"/>
        <v>7.9602959657174566E-3</v>
      </c>
      <c r="Q156" s="155">
        <f ca="1"/>
        <v>0</v>
      </c>
      <c r="R156" s="155">
        <f ca="1"/>
        <v>2.8240223692155175E-2</v>
      </c>
      <c r="S156" s="155">
        <f ca="1"/>
        <v>0</v>
      </c>
      <c r="T156" s="155">
        <f ca="1"/>
        <v>5.8481246500821205E-2</v>
      </c>
      <c r="U156" s="155">
        <f ca="1"/>
        <v>8.0170220023773719E-2</v>
      </c>
      <c r="V156" s="138">
        <f ca="1"/>
        <v>0.11183237519296818</v>
      </c>
      <c r="W156" s="137">
        <f ca="1"/>
        <v>0</v>
      </c>
      <c r="X156" s="155">
        <f ca="1"/>
        <v>0</v>
      </c>
      <c r="Y156" s="155">
        <f ca="1"/>
        <v>8.1256221388164018E-3</v>
      </c>
      <c r="Z156" s="155">
        <f ca="1"/>
        <v>0</v>
      </c>
      <c r="AA156" s="155">
        <f ca="1"/>
        <v>2.8725982130598737E-2</v>
      </c>
      <c r="AB156" s="155">
        <f ca="1"/>
        <v>0</v>
      </c>
      <c r="AC156" s="155">
        <f ca="1"/>
        <v>5.9265518636659853E-2</v>
      </c>
      <c r="AD156" s="155">
        <f ca="1"/>
        <v>8.1242729015186144E-2</v>
      </c>
      <c r="AE156" s="138">
        <f ca="1"/>
        <v>0.1133114216865414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4" t="s">
        <v>87</v>
      </c>
      <c r="G157" s="154">
        <v>6.8499999999999995E-4</v>
      </c>
      <c r="H157" s="154" t="s">
        <v>87</v>
      </c>
      <c r="I157" s="154">
        <v>1.8890000000000001E-3</v>
      </c>
      <c r="J157" s="154" t="s">
        <v>87</v>
      </c>
      <c r="K157" s="154">
        <v>2.6540000000000001E-3</v>
      </c>
      <c r="L157" s="154">
        <v>3.5980000000000001E-3</v>
      </c>
      <c r="M157" s="154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55">
        <f ca="1"/>
        <v>0</v>
      </c>
      <c r="P157" s="155">
        <f ca="1"/>
        <v>1.2115036487779784E-3</v>
      </c>
      <c r="Q157" s="155">
        <f ca="1"/>
        <v>0</v>
      </c>
      <c r="R157" s="155">
        <f ca="1"/>
        <v>9.7930846479036271E-3</v>
      </c>
      <c r="S157" s="155">
        <f ca="1"/>
        <v>0</v>
      </c>
      <c r="T157" s="155">
        <f ca="1"/>
        <v>2.2957727911276149E-2</v>
      </c>
      <c r="U157" s="155">
        <f ca="1"/>
        <v>4.4084008843508271E-2</v>
      </c>
      <c r="V157" s="138">
        <f ca="1"/>
        <v>8.0757700259576737E-2</v>
      </c>
      <c r="W157" s="137">
        <f ca="1"/>
        <v>0</v>
      </c>
      <c r="X157" s="155">
        <f ca="1"/>
        <v>0</v>
      </c>
      <c r="Y157" s="155">
        <f ca="1"/>
        <v>1.3779545268663984E-3</v>
      </c>
      <c r="Z157" s="155">
        <f ca="1"/>
        <v>0</v>
      </c>
      <c r="AA157" s="155">
        <f ca="1"/>
        <v>1.0288064350312931E-2</v>
      </c>
      <c r="AB157" s="155">
        <f ca="1"/>
        <v>0</v>
      </c>
      <c r="AC157" s="155">
        <f ca="1"/>
        <v>2.3771590648078211E-2</v>
      </c>
      <c r="AD157" s="155">
        <f ca="1"/>
        <v>4.5223428078160599E-2</v>
      </c>
      <c r="AE157" s="138">
        <f ca="1"/>
        <v>8.2288494742693508E-2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4" t="s">
        <v>87</v>
      </c>
      <c r="G158" s="154">
        <v>9.0200000000000002E-4</v>
      </c>
      <c r="H158" s="154" t="s">
        <v>87</v>
      </c>
      <c r="I158" s="154">
        <v>2.1849999999999999E-3</v>
      </c>
      <c r="J158" s="154" t="s">
        <v>87</v>
      </c>
      <c r="K158" s="154">
        <v>3.4259999999999998E-3</v>
      </c>
      <c r="L158" s="154">
        <v>4.3189999999999999E-3</v>
      </c>
      <c r="M158" s="154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55">
        <f ca="1"/>
        <v>0</v>
      </c>
      <c r="P158" s="155">
        <f ca="1"/>
        <v>1.5949898594456169E-3</v>
      </c>
      <c r="Q158" s="155">
        <f ca="1"/>
        <v>0</v>
      </c>
      <c r="R158" s="155">
        <f ca="1"/>
        <v>1.1306505646697107E-2</v>
      </c>
      <c r="S158" s="155">
        <f ca="1"/>
        <v>0</v>
      </c>
      <c r="T158" s="155">
        <f ca="1"/>
        <v>2.9704966474848549E-2</v>
      </c>
      <c r="U158" s="155">
        <f ca="1"/>
        <v>5.2529683417666506E-2</v>
      </c>
      <c r="V158" s="138">
        <f ca="1"/>
        <v>8.9444357311002087E-2</v>
      </c>
      <c r="W158" s="137">
        <f ca="1"/>
        <v>0</v>
      </c>
      <c r="X158" s="155">
        <f ca="1"/>
        <v>0</v>
      </c>
      <c r="Y158" s="155">
        <f ca="1"/>
        <v>1.7613768285056342E-3</v>
      </c>
      <c r="Z158" s="155">
        <f ca="1"/>
        <v>0</v>
      </c>
      <c r="AA158" s="155">
        <f ca="1"/>
        <v>1.1800728827762175E-2</v>
      </c>
      <c r="AB158" s="155">
        <f ca="1"/>
        <v>0</v>
      </c>
      <c r="AC158" s="155">
        <f ca="1"/>
        <v>3.0513208855009299E-2</v>
      </c>
      <c r="AD158" s="155">
        <f ca="1"/>
        <v>5.3659308345335055E-2</v>
      </c>
      <c r="AE158" s="138">
        <f ca="1"/>
        <v>9.0960686090552634E-2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4" t="s">
        <v>87</v>
      </c>
      <c r="G159" s="154">
        <v>6.29E-4</v>
      </c>
      <c r="H159" s="154" t="s">
        <v>87</v>
      </c>
      <c r="I159" s="154">
        <v>1.8E-3</v>
      </c>
      <c r="J159" s="154" t="s">
        <v>87</v>
      </c>
      <c r="K159" s="154">
        <v>2.6059999999999998E-3</v>
      </c>
      <c r="L159" s="154">
        <v>3.2690000000000002E-3</v>
      </c>
      <c r="M159" s="154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55">
        <f ca="1"/>
        <v>0</v>
      </c>
      <c r="P159" s="155">
        <f ca="1"/>
        <v>1.1125157345645009E-3</v>
      </c>
      <c r="Q159" s="155">
        <f ca="1"/>
        <v>0</v>
      </c>
      <c r="R159" s="155">
        <f ca="1"/>
        <v>9.3364233133257368E-3</v>
      </c>
      <c r="S159" s="155">
        <f ca="1"/>
        <v>0</v>
      </c>
      <c r="T159" s="155">
        <f ca="1"/>
        <v>2.2582612003647751E-2</v>
      </c>
      <c r="U159" s="155">
        <f ca="1"/>
        <v>3.9852973094020028E-2</v>
      </c>
      <c r="V159" s="138">
        <f ca="1"/>
        <v>6.771629129095047E-2</v>
      </c>
      <c r="W159" s="137">
        <f ca="1"/>
        <v>0</v>
      </c>
      <c r="X159" s="155">
        <f ca="1"/>
        <v>0</v>
      </c>
      <c r="Y159" s="155">
        <f ca="1"/>
        <v>1.2789831092767656E-3</v>
      </c>
      <c r="Z159" s="155">
        <f ca="1"/>
        <v>0</v>
      </c>
      <c r="AA159" s="155">
        <f ca="1"/>
        <v>9.8316312893956814E-3</v>
      </c>
      <c r="AB159" s="155">
        <f ca="1"/>
        <v>0</v>
      </c>
      <c r="AC159" s="155">
        <f ca="1"/>
        <v>2.3396787206879766E-2</v>
      </c>
      <c r="AD159" s="155">
        <f ca="1"/>
        <v>4.0997258467944442E-2</v>
      </c>
      <c r="AE159" s="138">
        <f ca="1"/>
        <v>6.9295857644640413E-2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4" t="s">
        <v>87</v>
      </c>
      <c r="G160" s="154">
        <v>1.238E-3</v>
      </c>
      <c r="H160" s="154" t="s">
        <v>87</v>
      </c>
      <c r="I160" s="154">
        <v>4.0530000000000002E-3</v>
      </c>
      <c r="J160" s="154" t="s">
        <v>87</v>
      </c>
      <c r="K160" s="154">
        <v>5.6940000000000003E-3</v>
      </c>
      <c r="L160" s="154">
        <v>7.4310000000000001E-3</v>
      </c>
      <c r="M160" s="154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55">
        <f ca="1"/>
        <v>0</v>
      </c>
      <c r="P160" s="155">
        <f ca="1"/>
        <v>2.1884866933236102E-3</v>
      </c>
      <c r="Q160" s="155">
        <f ca="1"/>
        <v>0</v>
      </c>
      <c r="R160" s="155">
        <f ca="1"/>
        <v>2.095508872279872E-2</v>
      </c>
      <c r="S160" s="155">
        <f ca="1"/>
        <v>0</v>
      </c>
      <c r="T160" s="155">
        <f ca="1"/>
        <v>4.8806019032593961E-2</v>
      </c>
      <c r="U160" s="155">
        <f ca="1"/>
        <v>8.9258320448838746E-2</v>
      </c>
      <c r="V160" s="138">
        <f ca="1"/>
        <v>0.15925306261321914</v>
      </c>
      <c r="W160" s="137">
        <f ca="1"/>
        <v>0</v>
      </c>
      <c r="X160" s="155">
        <f ca="1"/>
        <v>0</v>
      </c>
      <c r="Y160" s="155">
        <f ca="1"/>
        <v>2.3547747544959696E-3</v>
      </c>
      <c r="Z160" s="155">
        <f ca="1"/>
        <v>0</v>
      </c>
      <c r="AA160" s="155">
        <f ca="1"/>
        <v>2.1444488818237017E-2</v>
      </c>
      <c r="AB160" s="155">
        <f ca="1"/>
        <v>0</v>
      </c>
      <c r="AC160" s="155">
        <f ca="1"/>
        <v>4.9598350499465593E-2</v>
      </c>
      <c r="AD160" s="155">
        <f ca="1"/>
        <v>9.032023283895696E-2</v>
      </c>
      <c r="AE160" s="138">
        <f ca="1"/>
        <v>0.16072236197139689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4" t="s">
        <v>87</v>
      </c>
      <c r="G161" s="154">
        <v>3.4431999999999997E-2</v>
      </c>
      <c r="H161" s="154" t="s">
        <v>87</v>
      </c>
      <c r="I161" s="154">
        <v>3.3938000000000003E-2</v>
      </c>
      <c r="J161" s="154" t="s">
        <v>87</v>
      </c>
      <c r="K161" s="154">
        <v>3.006E-2</v>
      </c>
      <c r="L161" s="154">
        <v>2.8119999999999999E-2</v>
      </c>
      <c r="M161" s="154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55">
        <f ca="1"/>
        <v>0</v>
      </c>
      <c r="P161" s="155">
        <f ca="1"/>
        <v>5.9112735974764852E-2</v>
      </c>
      <c r="Q161" s="155">
        <f ca="1"/>
        <v>0</v>
      </c>
      <c r="R161" s="155">
        <f ca="1"/>
        <v>0.15953357101311783</v>
      </c>
      <c r="S161" s="155">
        <f ca="1"/>
        <v>0</v>
      </c>
      <c r="T161" s="155">
        <f ca="1"/>
        <v>0.22073067064201712</v>
      </c>
      <c r="U161" s="155">
        <f ca="1"/>
        <v>0.27447165275665064</v>
      </c>
      <c r="V161" s="138">
        <f ca="1"/>
        <v>0.35551259309182059</v>
      </c>
      <c r="W161" s="137">
        <f ca="1"/>
        <v>0</v>
      </c>
      <c r="X161" s="155">
        <f ca="1"/>
        <v>0</v>
      </c>
      <c r="Y161" s="155">
        <f ca="1"/>
        <v>5.9269537451608345E-2</v>
      </c>
      <c r="Z161" s="155">
        <f ca="1"/>
        <v>0</v>
      </c>
      <c r="AA161" s="155">
        <f ca="1"/>
        <v>0.15995369918682389</v>
      </c>
      <c r="AB161" s="155">
        <f ca="1"/>
        <v>0</v>
      </c>
      <c r="AC161" s="155">
        <f ca="1"/>
        <v>0.22137979124531015</v>
      </c>
      <c r="AD161" s="155">
        <f ca="1"/>
        <v>0.27531760892470025</v>
      </c>
      <c r="AE161" s="138">
        <f ca="1"/>
        <v>0.35658584414568117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4" t="s">
        <v>87</v>
      </c>
      <c r="G162" s="154">
        <v>1.083E-3</v>
      </c>
      <c r="H162" s="154" t="s">
        <v>87</v>
      </c>
      <c r="I162" s="154">
        <v>3.0460000000000001E-3</v>
      </c>
      <c r="J162" s="154" t="s">
        <v>87</v>
      </c>
      <c r="K162" s="154">
        <v>4.8729999999999997E-3</v>
      </c>
      <c r="L162" s="154">
        <v>6.4980000000000003E-3</v>
      </c>
      <c r="M162" s="154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55">
        <f ca="1"/>
        <v>0</v>
      </c>
      <c r="P162" s="155">
        <f ca="1"/>
        <v>1.9147444614078246E-3</v>
      </c>
      <c r="Q162" s="155">
        <f ca="1"/>
        <v>0</v>
      </c>
      <c r="R162" s="155">
        <f ca="1"/>
        <v>1.5758269360997001E-2</v>
      </c>
      <c r="S162" s="155">
        <f ca="1"/>
        <v>0</v>
      </c>
      <c r="T162" s="155">
        <f ca="1"/>
        <v>4.2128524531223954E-2</v>
      </c>
      <c r="U162" s="155">
        <f ca="1"/>
        <v>7.8795335624791019E-2</v>
      </c>
      <c r="V162" s="138">
        <f ca="1"/>
        <v>0.14917330845067711</v>
      </c>
      <c r="W162" s="137">
        <f ca="1"/>
        <v>0</v>
      </c>
      <c r="X162" s="155">
        <f ca="1"/>
        <v>0</v>
      </c>
      <c r="Y162" s="155">
        <f ca="1"/>
        <v>2.0810781424793756E-3</v>
      </c>
      <c r="Z162" s="155">
        <f ca="1"/>
        <v>0</v>
      </c>
      <c r="AA162" s="155">
        <f ca="1"/>
        <v>1.6250267216636138E-2</v>
      </c>
      <c r="AB162" s="155">
        <f ca="1"/>
        <v>0</v>
      </c>
      <c r="AC162" s="155">
        <f ca="1"/>
        <v>4.2926418258910082E-2</v>
      </c>
      <c r="AD162" s="155">
        <f ca="1"/>
        <v>7.9869447712690222E-2</v>
      </c>
      <c r="AE162" s="138">
        <f ca="1"/>
        <v>0.15066154556293188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4" t="s">
        <v>87</v>
      </c>
      <c r="G163" s="154">
        <v>1.0970000000000001E-3</v>
      </c>
      <c r="H163" s="154" t="s">
        <v>87</v>
      </c>
      <c r="I163" s="154">
        <v>1.645E-3</v>
      </c>
      <c r="J163" s="154" t="s">
        <v>87</v>
      </c>
      <c r="K163" s="154">
        <v>2.4130000000000002E-3</v>
      </c>
      <c r="L163" s="154">
        <v>2.6689999999999999E-3</v>
      </c>
      <c r="M163" s="154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55">
        <f ca="1"/>
        <v>0</v>
      </c>
      <c r="P163" s="155">
        <f ca="1"/>
        <v>1.9394726271406704E-3</v>
      </c>
      <c r="Q163" s="155">
        <f ca="1"/>
        <v>0</v>
      </c>
      <c r="R163" s="155">
        <f ca="1"/>
        <v>8.4671794839242809E-3</v>
      </c>
      <c r="S163" s="155">
        <f ca="1"/>
        <v>0</v>
      </c>
      <c r="T163" s="155">
        <f ca="1"/>
        <v>2.0866947866636121E-2</v>
      </c>
      <c r="U163" s="155">
        <f ca="1"/>
        <v>3.2150402887305307E-2</v>
      </c>
      <c r="V163" s="138">
        <f ca="1"/>
        <v>5.7315828476550035E-2</v>
      </c>
      <c r="W163" s="137">
        <f ca="1"/>
        <v>0</v>
      </c>
      <c r="X163" s="155">
        <f ca="1"/>
        <v>0</v>
      </c>
      <c r="Y163" s="155">
        <f ca="1"/>
        <v>2.1058021871914745E-3</v>
      </c>
      <c r="Z163" s="155">
        <f ca="1"/>
        <v>0</v>
      </c>
      <c r="AA163" s="155">
        <f ca="1"/>
        <v>8.96282197323095E-3</v>
      </c>
      <c r="AB163" s="155">
        <f ca="1"/>
        <v>0</v>
      </c>
      <c r="AC163" s="155">
        <f ca="1"/>
        <v>2.1682552194400628E-2</v>
      </c>
      <c r="AD163" s="155">
        <f ca="1"/>
        <v>3.3302506356878703E-2</v>
      </c>
      <c r="AE163" s="138">
        <f ca="1"/>
        <v>5.8912263824598909E-2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4" t="s">
        <v>87</v>
      </c>
      <c r="G164" s="154">
        <v>1.505E-3</v>
      </c>
      <c r="H164" s="154" t="s">
        <v>87</v>
      </c>
      <c r="I164" s="154">
        <v>2.6090000000000002E-3</v>
      </c>
      <c r="J164" s="154" t="s">
        <v>87</v>
      </c>
      <c r="K164" s="154">
        <v>3.764E-3</v>
      </c>
      <c r="L164" s="154">
        <v>4.8170000000000001E-3</v>
      </c>
      <c r="M164" s="154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55">
        <f ca="1"/>
        <v>0</v>
      </c>
      <c r="P164" s="155">
        <f ca="1"/>
        <v>2.6598551124339398E-3</v>
      </c>
      <c r="Q164" s="155">
        <f ca="1"/>
        <v>0</v>
      </c>
      <c r="R164" s="155">
        <f ca="1"/>
        <v>1.343159530764082E-2</v>
      </c>
      <c r="S164" s="155">
        <f ca="1"/>
        <v>0</v>
      </c>
      <c r="T164" s="155">
        <f ca="1"/>
        <v>3.2409833346641159E-2</v>
      </c>
      <c r="U164" s="155">
        <f ca="1"/>
        <v>5.8350775013456091E-2</v>
      </c>
      <c r="V164" s="138">
        <f ca="1"/>
        <v>0.10044957150091827</v>
      </c>
      <c r="W164" s="137">
        <f ca="1"/>
        <v>0</v>
      </c>
      <c r="X164" s="155">
        <f ca="1"/>
        <v>0</v>
      </c>
      <c r="Y164" s="155">
        <f ca="1"/>
        <v>2.8260646187289185E-3</v>
      </c>
      <c r="Z164" s="155">
        <f ca="1"/>
        <v>0</v>
      </c>
      <c r="AA164" s="155">
        <f ca="1"/>
        <v>1.3924756209492406E-2</v>
      </c>
      <c r="AB164" s="155">
        <f ca="1"/>
        <v>0</v>
      </c>
      <c r="AC164" s="155">
        <f ca="1"/>
        <v>3.3215822610035639E-2</v>
      </c>
      <c r="AD164" s="155">
        <f ca="1"/>
        <v>5.9472504116826697E-2</v>
      </c>
      <c r="AE164" s="138">
        <f ca="1"/>
        <v>0.10199498782773297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4" t="s">
        <v>87</v>
      </c>
      <c r="G165" s="154">
        <v>5.31E-4</v>
      </c>
      <c r="H165" s="154" t="s">
        <v>87</v>
      </c>
      <c r="I165" s="154">
        <v>1.4480000000000001E-3</v>
      </c>
      <c r="J165" s="154" t="s">
        <v>87</v>
      </c>
      <c r="K165" s="154">
        <v>2.1229999999999999E-3</v>
      </c>
      <c r="L165" s="154">
        <v>2.7989999999999998E-3</v>
      </c>
      <c r="M165" s="154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55">
        <f ca="1"/>
        <v>0</v>
      </c>
      <c r="P165" s="155">
        <f ca="1"/>
        <v>9.3926345047601334E-4</v>
      </c>
      <c r="Q165" s="155">
        <f ca="1"/>
        <v>0</v>
      </c>
      <c r="R165" s="155">
        <f ca="1"/>
        <v>7.51258902927876E-3</v>
      </c>
      <c r="S165" s="155">
        <f ca="1"/>
        <v>0</v>
      </c>
      <c r="T165" s="155">
        <f ca="1"/>
        <v>1.8433202332726828E-2</v>
      </c>
      <c r="U165" s="155">
        <f ca="1"/>
        <v>3.4362004164312676E-2</v>
      </c>
      <c r="V165" s="138">
        <f ca="1"/>
        <v>7.0848999477525876E-2</v>
      </c>
      <c r="W165" s="137">
        <f ca="1"/>
        <v>0</v>
      </c>
      <c r="X165" s="155">
        <f ca="1"/>
        <v>0</v>
      </c>
      <c r="Y165" s="155">
        <f ca="1"/>
        <v>1.1057596981427498E-3</v>
      </c>
      <c r="Z165" s="155">
        <f ca="1"/>
        <v>0</v>
      </c>
      <c r="AA165" s="155">
        <f ca="1"/>
        <v>8.008708694472122E-3</v>
      </c>
      <c r="AB165" s="155">
        <f ca="1"/>
        <v>0</v>
      </c>
      <c r="AC165" s="155">
        <f ca="1"/>
        <v>1.925083393694571E-2</v>
      </c>
      <c r="AD165" s="155">
        <f ca="1"/>
        <v>3.5512802712800218E-2</v>
      </c>
      <c r="AE165" s="138">
        <f ca="1"/>
        <v>7.2396294707482656E-2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4" t="s">
        <v>87</v>
      </c>
      <c r="G166" s="154">
        <v>3.0165999999999998E-2</v>
      </c>
      <c r="H166" s="154" t="s">
        <v>87</v>
      </c>
      <c r="I166" s="154">
        <v>2.1916999999999999E-2</v>
      </c>
      <c r="J166" s="154" t="s">
        <v>87</v>
      </c>
      <c r="K166" s="154">
        <v>1.8335000000000001E-2</v>
      </c>
      <c r="L166" s="154">
        <v>1.6732E-2</v>
      </c>
      <c r="M166" s="154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55">
        <f ca="1"/>
        <v>0</v>
      </c>
      <c r="P166" s="155">
        <f ca="1"/>
        <v>5.1983042751241992E-2</v>
      </c>
      <c r="Q166" s="155">
        <f ca="1"/>
        <v>0</v>
      </c>
      <c r="R166" s="155">
        <f ca="1"/>
        <v>0.10455663676750004</v>
      </c>
      <c r="S166" s="155">
        <f ca="1"/>
        <v>0</v>
      </c>
      <c r="T166" s="155">
        <f ca="1"/>
        <v>0.13922690851308861</v>
      </c>
      <c r="U166" s="155">
        <f ca="1"/>
        <v>0.17176644020996168</v>
      </c>
      <c r="V166" s="138">
        <f ca="1"/>
        <v>0.22260220411448695</v>
      </c>
      <c r="W166" s="137">
        <f ca="1"/>
        <v>0</v>
      </c>
      <c r="X166" s="155">
        <f ca="1"/>
        <v>0</v>
      </c>
      <c r="Y166" s="155">
        <f ca="1"/>
        <v>5.2141032411297195E-2</v>
      </c>
      <c r="Z166" s="155">
        <f ca="1"/>
        <v>0</v>
      </c>
      <c r="AA166" s="155">
        <f ca="1"/>
        <v>0.10500424653734375</v>
      </c>
      <c r="AB166" s="155">
        <f ca="1"/>
        <v>0</v>
      </c>
      <c r="AC166" s="155">
        <f ca="1"/>
        <v>0.13994392062609129</v>
      </c>
      <c r="AD166" s="155">
        <f ca="1"/>
        <v>0.17273214925657709</v>
      </c>
      <c r="AE166" s="138">
        <f ca="1"/>
        <v>0.2238967879881093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4" t="s">
        <v>87</v>
      </c>
      <c r="G167" s="154">
        <v>8.2399999999999997E-4</v>
      </c>
      <c r="H167" s="154" t="s">
        <v>87</v>
      </c>
      <c r="I167" s="154">
        <v>2.5300000000000001E-3</v>
      </c>
      <c r="J167" s="154" t="s">
        <v>87</v>
      </c>
      <c r="K167" s="154">
        <v>3.522E-3</v>
      </c>
      <c r="L167" s="154">
        <v>4.5840000000000004E-3</v>
      </c>
      <c r="M167" s="154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55">
        <f ca="1"/>
        <v>0</v>
      </c>
      <c r="P167" s="155">
        <f ca="1"/>
        <v>1.4571637163538487E-3</v>
      </c>
      <c r="Q167" s="155">
        <f ca="1"/>
        <v>0</v>
      </c>
      <c r="R167" s="155">
        <f ca="1"/>
        <v>1.3112155220008082E-2</v>
      </c>
      <c r="S167" s="155">
        <f ca="1"/>
        <v>0</v>
      </c>
      <c r="T167" s="155">
        <f ca="1"/>
        <v>3.0378896160626612E-2</v>
      </c>
      <c r="U167" s="155">
        <f ca="1"/>
        <v>5.5709153207775253E-2</v>
      </c>
      <c r="V167" s="138">
        <f ca="1"/>
        <v>0.10357290905932293</v>
      </c>
      <c r="W167" s="137">
        <f ca="1"/>
        <v>0</v>
      </c>
      <c r="X167" s="155">
        <f ca="1"/>
        <v>0</v>
      </c>
      <c r="Y167" s="155">
        <f ca="1"/>
        <v>1.6235736545232582E-3</v>
      </c>
      <c r="Z167" s="155">
        <f ca="1"/>
        <v>0</v>
      </c>
      <c r="AA167" s="155">
        <f ca="1"/>
        <v>1.3605475801991451E-2</v>
      </c>
      <c r="AB167" s="155">
        <f ca="1"/>
        <v>0</v>
      </c>
      <c r="AC167" s="155">
        <f ca="1"/>
        <v>3.1186577166632978E-2</v>
      </c>
      <c r="AD167" s="155">
        <f ca="1"/>
        <v>5.6834340843966547E-2</v>
      </c>
      <c r="AE167" s="138">
        <f ca="1"/>
        <v>0.10511748264162879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4" t="s">
        <v>87</v>
      </c>
      <c r="G168" s="154">
        <v>6.8499999999999995E-4</v>
      </c>
      <c r="H168" s="154" t="s">
        <v>87</v>
      </c>
      <c r="I168" s="154">
        <v>2.2669999999999999E-3</v>
      </c>
      <c r="J168" s="154" t="s">
        <v>87</v>
      </c>
      <c r="K168" s="154">
        <v>3.4259999999999998E-3</v>
      </c>
      <c r="L168" s="154">
        <v>4.8869999999999999E-3</v>
      </c>
      <c r="M168" s="154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55">
        <f ca="1"/>
        <v>0</v>
      </c>
      <c r="P168" s="155">
        <f ca="1"/>
        <v>1.2115036487779784E-3</v>
      </c>
      <c r="Q168" s="155">
        <f ca="1"/>
        <v>0</v>
      </c>
      <c r="R168" s="155">
        <f ca="1"/>
        <v>1.1762181967786334E-2</v>
      </c>
      <c r="S168" s="155">
        <f ca="1"/>
        <v>0</v>
      </c>
      <c r="T168" s="155">
        <f ca="1"/>
        <v>2.9687465194958018E-2</v>
      </c>
      <c r="U168" s="155">
        <f ca="1"/>
        <v>5.9959915327017721E-2</v>
      </c>
      <c r="V168" s="138">
        <f ca="1"/>
        <v>0.11217048796411777</v>
      </c>
      <c r="W168" s="137">
        <f ca="1"/>
        <v>0</v>
      </c>
      <c r="X168" s="155">
        <f ca="1"/>
        <v>0</v>
      </c>
      <c r="Y168" s="155">
        <f ca="1"/>
        <v>1.3779545268663984E-3</v>
      </c>
      <c r="Z168" s="155">
        <f ca="1"/>
        <v>0</v>
      </c>
      <c r="AA168" s="155">
        <f ca="1"/>
        <v>1.2256177367693577E-2</v>
      </c>
      <c r="AB168" s="155">
        <f ca="1"/>
        <v>0</v>
      </c>
      <c r="AC168" s="155">
        <f ca="1"/>
        <v>3.0495722153460192E-2</v>
      </c>
      <c r="AD168" s="155">
        <f ca="1"/>
        <v>6.1079973342006988E-2</v>
      </c>
      <c r="AE168" s="138">
        <f ca="1"/>
        <v>0.1137058182765317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4" t="s">
        <v>87</v>
      </c>
      <c r="G169" s="154">
        <v>4.5399999999999998E-4</v>
      </c>
      <c r="H169" s="154" t="s">
        <v>87</v>
      </c>
      <c r="I169" s="154">
        <v>1.5560000000000001E-3</v>
      </c>
      <c r="J169" s="154" t="s">
        <v>87</v>
      </c>
      <c r="K169" s="154">
        <v>2.2680000000000001E-3</v>
      </c>
      <c r="L169" s="154">
        <v>2.9789999999999999E-3</v>
      </c>
      <c r="M169" s="154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55">
        <f ca="1"/>
        <v>0</v>
      </c>
      <c r="P169" s="155">
        <f ca="1"/>
        <v>8.0311572819169452E-4</v>
      </c>
      <c r="Q169" s="155">
        <f ca="1"/>
        <v>0</v>
      </c>
      <c r="R169" s="155">
        <f ca="1"/>
        <v>8.0863142883857986E-3</v>
      </c>
      <c r="S169" s="155">
        <f ca="1"/>
        <v>0</v>
      </c>
      <c r="T169" s="155">
        <f ca="1"/>
        <v>1.9693004459674035E-2</v>
      </c>
      <c r="U169" s="155">
        <f ca="1"/>
        <v>3.6541021996343126E-2</v>
      </c>
      <c r="V169" s="138">
        <f ca="1"/>
        <v>6.4117020779613121E-2</v>
      </c>
      <c r="W169" s="137">
        <f ca="1"/>
        <v>0</v>
      </c>
      <c r="X169" s="155">
        <f ca="1"/>
        <v>0</v>
      </c>
      <c r="Y169" s="155">
        <f ca="1"/>
        <v>9.6963466529387254E-4</v>
      </c>
      <c r="Z169" s="155">
        <f ca="1"/>
        <v>0</v>
      </c>
      <c r="AA169" s="155">
        <f ca="1"/>
        <v>8.5821471626535972E-3</v>
      </c>
      <c r="AB169" s="155">
        <f ca="1"/>
        <v>0</v>
      </c>
      <c r="AC169" s="155">
        <f ca="1"/>
        <v>2.0509586666097146E-2</v>
      </c>
      <c r="AD169" s="155">
        <f ca="1"/>
        <v>3.7689371060607213E-2</v>
      </c>
      <c r="AE169" s="138">
        <f ca="1"/>
        <v>6.5703666764582502E-2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4" t="s">
        <v>87</v>
      </c>
      <c r="G170" s="154">
        <v>7.3800000000000005E-4</v>
      </c>
      <c r="H170" s="154" t="s">
        <v>87</v>
      </c>
      <c r="I170" s="154">
        <v>2.0179999999999998E-3</v>
      </c>
      <c r="J170" s="154" t="s">
        <v>87</v>
      </c>
      <c r="K170" s="154">
        <v>2.4610000000000001E-3</v>
      </c>
      <c r="L170" s="154">
        <v>2.8050000000000002E-3</v>
      </c>
      <c r="M170" s="154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55">
        <f ca="1"/>
        <v>0</v>
      </c>
      <c r="P170" s="155">
        <f ca="1"/>
        <v>1.3051796703651419E-3</v>
      </c>
      <c r="Q170" s="155">
        <f ca="1"/>
        <v>0</v>
      </c>
      <c r="R170" s="155">
        <f ca="1"/>
        <v>1.0458376276187065E-2</v>
      </c>
      <c r="S170" s="155">
        <f ca="1"/>
        <v>0</v>
      </c>
      <c r="T170" s="155">
        <f ca="1"/>
        <v>2.113910737791691E-2</v>
      </c>
      <c r="U170" s="155">
        <f ca="1"/>
        <v>3.373869147077857E-2</v>
      </c>
      <c r="V170" s="138">
        <f ca="1"/>
        <v>6.2924445855524813E-2</v>
      </c>
      <c r="W170" s="137">
        <f ca="1"/>
        <v>0</v>
      </c>
      <c r="X170" s="155">
        <f ca="1"/>
        <v>0</v>
      </c>
      <c r="Y170" s="155">
        <f ca="1"/>
        <v>1.4716149370812559E-3</v>
      </c>
      <c r="Z170" s="155">
        <f ca="1"/>
        <v>0</v>
      </c>
      <c r="AA170" s="155">
        <f ca="1"/>
        <v>1.0953023415939955E-2</v>
      </c>
      <c r="AB170" s="155">
        <f ca="1"/>
        <v>0</v>
      </c>
      <c r="AC170" s="155">
        <f ca="1"/>
        <v>2.1954485000576396E-2</v>
      </c>
      <c r="AD170" s="155">
        <f ca="1"/>
        <v>3.4888700403270079E-2</v>
      </c>
      <c r="AE170" s="138">
        <f ca="1"/>
        <v>6.4510308958307117E-2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4" t="s">
        <v>87</v>
      </c>
      <c r="G171" s="154">
        <v>9.7499999999999996E-4</v>
      </c>
      <c r="H171" s="154" t="s">
        <v>87</v>
      </c>
      <c r="I171" s="154">
        <v>3.0920000000000001E-3</v>
      </c>
      <c r="J171" s="154" t="s">
        <v>87</v>
      </c>
      <c r="K171" s="154">
        <v>4.8729999999999997E-3</v>
      </c>
      <c r="L171" s="154">
        <v>6.0260000000000001E-3</v>
      </c>
      <c r="M171" s="154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55">
        <f ca="1"/>
        <v>0</v>
      </c>
      <c r="P171" s="155">
        <f ca="1"/>
        <v>1.7239638901982435E-3</v>
      </c>
      <c r="Q171" s="155">
        <f ca="1"/>
        <v>0</v>
      </c>
      <c r="R171" s="155">
        <f ca="1"/>
        <v>1.6011758533584608E-2</v>
      </c>
      <c r="S171" s="155">
        <f ca="1"/>
        <v>0</v>
      </c>
      <c r="T171" s="155">
        <f ca="1"/>
        <v>4.2116363308648763E-2</v>
      </c>
      <c r="U171" s="155">
        <f ca="1"/>
        <v>7.2654855927392292E-2</v>
      </c>
      <c r="V171" s="138">
        <f ca="1"/>
        <v>0.12053114616370919</v>
      </c>
      <c r="W171" s="137">
        <f ca="1"/>
        <v>0</v>
      </c>
      <c r="X171" s="155">
        <f ca="1"/>
        <v>0</v>
      </c>
      <c r="Y171" s="155">
        <f ca="1"/>
        <v>1.8903293653945719E-3</v>
      </c>
      <c r="Z171" s="155">
        <f ca="1"/>
        <v>0</v>
      </c>
      <c r="AA171" s="155">
        <f ca="1"/>
        <v>1.6503629676251852E-2</v>
      </c>
      <c r="AB171" s="155">
        <f ca="1"/>
        <v>0</v>
      </c>
      <c r="AC171" s="155">
        <f ca="1"/>
        <v>4.2914267166436648E-2</v>
      </c>
      <c r="AD171" s="155">
        <f ca="1"/>
        <v>7.3759502224477913E-2</v>
      </c>
      <c r="AE171" s="138">
        <f ca="1"/>
        <v>0.12204652334004329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4" t="s">
        <v>87</v>
      </c>
      <c r="G172" s="154">
        <v>8.5298437190000007E-2</v>
      </c>
      <c r="H172" s="154" t="s">
        <v>87</v>
      </c>
      <c r="I172" s="154">
        <v>5.2450613260000001E-2</v>
      </c>
      <c r="J172" s="154" t="s">
        <v>87</v>
      </c>
      <c r="K172" s="154">
        <v>3.9500213579999999E-2</v>
      </c>
      <c r="L172" s="154">
        <v>3.2934272280000003E-2</v>
      </c>
      <c r="M172" s="154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55">
        <f ca="1"/>
        <v>0</v>
      </c>
      <c r="P172" s="155">
        <f ca="1"/>
        <v>0.14010166244016109</v>
      </c>
      <c r="Q172" s="155">
        <f ca="1"/>
        <v>0</v>
      </c>
      <c r="R172" s="155">
        <f ca="1"/>
        <v>0.22606806869788043</v>
      </c>
      <c r="S172" s="155">
        <f ca="1"/>
        <v>0</v>
      </c>
      <c r="T172" s="155">
        <f ca="1"/>
        <v>0.26234931339984391</v>
      </c>
      <c r="U172" s="155">
        <f ca="1"/>
        <v>0.28806633526674519</v>
      </c>
      <c r="V172" s="138">
        <f ca="1"/>
        <v>0.34353330657477543</v>
      </c>
      <c r="W172" s="137">
        <f ca="1"/>
        <v>0</v>
      </c>
      <c r="X172" s="155">
        <f ca="1"/>
        <v>0</v>
      </c>
      <c r="Y172" s="155">
        <f ca="1"/>
        <v>0.14024496688737198</v>
      </c>
      <c r="Z172" s="155">
        <f ca="1"/>
        <v>0</v>
      </c>
      <c r="AA172" s="155">
        <f ca="1"/>
        <v>0.22645493793813509</v>
      </c>
      <c r="AB172" s="155">
        <f ca="1"/>
        <v>0</v>
      </c>
      <c r="AC172" s="155">
        <f ca="1"/>
        <v>0.26293747118990829</v>
      </c>
      <c r="AD172" s="155">
        <f ca="1"/>
        <v>0.28882698353872138</v>
      </c>
      <c r="AE172" s="138">
        <f ca="1"/>
        <v>0.34454824079413338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4" t="s">
        <v>87</v>
      </c>
      <c r="G173" s="154">
        <v>9.8200000000000002E-4</v>
      </c>
      <c r="H173" s="154" t="s">
        <v>87</v>
      </c>
      <c r="I173" s="154">
        <v>3.1849999999999999E-3</v>
      </c>
      <c r="J173" s="154" t="s">
        <v>87</v>
      </c>
      <c r="K173" s="154">
        <v>4.5840000000000004E-3</v>
      </c>
      <c r="L173" s="154">
        <v>5.8869999999999999E-3</v>
      </c>
      <c r="M173" s="154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55">
        <f ca="1"/>
        <v>0</v>
      </c>
      <c r="P173" s="155">
        <f ca="1"/>
        <v>1.7363303942592445E-3</v>
      </c>
      <c r="Q173" s="155">
        <f ca="1"/>
        <v>0</v>
      </c>
      <c r="R173" s="155">
        <f ca="1"/>
        <v>1.6493453699979232E-2</v>
      </c>
      <c r="S173" s="155">
        <f ca="1"/>
        <v>0</v>
      </c>
      <c r="T173" s="155">
        <f ca="1"/>
        <v>3.9480237224554515E-2</v>
      </c>
      <c r="U173" s="155">
        <f ca="1"/>
        <v>7.1119656225550942E-2</v>
      </c>
      <c r="V173" s="138">
        <f ca="1"/>
        <v>0.12608841676981331</v>
      </c>
      <c r="W173" s="137">
        <f ca="1"/>
        <v>0</v>
      </c>
      <c r="X173" s="155">
        <f ca="1"/>
        <v>0</v>
      </c>
      <c r="Y173" s="155">
        <f ca="1"/>
        <v>1.9026938085203726E-3</v>
      </c>
      <c r="Z173" s="155">
        <f ca="1"/>
        <v>0</v>
      </c>
      <c r="AA173" s="155">
        <f ca="1"/>
        <v>1.6985084055313848E-2</v>
      </c>
      <c r="AB173" s="155">
        <f ca="1"/>
        <v>0</v>
      </c>
      <c r="AC173" s="155">
        <f ca="1"/>
        <v>4.0280336939051753E-2</v>
      </c>
      <c r="AD173" s="155">
        <f ca="1"/>
        <v>7.2225351941760052E-2</v>
      </c>
      <c r="AE173" s="138">
        <f ca="1"/>
        <v>0.12759960203837117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4" t="s">
        <v>87</v>
      </c>
      <c r="G174" s="154">
        <v>1.206E-3</v>
      </c>
      <c r="H174" s="154" t="s">
        <v>87</v>
      </c>
      <c r="I174" s="154">
        <v>2.8470000000000001E-3</v>
      </c>
      <c r="J174" s="154" t="s">
        <v>87</v>
      </c>
      <c r="K174" s="154">
        <v>4.6800000000000001E-3</v>
      </c>
      <c r="L174" s="154">
        <v>6.2880000000000002E-3</v>
      </c>
      <c r="M174" s="154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55">
        <f ca="1"/>
        <v>0</v>
      </c>
      <c r="P174" s="155">
        <f ca="1"/>
        <v>2.1319782706600288E-3</v>
      </c>
      <c r="Q174" s="155">
        <f ca="1"/>
        <v>0</v>
      </c>
      <c r="R174" s="155">
        <f ca="1"/>
        <v>1.4708304994729415E-2</v>
      </c>
      <c r="S174" s="155">
        <f ca="1"/>
        <v>0</v>
      </c>
      <c r="T174" s="155">
        <f ca="1"/>
        <v>4.0506844716867052E-2</v>
      </c>
      <c r="U174" s="155">
        <f ca="1"/>
        <v>7.6395039257413422E-2</v>
      </c>
      <c r="V174" s="138">
        <f ca="1"/>
        <v>0.12876804886836435</v>
      </c>
      <c r="W174" s="137">
        <f ca="1"/>
        <v>0</v>
      </c>
      <c r="X174" s="155">
        <f ca="1"/>
        <v>0</v>
      </c>
      <c r="Y174" s="155">
        <f ca="1"/>
        <v>2.2982757490949135E-3</v>
      </c>
      <c r="Z174" s="155">
        <f ca="1"/>
        <v>0</v>
      </c>
      <c r="AA174" s="155">
        <f ca="1"/>
        <v>1.5200827701281616E-2</v>
      </c>
      <c r="AB174" s="155">
        <f ca="1"/>
        <v>0</v>
      </c>
      <c r="AC174" s="155">
        <f ca="1"/>
        <v>4.1306089281457847E-2</v>
      </c>
      <c r="AD174" s="155">
        <f ca="1"/>
        <v>7.7493921862521242E-2</v>
      </c>
      <c r="AE174" s="138">
        <f ca="1"/>
        <v>0.13027503834503806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4" t="s">
        <v>87</v>
      </c>
      <c r="G175" s="154">
        <v>5.0299999999999997E-4</v>
      </c>
      <c r="H175" s="154" t="s">
        <v>87</v>
      </c>
      <c r="I175" s="154">
        <v>2.1450000000000002E-3</v>
      </c>
      <c r="J175" s="154" t="s">
        <v>87</v>
      </c>
      <c r="K175" s="154">
        <v>2.9429999999999999E-3</v>
      </c>
      <c r="L175" s="154">
        <v>3.8409999999999998E-3</v>
      </c>
      <c r="M175" s="154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55">
        <f ca="1"/>
        <v>0</v>
      </c>
      <c r="P175" s="155">
        <f ca="1"/>
        <v>8.8975731887763754E-4</v>
      </c>
      <c r="Q175" s="155">
        <f ca="1"/>
        <v>0</v>
      </c>
      <c r="R175" s="155">
        <f ca="1"/>
        <v>1.1150989101517017E-2</v>
      </c>
      <c r="S175" s="155">
        <f ca="1"/>
        <v>0</v>
      </c>
      <c r="T175" s="155">
        <f ca="1"/>
        <v>2.5439842134898583E-2</v>
      </c>
      <c r="U175" s="155">
        <f ca="1"/>
        <v>4.6851291184206723E-2</v>
      </c>
      <c r="V175" s="138">
        <f ca="1"/>
        <v>8.7641983260165146E-2</v>
      </c>
      <c r="W175" s="137">
        <f ca="1"/>
        <v>0</v>
      </c>
      <c r="X175" s="155">
        <f ca="1"/>
        <v>0</v>
      </c>
      <c r="Y175" s="155">
        <f ca="1"/>
        <v>1.0562618168853399E-3</v>
      </c>
      <c r="Z175" s="155">
        <f ca="1"/>
        <v>0</v>
      </c>
      <c r="AA175" s="155">
        <f ca="1"/>
        <v>1.1645290021411125E-2</v>
      </c>
      <c r="AB175" s="155">
        <f ca="1"/>
        <v>0</v>
      </c>
      <c r="AC175" s="155">
        <f ca="1"/>
        <v>2.6251637304832487E-2</v>
      </c>
      <c r="AD175" s="155">
        <f ca="1"/>
        <v>4.7987358525220958E-2</v>
      </c>
      <c r="AE175" s="138">
        <f ca="1"/>
        <v>8.9208992296361811E-2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4" t="s">
        <v>87</v>
      </c>
      <c r="G176" s="154">
        <v>1.5280000000000001E-3</v>
      </c>
      <c r="H176" s="154" t="s">
        <v>87</v>
      </c>
      <c r="I176" s="154">
        <v>2.96E-3</v>
      </c>
      <c r="J176" s="154" t="s">
        <v>87</v>
      </c>
      <c r="K176" s="154">
        <v>4.5840000000000004E-3</v>
      </c>
      <c r="L176" s="154">
        <v>5.6340000000000001E-3</v>
      </c>
      <c r="M176" s="154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55">
        <f ca="1"/>
        <v>0</v>
      </c>
      <c r="P176" s="155">
        <f ca="1"/>
        <v>2.7004495477437329E-3</v>
      </c>
      <c r="Q176" s="155">
        <f ca="1"/>
        <v>0</v>
      </c>
      <c r="R176" s="155">
        <f ca="1"/>
        <v>1.5251399808589583E-2</v>
      </c>
      <c r="S176" s="155">
        <f ca="1"/>
        <v>0</v>
      </c>
      <c r="T176" s="155">
        <f ca="1"/>
        <v>3.9536749971477492E-2</v>
      </c>
      <c r="U176" s="155">
        <f ca="1"/>
        <v>6.7884265251517029E-2</v>
      </c>
      <c r="V176" s="138">
        <f ca="1"/>
        <v>0.1279873937698468</v>
      </c>
      <c r="W176" s="137">
        <f ca="1"/>
        <v>0</v>
      </c>
      <c r="X176" s="155">
        <f ca="1"/>
        <v>0</v>
      </c>
      <c r="Y176" s="155">
        <f ca="1"/>
        <v>2.8666522888733947E-3</v>
      </c>
      <c r="Z176" s="155">
        <f ca="1"/>
        <v>0</v>
      </c>
      <c r="AA176" s="155">
        <f ca="1"/>
        <v>1.5743651035607265E-2</v>
      </c>
      <c r="AB176" s="155">
        <f ca="1"/>
        <v>0</v>
      </c>
      <c r="AC176" s="155">
        <f ca="1"/>
        <v>4.0336802611573019E-2</v>
      </c>
      <c r="AD176" s="155">
        <f ca="1"/>
        <v>6.8994601853623716E-2</v>
      </c>
      <c r="AE176" s="138">
        <f ca="1"/>
        <v>0.12949781166974939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4" t="s">
        <v>87</v>
      </c>
      <c r="G177" s="154">
        <v>5.3899999999999998E-4</v>
      </c>
      <c r="H177" s="154" t="s">
        <v>87</v>
      </c>
      <c r="I177" s="154">
        <v>1.8E-3</v>
      </c>
      <c r="J177" s="154" t="s">
        <v>87</v>
      </c>
      <c r="K177" s="154">
        <v>2.6059999999999998E-3</v>
      </c>
      <c r="L177" s="154">
        <v>3.2690000000000002E-3</v>
      </c>
      <c r="M177" s="154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55">
        <f ca="1"/>
        <v>0</v>
      </c>
      <c r="P177" s="155">
        <f ca="1"/>
        <v>9.5340761220930048E-4</v>
      </c>
      <c r="Q177" s="155">
        <f ca="1"/>
        <v>0</v>
      </c>
      <c r="R177" s="155">
        <f ca="1"/>
        <v>9.348187343328318E-3</v>
      </c>
      <c r="S177" s="155">
        <f ca="1"/>
        <v>0</v>
      </c>
      <c r="T177" s="155">
        <f ca="1"/>
        <v>2.2594606953430296E-2</v>
      </c>
      <c r="U177" s="155">
        <f ca="1"/>
        <v>3.9865134840480487E-2</v>
      </c>
      <c r="V177" s="138">
        <f ca="1"/>
        <v>6.7728506891167495E-2</v>
      </c>
      <c r="W177" s="137">
        <f ca="1"/>
        <v>0</v>
      </c>
      <c r="X177" s="155">
        <f ca="1"/>
        <v>0</v>
      </c>
      <c r="Y177" s="155">
        <f ca="1"/>
        <v>1.1199015027286707E-3</v>
      </c>
      <c r="Z177" s="155">
        <f ca="1"/>
        <v>0</v>
      </c>
      <c r="AA177" s="155">
        <f ca="1"/>
        <v>9.8433894387893739E-3</v>
      </c>
      <c r="AB177" s="155">
        <f ca="1"/>
        <v>0</v>
      </c>
      <c r="AC177" s="155">
        <f ca="1"/>
        <v>2.3408772164989711E-2</v>
      </c>
      <c r="AD177" s="155">
        <f ca="1"/>
        <v>4.100945868797834E-2</v>
      </c>
      <c r="AE177" s="138">
        <f ca="1"/>
        <v>6.9308104724228325E-2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4" t="s">
        <v>87</v>
      </c>
      <c r="G178" s="154">
        <v>6.2E-4</v>
      </c>
      <c r="H178" s="154" t="s">
        <v>87</v>
      </c>
      <c r="I178" s="154">
        <v>1.565E-3</v>
      </c>
      <c r="J178" s="154" t="s">
        <v>87</v>
      </c>
      <c r="K178" s="154">
        <v>2.1710000000000002E-3</v>
      </c>
      <c r="L178" s="154">
        <v>2.8279999999999998E-3</v>
      </c>
      <c r="M178" s="154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55">
        <f ca="1"/>
        <v>0</v>
      </c>
      <c r="P178" s="155">
        <f ca="1"/>
        <v>1.0966060543594613E-3</v>
      </c>
      <c r="Q178" s="155">
        <f ca="1"/>
        <v>0</v>
      </c>
      <c r="R178" s="155">
        <f ca="1"/>
        <v>8.1117605196565634E-3</v>
      </c>
      <c r="S178" s="155">
        <f ca="1"/>
        <v>0</v>
      </c>
      <c r="T178" s="155">
        <f ca="1"/>
        <v>1.8790272986395351E-2</v>
      </c>
      <c r="U178" s="155">
        <f ca="1"/>
        <v>3.461790551685362E-2</v>
      </c>
      <c r="V178" s="138">
        <f ca="1"/>
        <v>6.430747869472353E-2</v>
      </c>
      <c r="W178" s="137">
        <f ca="1"/>
        <v>0</v>
      </c>
      <c r="X178" s="155">
        <f ca="1"/>
        <v>0</v>
      </c>
      <c r="Y178" s="155">
        <f ca="1"/>
        <v>1.2630760804510643E-3</v>
      </c>
      <c r="Z178" s="155">
        <f ca="1"/>
        <v>0</v>
      </c>
      <c r="AA178" s="155">
        <f ca="1"/>
        <v>8.6075806739918104E-3</v>
      </c>
      <c r="AB178" s="155">
        <f ca="1"/>
        <v>0</v>
      </c>
      <c r="AC178" s="155">
        <f ca="1"/>
        <v>1.9607607155709528E-2</v>
      </c>
      <c r="AD178" s="155">
        <f ca="1"/>
        <v>3.5768144405213032E-2</v>
      </c>
      <c r="AE178" s="138">
        <f ca="1"/>
        <v>6.5893039586315094E-2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4" t="s">
        <v>87</v>
      </c>
      <c r="G179" s="154">
        <v>1.0510000000000001E-3</v>
      </c>
      <c r="H179" s="154" t="s">
        <v>87</v>
      </c>
      <c r="I179" s="154">
        <v>2.1979999999999999E-3</v>
      </c>
      <c r="J179" s="154" t="s">
        <v>87</v>
      </c>
      <c r="K179" s="154">
        <v>3.2330000000000002E-3</v>
      </c>
      <c r="L179" s="154">
        <v>4.267E-3</v>
      </c>
      <c r="M179" s="154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55">
        <f ca="1"/>
        <v>0</v>
      </c>
      <c r="P179" s="155">
        <f ca="1"/>
        <v>1.8582206568561466E-3</v>
      </c>
      <c r="Q179" s="155">
        <f ca="1"/>
        <v>0</v>
      </c>
      <c r="R179" s="155">
        <f ca="1"/>
        <v>1.135446080626179E-2</v>
      </c>
      <c r="S179" s="155">
        <f ca="1"/>
        <v>0</v>
      </c>
      <c r="T179" s="155">
        <f ca="1"/>
        <v>2.7943353994522191E-2</v>
      </c>
      <c r="U179" s="155">
        <f ca="1"/>
        <v>5.2030044686700139E-2</v>
      </c>
      <c r="V179" s="138">
        <f ca="1"/>
        <v>8.9913639810535573E-2</v>
      </c>
      <c r="W179" s="137">
        <f ca="1"/>
        <v>0</v>
      </c>
      <c r="X179" s="155">
        <f ca="1"/>
        <v>0</v>
      </c>
      <c r="Y179" s="155">
        <f ca="1"/>
        <v>2.0245637577536169E-3</v>
      </c>
      <c r="Z179" s="155">
        <f ca="1"/>
        <v>0</v>
      </c>
      <c r="AA179" s="155">
        <f ca="1"/>
        <v>1.1848660015775447E-2</v>
      </c>
      <c r="AB179" s="155">
        <f ca="1"/>
        <v>0</v>
      </c>
      <c r="AC179" s="155">
        <f ca="1"/>
        <v>2.875306377361897E-2</v>
      </c>
      <c r="AD179" s="155">
        <f ca="1"/>
        <v>5.3159884288856318E-2</v>
      </c>
      <c r="AE179" s="138">
        <f ca="1"/>
        <v>9.1429187103956311E-2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4" t="s">
        <v>87</v>
      </c>
      <c r="G180" s="154">
        <v>3.6499999999999998E-4</v>
      </c>
      <c r="H180" s="154" t="s">
        <v>87</v>
      </c>
      <c r="I180" s="154">
        <v>2.3809999999999999E-3</v>
      </c>
      <c r="J180" s="154" t="s">
        <v>87</v>
      </c>
      <c r="K180" s="154">
        <v>3.0400000000000002E-3</v>
      </c>
      <c r="L180" s="154">
        <v>3.901E-3</v>
      </c>
      <c r="M180" s="154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55">
        <f ca="1"/>
        <v>0</v>
      </c>
      <c r="P180" s="155">
        <f ca="1"/>
        <v>6.4572722863587284E-4</v>
      </c>
      <c r="Q180" s="155">
        <f ca="1"/>
        <v>0</v>
      </c>
      <c r="R180" s="155">
        <f ca="1"/>
        <v>1.2398212097109673E-2</v>
      </c>
      <c r="S180" s="155">
        <f ca="1"/>
        <v>0</v>
      </c>
      <c r="T180" s="155">
        <f ca="1"/>
        <v>2.6197001775678963E-2</v>
      </c>
      <c r="U180" s="155">
        <f ca="1"/>
        <v>4.7418807478162739E-2</v>
      </c>
      <c r="V180" s="138">
        <f ca="1"/>
        <v>8.584870327611771E-2</v>
      </c>
      <c r="W180" s="137">
        <f ca="1"/>
        <v>0</v>
      </c>
      <c r="X180" s="155">
        <f ca="1"/>
        <v>0</v>
      </c>
      <c r="Y180" s="155">
        <f ca="1"/>
        <v>8.1227239496206582E-4</v>
      </c>
      <c r="Z180" s="155">
        <f ca="1"/>
        <v>0</v>
      </c>
      <c r="AA180" s="155">
        <f ca="1"/>
        <v>1.2891889561447378E-2</v>
      </c>
      <c r="AB180" s="155">
        <f ca="1"/>
        <v>0</v>
      </c>
      <c r="AC180" s="155">
        <f ca="1"/>
        <v>2.7008166242043719E-2</v>
      </c>
      <c r="AD180" s="155">
        <f ca="1"/>
        <v>4.8553894868591296E-2</v>
      </c>
      <c r="AE180" s="138">
        <f ca="1"/>
        <v>8.7371019821165574E-2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4" t="s">
        <v>87</v>
      </c>
      <c r="G181" s="154">
        <v>1.371E-3</v>
      </c>
      <c r="H181" s="154" t="s">
        <v>87</v>
      </c>
      <c r="I181" s="154">
        <v>1.9380000000000001E-3</v>
      </c>
      <c r="J181" s="154" t="s">
        <v>87</v>
      </c>
      <c r="K181" s="154">
        <v>3.3289999999999999E-3</v>
      </c>
      <c r="L181" s="154">
        <v>4.4219999999999997E-3</v>
      </c>
      <c r="M181" s="154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55">
        <f ca="1"/>
        <v>0</v>
      </c>
      <c r="P181" s="155">
        <f ca="1"/>
        <v>2.423315808636084E-3</v>
      </c>
      <c r="Q181" s="155">
        <f ca="1"/>
        <v>0</v>
      </c>
      <c r="R181" s="155">
        <f ca="1"/>
        <v>9.9584496513069887E-3</v>
      </c>
      <c r="S181" s="155">
        <f ca="1"/>
        <v>0</v>
      </c>
      <c r="T181" s="155">
        <f ca="1"/>
        <v>2.8911325542321453E-2</v>
      </c>
      <c r="U181" s="155">
        <f ca="1"/>
        <v>5.4066604155496134E-2</v>
      </c>
      <c r="V181" s="138">
        <f ca="1"/>
        <v>9.2414221972714539E-2</v>
      </c>
      <c r="W181" s="137">
        <f ca="1"/>
        <v>0</v>
      </c>
      <c r="X181" s="155">
        <f ca="1"/>
        <v>0</v>
      </c>
      <c r="Y181" s="155">
        <f ca="1"/>
        <v>2.5895647348751494E-3</v>
      </c>
      <c r="Z181" s="155">
        <f ca="1"/>
        <v>0</v>
      </c>
      <c r="AA181" s="155">
        <f ca="1"/>
        <v>1.0453346691909005E-2</v>
      </c>
      <c r="AB181" s="155">
        <f ca="1"/>
        <v>0</v>
      </c>
      <c r="AC181" s="155">
        <f ca="1"/>
        <v>2.9720229014431498E-2</v>
      </c>
      <c r="AD181" s="155">
        <f ca="1"/>
        <v>5.5194457689339838E-2</v>
      </c>
      <c r="AE181" s="138">
        <f ca="1"/>
        <v>9.3925605100273035E-2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4" t="s">
        <v>87</v>
      </c>
      <c r="G182" s="154">
        <v>4.4099999999999999E-4</v>
      </c>
      <c r="H182" s="154" t="s">
        <v>87</v>
      </c>
      <c r="I182" s="154">
        <v>1.4480000000000001E-3</v>
      </c>
      <c r="J182" s="154" t="s">
        <v>87</v>
      </c>
      <c r="K182" s="154">
        <v>2.0270000000000002E-3</v>
      </c>
      <c r="L182" s="154">
        <v>2.7499999999999998E-3</v>
      </c>
      <c r="M182" s="154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55">
        <f ca="1"/>
        <v>0</v>
      </c>
      <c r="P182" s="155">
        <f ca="1"/>
        <v>7.8012793169479622E-4</v>
      </c>
      <c r="Q182" s="155">
        <f ca="1"/>
        <v>0</v>
      </c>
      <c r="R182" s="155">
        <f ca="1"/>
        <v>7.5242140265142643E-3</v>
      </c>
      <c r="S182" s="155">
        <f ca="1"/>
        <v>0</v>
      </c>
      <c r="T182" s="155">
        <f ca="1"/>
        <v>1.7577544629128306E-2</v>
      </c>
      <c r="U182" s="155">
        <f ca="1"/>
        <v>3.3826135049636941E-2</v>
      </c>
      <c r="V182" s="138">
        <f ca="1"/>
        <v>6.437596306126947E-2</v>
      </c>
      <c r="W182" s="137">
        <f ca="1"/>
        <v>0</v>
      </c>
      <c r="X182" s="155">
        <f ca="1"/>
        <v>0</v>
      </c>
      <c r="Y182" s="155">
        <f ca="1"/>
        <v>9.4665069977706295E-4</v>
      </c>
      <c r="Z182" s="155">
        <f ca="1"/>
        <v>0</v>
      </c>
      <c r="AA182" s="155">
        <f ca="1"/>
        <v>8.0203278807279288E-3</v>
      </c>
      <c r="AB182" s="155">
        <f ca="1"/>
        <v>0</v>
      </c>
      <c r="AC182" s="155">
        <f ca="1"/>
        <v>1.8395888984434117E-2</v>
      </c>
      <c r="AD182" s="155">
        <f ca="1"/>
        <v>3.4977547537508369E-2</v>
      </c>
      <c r="AE182" s="138">
        <f ca="1"/>
        <v>6.5961797809018563E-2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4" t="s">
        <v>87</v>
      </c>
      <c r="G183" s="154">
        <v>7.6599999999999997E-4</v>
      </c>
      <c r="H183" s="154" t="s">
        <v>87</v>
      </c>
      <c r="I183" s="154">
        <v>2.5040000000000001E-3</v>
      </c>
      <c r="J183" s="154" t="s">
        <v>87</v>
      </c>
      <c r="K183" s="154">
        <v>3.2330000000000002E-3</v>
      </c>
      <c r="L183" s="154">
        <v>4.2339999999999999E-3</v>
      </c>
      <c r="M183" s="154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55">
        <f ca="1"/>
        <v>0</v>
      </c>
      <c r="P183" s="155">
        <f ca="1"/>
        <v>1.3546653687278587E-3</v>
      </c>
      <c r="Q183" s="155">
        <f ca="1"/>
        <v>0</v>
      </c>
      <c r="R183" s="155">
        <f ca="1"/>
        <v>1.2984686299563841E-2</v>
      </c>
      <c r="S183" s="155">
        <f ca="1"/>
        <v>0</v>
      </c>
      <c r="T183" s="155">
        <f ca="1"/>
        <v>2.7807196715891602E-2</v>
      </c>
      <c r="U183" s="155">
        <f ca="1"/>
        <v>5.1458466495289845E-2</v>
      </c>
      <c r="V183" s="138">
        <f ca="1"/>
        <v>8.9317925252644925E-2</v>
      </c>
      <c r="W183" s="137">
        <f ca="1"/>
        <v>0</v>
      </c>
      <c r="X183" s="155">
        <f ca="1"/>
        <v>0</v>
      </c>
      <c r="Y183" s="155">
        <f ca="1"/>
        <v>1.5210923885085048E-3</v>
      </c>
      <c r="Z183" s="155">
        <f ca="1"/>
        <v>0</v>
      </c>
      <c r="AA183" s="155">
        <f ca="1"/>
        <v>1.3478070600024372E-2</v>
      </c>
      <c r="AB183" s="155">
        <f ca="1"/>
        <v>0</v>
      </c>
      <c r="AC183" s="155">
        <f ca="1"/>
        <v>2.8617019912129837E-2</v>
      </c>
      <c r="AD183" s="155">
        <f ca="1"/>
        <v>5.2588513308989504E-2</v>
      </c>
      <c r="AE183" s="138">
        <f ca="1"/>
        <v>9.083446457673694E-2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4" t="s">
        <v>87</v>
      </c>
      <c r="G184" s="154">
        <v>1.694E-3</v>
      </c>
      <c r="H184" s="154" t="s">
        <v>87</v>
      </c>
      <c r="I184" s="154">
        <v>4.3359999999999996E-3</v>
      </c>
      <c r="J184" s="154" t="s">
        <v>87</v>
      </c>
      <c r="K184" s="154">
        <v>7.3819999999999997E-3</v>
      </c>
      <c r="L184" s="154">
        <v>9.6019999999999994E-3</v>
      </c>
      <c r="M184" s="154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55">
        <f ca="1"/>
        <v>0</v>
      </c>
      <c r="P184" s="155">
        <f ca="1"/>
        <v>2.9933868792363372E-3</v>
      </c>
      <c r="Q184" s="155">
        <f ca="1"/>
        <v>0</v>
      </c>
      <c r="R184" s="155">
        <f ca="1"/>
        <v>2.2353757582290967E-2</v>
      </c>
      <c r="S184" s="155">
        <f ca="1"/>
        <v>0</v>
      </c>
      <c r="T184" s="155">
        <f ca="1"/>
        <v>6.3506051037837463E-2</v>
      </c>
      <c r="U184" s="155">
        <f ca="1"/>
        <v>0.11477011793811709</v>
      </c>
      <c r="V184" s="138">
        <f ca="1"/>
        <v>0.21580422017911649</v>
      </c>
      <c r="W184" s="137">
        <f ca="1"/>
        <v>0</v>
      </c>
      <c r="X184" s="155">
        <f ca="1"/>
        <v>0</v>
      </c>
      <c r="Y184" s="155">
        <f ca="1"/>
        <v>3.1595408015573367E-3</v>
      </c>
      <c r="Z184" s="155">
        <f ca="1"/>
        <v>0</v>
      </c>
      <c r="AA184" s="155">
        <f ca="1"/>
        <v>2.2842458518095854E-2</v>
      </c>
      <c r="AB184" s="155">
        <f ca="1"/>
        <v>0</v>
      </c>
      <c r="AC184" s="155">
        <f ca="1"/>
        <v>6.4286137580794489E-2</v>
      </c>
      <c r="AD184" s="155">
        <f ca="1"/>
        <v>0.11584522110598194</v>
      </c>
      <c r="AE184" s="138">
        <f ca="1"/>
        <v>0.21719312066207008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4">
        <v>5.5999999999999995E-4</v>
      </c>
      <c r="G185" s="154">
        <v>6.9999999999999999E-4</v>
      </c>
      <c r="H185" s="154">
        <v>1.1199999999999999E-3</v>
      </c>
      <c r="I185" s="154">
        <v>1.5399999999999999E-3</v>
      </c>
      <c r="J185" s="154" t="s">
        <v>87</v>
      </c>
      <c r="K185" s="154">
        <v>2.3700000000000001E-3</v>
      </c>
      <c r="L185" s="154">
        <v>2.65E-3</v>
      </c>
      <c r="M185" s="154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55">
        <f ca="1"/>
        <v>5.1991639148973867E-4</v>
      </c>
      <c r="P185" s="155">
        <f ca="1"/>
        <v>1.2411990314684651E-3</v>
      </c>
      <c r="Q185" s="155">
        <f ca="1"/>
        <v>3.8929815541307589E-3</v>
      </c>
      <c r="R185" s="155">
        <f ca="1"/>
        <v>8.008483547132017E-3</v>
      </c>
      <c r="S185" s="155">
        <f ca="1"/>
        <v>0</v>
      </c>
      <c r="T185" s="155">
        <f ca="1"/>
        <v>2.0628872103694795E-2</v>
      </c>
      <c r="U185" s="155">
        <f ca="1"/>
        <v>3.2093949933859389E-2</v>
      </c>
      <c r="V185" s="138">
        <f ca="1"/>
        <v>5.3283898182223122E-2</v>
      </c>
      <c r="W185" s="137">
        <f ca="1"/>
        <v>0</v>
      </c>
      <c r="X185" s="155">
        <f ca="1"/>
        <v>6.1272955152480435E-4</v>
      </c>
      <c r="Y185" s="155">
        <f ca="1"/>
        <v>1.4076449607555164E-3</v>
      </c>
      <c r="Z185" s="155">
        <f ca="1"/>
        <v>4.224961893799839E-3</v>
      </c>
      <c r="AA185" s="155">
        <f ca="1"/>
        <v>8.5043553270872652E-3</v>
      </c>
      <c r="AB185" s="155">
        <f ca="1"/>
        <v>0</v>
      </c>
      <c r="AC185" s="155">
        <f ca="1"/>
        <v>2.1444674745264902E-2</v>
      </c>
      <c r="AD185" s="155">
        <f ca="1"/>
        <v>3.3246549147760374E-2</v>
      </c>
      <c r="AE185" s="138">
        <f ca="1"/>
        <v>5.4887892432176066E-2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4" t="s">
        <v>87</v>
      </c>
      <c r="G186" s="154">
        <v>3.5379999999999999E-3</v>
      </c>
      <c r="H186" s="154" t="s">
        <v>87</v>
      </c>
      <c r="I186" s="154">
        <v>6.4209999999999996E-3</v>
      </c>
      <c r="J186" s="154" t="s">
        <v>87</v>
      </c>
      <c r="K186" s="154">
        <v>1.0614999999999999E-2</v>
      </c>
      <c r="L186" s="154">
        <v>1.2324E-2</v>
      </c>
      <c r="M186" s="154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55">
        <f ca="1"/>
        <v>0</v>
      </c>
      <c r="P186" s="155">
        <f ca="1"/>
        <v>6.2417313825645637E-3</v>
      </c>
      <c r="Q186" s="155">
        <f ca="1"/>
        <v>0</v>
      </c>
      <c r="R186" s="155">
        <f ca="1"/>
        <v>3.28109539810989E-2</v>
      </c>
      <c r="S186" s="155">
        <f ca="1"/>
        <v>0</v>
      </c>
      <c r="T186" s="155">
        <f ca="1"/>
        <v>9.0105980641804195E-2</v>
      </c>
      <c r="U186" s="155">
        <f ca="1"/>
        <v>0.14334210188622065</v>
      </c>
      <c r="V186" s="138">
        <f ca="1"/>
        <v>0.23232156735816167</v>
      </c>
      <c r="W186" s="137">
        <f ca="1"/>
        <v>0</v>
      </c>
      <c r="X186" s="155">
        <f ca="1"/>
        <v>0</v>
      </c>
      <c r="Y186" s="155">
        <f ca="1"/>
        <v>6.407343959247136E-3</v>
      </c>
      <c r="Z186" s="155">
        <f ca="1"/>
        <v>0</v>
      </c>
      <c r="AA186" s="155">
        <f ca="1"/>
        <v>3.3294427625610412E-2</v>
      </c>
      <c r="AB186" s="155">
        <f ca="1"/>
        <v>0</v>
      </c>
      <c r="AC186" s="155">
        <f ca="1"/>
        <v>9.0891824302805957E-2</v>
      </c>
      <c r="AD186" s="155">
        <f ca="1"/>
        <v>0.14437945709000732</v>
      </c>
      <c r="AE186" s="138">
        <f ca="1"/>
        <v>0.23366395925770267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4" t="s">
        <v>87</v>
      </c>
      <c r="G187" s="154">
        <v>1.0579999999999999E-3</v>
      </c>
      <c r="H187" s="154" t="s">
        <v>87</v>
      </c>
      <c r="I187" s="154">
        <v>1.954E-3</v>
      </c>
      <c r="J187" s="154" t="s">
        <v>87</v>
      </c>
      <c r="K187" s="154">
        <v>2.6059999999999998E-3</v>
      </c>
      <c r="L187" s="154">
        <v>2.7680000000000001E-3</v>
      </c>
      <c r="M187" s="154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55">
        <f ca="1"/>
        <v>0</v>
      </c>
      <c r="P187" s="155">
        <f ca="1"/>
        <v>1.8705855105300984E-3</v>
      </c>
      <c r="Q187" s="155">
        <f ca="1"/>
        <v>0</v>
      </c>
      <c r="R187" s="155">
        <f ca="1"/>
        <v>1.0082871994415155E-2</v>
      </c>
      <c r="S187" s="155">
        <f ca="1"/>
        <v>0</v>
      </c>
      <c r="T187" s="155">
        <f ca="1"/>
        <v>2.2439064957709087E-2</v>
      </c>
      <c r="U187" s="155">
        <f ca="1"/>
        <v>3.3090195425752311E-2</v>
      </c>
      <c r="V187" s="138">
        <f ca="1"/>
        <v>5.456205191439234E-2</v>
      </c>
      <c r="W187" s="137">
        <f ca="1"/>
        <v>0</v>
      </c>
      <c r="X187" s="155">
        <f ca="1"/>
        <v>0</v>
      </c>
      <c r="Y187" s="155">
        <f ca="1"/>
        <v>2.0369265508100032E-3</v>
      </c>
      <c r="Z187" s="155">
        <f ca="1"/>
        <v>0</v>
      </c>
      <c r="AA187" s="155">
        <f ca="1"/>
        <v>1.0577706839387413E-2</v>
      </c>
      <c r="AB187" s="155">
        <f ca="1"/>
        <v>0</v>
      </c>
      <c r="AC187" s="155">
        <f ca="1"/>
        <v>2.3253359733666934E-2</v>
      </c>
      <c r="AD187" s="155">
        <f ca="1"/>
        <v>3.4240641706658859E-2</v>
      </c>
      <c r="AE187" s="138">
        <f ca="1"/>
        <v>5.6162351042157388E-2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4" t="s">
        <v>87</v>
      </c>
      <c r="G188" s="154">
        <v>1.206E-3</v>
      </c>
      <c r="H188" s="154" t="s">
        <v>87</v>
      </c>
      <c r="I188" s="154">
        <v>3.0339999999999998E-3</v>
      </c>
      <c r="J188" s="154" t="s">
        <v>87</v>
      </c>
      <c r="K188" s="154">
        <v>4.8250000000000003E-3</v>
      </c>
      <c r="L188" s="154">
        <v>5.8199999999999997E-3</v>
      </c>
      <c r="M188" s="154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55">
        <f ca="1"/>
        <v>0</v>
      </c>
      <c r="P188" s="155">
        <f ca="1"/>
        <v>2.1319782706600288E-3</v>
      </c>
      <c r="Q188" s="155">
        <f ca="1"/>
        <v>0</v>
      </c>
      <c r="R188" s="155">
        <f ca="1"/>
        <v>1.5679241335133209E-2</v>
      </c>
      <c r="S188" s="155">
        <f ca="1"/>
        <v>0</v>
      </c>
      <c r="T188" s="155">
        <f ca="1"/>
        <v>4.1689867469585473E-2</v>
      </c>
      <c r="U188" s="155">
        <f ca="1"/>
        <v>7.0033371231393082E-2</v>
      </c>
      <c r="V188" s="138">
        <f ca="1"/>
        <v>0.11606806672990089</v>
      </c>
      <c r="W188" s="137">
        <f ca="1"/>
        <v>0</v>
      </c>
      <c r="X188" s="155">
        <f ca="1"/>
        <v>0</v>
      </c>
      <c r="Y188" s="155">
        <f ca="1"/>
        <v>2.2982757490949135E-3</v>
      </c>
      <c r="Z188" s="155">
        <f ca="1"/>
        <v>0</v>
      </c>
      <c r="AA188" s="155">
        <f ca="1"/>
        <v>1.6171278694912083E-2</v>
      </c>
      <c r="AB188" s="155">
        <f ca="1"/>
        <v>0</v>
      </c>
      <c r="AC188" s="155">
        <f ca="1"/>
        <v>4.2488126592535647E-2</v>
      </c>
      <c r="AD188" s="155">
        <f ca="1"/>
        <v>7.1141471034389947E-2</v>
      </c>
      <c r="AE188" s="138">
        <f ca="1"/>
        <v>0.11758899264472766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4" t="s">
        <v>87</v>
      </c>
      <c r="G189" s="154">
        <v>2.6489999999999999E-3</v>
      </c>
      <c r="H189" s="154" t="s">
        <v>87</v>
      </c>
      <c r="I189" s="154">
        <v>4.8570000000000002E-3</v>
      </c>
      <c r="J189" s="154" t="s">
        <v>87</v>
      </c>
      <c r="K189" s="154">
        <v>7.2859999999999999E-3</v>
      </c>
      <c r="L189" s="154">
        <v>8.4169999999999991E-3</v>
      </c>
      <c r="M189" s="154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55">
        <f ca="1"/>
        <v>0</v>
      </c>
      <c r="P189" s="155">
        <f ca="1"/>
        <v>4.6770024288453893E-3</v>
      </c>
      <c r="Q189" s="155">
        <f ca="1"/>
        <v>0</v>
      </c>
      <c r="R189" s="155">
        <f ca="1"/>
        <v>2.4905686499711144E-2</v>
      </c>
      <c r="S189" s="155">
        <f ca="1"/>
        <v>0</v>
      </c>
      <c r="T189" s="155">
        <f ca="1"/>
        <v>6.2182286008190091E-2</v>
      </c>
      <c r="U189" s="155">
        <f ca="1"/>
        <v>9.9307120719593134E-2</v>
      </c>
      <c r="V189" s="138">
        <f ca="1"/>
        <v>0.15708408700379128</v>
      </c>
      <c r="W189" s="137">
        <f ca="1"/>
        <v>0</v>
      </c>
      <c r="X189" s="155">
        <f ca="1"/>
        <v>0</v>
      </c>
      <c r="Y189" s="155">
        <f ca="1"/>
        <v>4.842875771951638E-3</v>
      </c>
      <c r="Z189" s="155">
        <f ca="1"/>
        <v>0</v>
      </c>
      <c r="AA189" s="155">
        <f ca="1"/>
        <v>2.5393111789946854E-2</v>
      </c>
      <c r="AB189" s="155">
        <f ca="1"/>
        <v>0</v>
      </c>
      <c r="AC189" s="155">
        <f ca="1"/>
        <v>6.2963475229129706E-2</v>
      </c>
      <c r="AD189" s="155">
        <f ca="1"/>
        <v>0.10035731634552492</v>
      </c>
      <c r="AE189" s="138">
        <f ca="1"/>
        <v>0.15854409368265221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4" t="s">
        <v>87</v>
      </c>
      <c r="G190" s="154">
        <v>1.451E-3</v>
      </c>
      <c r="H190" s="154" t="s">
        <v>87</v>
      </c>
      <c r="I190" s="154">
        <v>4.3909999999999999E-3</v>
      </c>
      <c r="J190" s="154" t="s">
        <v>87</v>
      </c>
      <c r="K190" s="154">
        <v>6.803E-3</v>
      </c>
      <c r="L190" s="154">
        <v>8.1539999999999998E-3</v>
      </c>
      <c r="M190" s="154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55">
        <f ca="1"/>
        <v>0</v>
      </c>
      <c r="P190" s="155">
        <f ca="1"/>
        <v>2.5645399967449967E-3</v>
      </c>
      <c r="Q190" s="155">
        <f ca="1"/>
        <v>0</v>
      </c>
      <c r="R190" s="155">
        <f ca="1"/>
        <v>2.2672371344228948E-2</v>
      </c>
      <c r="S190" s="155">
        <f ca="1"/>
        <v>0</v>
      </c>
      <c r="T190" s="155">
        <f ca="1"/>
        <v>5.8392884026378322E-2</v>
      </c>
      <c r="U190" s="155">
        <f ca="1"/>
        <v>9.6995168521933017E-2</v>
      </c>
      <c r="V190" s="138">
        <f ca="1"/>
        <v>0.16690562673838671</v>
      </c>
      <c r="W190" s="137">
        <f ca="1"/>
        <v>0</v>
      </c>
      <c r="X190" s="155">
        <f ca="1"/>
        <v>0</v>
      </c>
      <c r="Y190" s="155">
        <f ca="1"/>
        <v>2.730765387574885E-3</v>
      </c>
      <c r="Z190" s="155">
        <f ca="1"/>
        <v>0</v>
      </c>
      <c r="AA190" s="155">
        <f ca="1"/>
        <v>2.3160913012974294E-2</v>
      </c>
      <c r="AB190" s="155">
        <f ca="1"/>
        <v>0</v>
      </c>
      <c r="AC190" s="155">
        <f ca="1"/>
        <v>5.9177229766888439E-2</v>
      </c>
      <c r="AD190" s="155">
        <f ca="1"/>
        <v>9.8048059852591352E-2</v>
      </c>
      <c r="AE190" s="138">
        <f ca="1"/>
        <v>0.1683599294935697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4" t="s">
        <v>87</v>
      </c>
      <c r="G191" s="154">
        <v>1.689E-3</v>
      </c>
      <c r="H191" s="154" t="s">
        <v>87</v>
      </c>
      <c r="I191" s="154">
        <v>2.6540000000000001E-3</v>
      </c>
      <c r="J191" s="154" t="s">
        <v>87</v>
      </c>
      <c r="K191" s="154">
        <v>3.2810000000000001E-3</v>
      </c>
      <c r="L191" s="154">
        <v>3.3289999999999999E-3</v>
      </c>
      <c r="M191" s="154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55">
        <f ca="1"/>
        <v>0</v>
      </c>
      <c r="P191" s="155">
        <f ca="1"/>
        <v>2.9845647122828112E-3</v>
      </c>
      <c r="Q191" s="155">
        <f ca="1"/>
        <v>0</v>
      </c>
      <c r="R191" s="155">
        <f ca="1"/>
        <v>1.3640712090567164E-2</v>
      </c>
      <c r="S191" s="155">
        <f ca="1"/>
        <v>0</v>
      </c>
      <c r="T191" s="155">
        <f ca="1"/>
        <v>2.802736590979471E-2</v>
      </c>
      <c r="U191" s="155">
        <f ca="1"/>
        <v>3.9298801522064331E-2</v>
      </c>
      <c r="V191" s="138">
        <f ca="1"/>
        <v>5.8145586457562848E-2</v>
      </c>
      <c r="W191" s="137">
        <f ca="1"/>
        <v>0</v>
      </c>
      <c r="X191" s="155">
        <f ca="1"/>
        <v>0</v>
      </c>
      <c r="Y191" s="155">
        <f ca="1"/>
        <v>3.150720104815985E-3</v>
      </c>
      <c r="Z191" s="155">
        <f ca="1"/>
        <v>0</v>
      </c>
      <c r="AA191" s="155">
        <f ca="1"/>
        <v>1.413376846013692E-2</v>
      </c>
      <c r="AB191" s="155">
        <f ca="1"/>
        <v>0</v>
      </c>
      <c r="AC191" s="155">
        <f ca="1"/>
        <v>2.8837005708138963E-2</v>
      </c>
      <c r="AD191" s="155">
        <f ca="1"/>
        <v>4.0441079004882363E-2</v>
      </c>
      <c r="AE191" s="138">
        <f ca="1"/>
        <v>5.9714036408810012E-2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4" t="s">
        <v>87</v>
      </c>
      <c r="G192" s="154">
        <v>5.1599999999999997E-4</v>
      </c>
      <c r="H192" s="154" t="s">
        <v>87</v>
      </c>
      <c r="I192" s="154">
        <v>1.9E-3</v>
      </c>
      <c r="J192" s="154" t="s">
        <v>87</v>
      </c>
      <c r="K192" s="154">
        <v>2.7499999999999998E-3</v>
      </c>
      <c r="L192" s="154">
        <v>3.5500000000000002E-3</v>
      </c>
      <c r="M192" s="154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55">
        <f ca="1"/>
        <v>0</v>
      </c>
      <c r="P192" s="155">
        <f ca="1"/>
        <v>9.1274261143514668E-4</v>
      </c>
      <c r="Q192" s="155">
        <f ca="1"/>
        <v>0</v>
      </c>
      <c r="R192" s="155">
        <f ca="1"/>
        <v>9.872585813916479E-3</v>
      </c>
      <c r="S192" s="155">
        <f ca="1"/>
        <v>0</v>
      </c>
      <c r="T192" s="155">
        <f ca="1"/>
        <v>2.3839001496562928E-2</v>
      </c>
      <c r="U192" s="155">
        <f ca="1"/>
        <v>4.3364626155745323E-2</v>
      </c>
      <c r="V192" s="138">
        <f ca="1"/>
        <v>8.1008279443897657E-2</v>
      </c>
      <c r="W192" s="137">
        <f ca="1"/>
        <v>0</v>
      </c>
      <c r="X192" s="155">
        <f ca="1"/>
        <v>0</v>
      </c>
      <c r="Y192" s="155">
        <f ca="1"/>
        <v>1.0792432788799822E-3</v>
      </c>
      <c r="Z192" s="155">
        <f ca="1"/>
        <v>0</v>
      </c>
      <c r="AA192" s="155">
        <f ca="1"/>
        <v>1.0367525775707875E-2</v>
      </c>
      <c r="AB192" s="155">
        <f ca="1"/>
        <v>0</v>
      </c>
      <c r="AC192" s="155">
        <f ca="1"/>
        <v>2.4652130144652618E-2</v>
      </c>
      <c r="AD192" s="155">
        <f ca="1"/>
        <v>4.4505004790126645E-2</v>
      </c>
      <c r="AE192" s="138">
        <f ca="1"/>
        <v>8.2538656642951791E-2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4" t="s">
        <v>87</v>
      </c>
      <c r="G193" s="154">
        <v>4.7899999999999999E-4</v>
      </c>
      <c r="H193" s="154" t="s">
        <v>87</v>
      </c>
      <c r="I193" s="154">
        <v>1.351E-3</v>
      </c>
      <c r="J193" s="154" t="s">
        <v>87</v>
      </c>
      <c r="K193" s="154">
        <v>2.075E-3</v>
      </c>
      <c r="L193" s="154">
        <v>2.895E-3</v>
      </c>
      <c r="M193" s="154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55">
        <f ca="1"/>
        <v>0</v>
      </c>
      <c r="P193" s="155">
        <f ca="1"/>
        <v>8.4732155338929083E-4</v>
      </c>
      <c r="Q193" s="155">
        <f ca="1"/>
        <v>0</v>
      </c>
      <c r="R193" s="155">
        <f ca="1"/>
        <v>7.0127875017212959E-3</v>
      </c>
      <c r="S193" s="155">
        <f ca="1"/>
        <v>0</v>
      </c>
      <c r="T193" s="155">
        <f ca="1"/>
        <v>1.8059950104235667E-2</v>
      </c>
      <c r="U193" s="155">
        <f ca="1"/>
        <v>3.5745501325931461E-2</v>
      </c>
      <c r="V193" s="138">
        <f ca="1"/>
        <v>7.0762237108447423E-2</v>
      </c>
      <c r="W193" s="137">
        <f ca="1"/>
        <v>0</v>
      </c>
      <c r="X193" s="155">
        <f ca="1"/>
        <v>0</v>
      </c>
      <c r="Y193" s="155">
        <f ca="1"/>
        <v>1.0138331234285092E-3</v>
      </c>
      <c r="Z193" s="155">
        <f ca="1"/>
        <v>0</v>
      </c>
      <c r="AA193" s="155">
        <f ca="1"/>
        <v>7.5091570052914225E-3</v>
      </c>
      <c r="AB193" s="155">
        <f ca="1"/>
        <v>0</v>
      </c>
      <c r="AC193" s="155">
        <f ca="1"/>
        <v>1.8877892622457537E-2</v>
      </c>
      <c r="AD193" s="155">
        <f ca="1"/>
        <v>3.6895077240100105E-2</v>
      </c>
      <c r="AE193" s="138">
        <f ca="1"/>
        <v>7.2335999275512375E-2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4" t="s">
        <v>87</v>
      </c>
      <c r="G194" s="154">
        <v>4.7899999999999999E-4</v>
      </c>
      <c r="H194" s="154" t="s">
        <v>87</v>
      </c>
      <c r="I194" s="154">
        <v>1.433E-3</v>
      </c>
      <c r="J194" s="154" t="s">
        <v>87</v>
      </c>
      <c r="K194" s="154">
        <v>2.075E-3</v>
      </c>
      <c r="L194" s="154">
        <v>2.7659999999999998E-3</v>
      </c>
      <c r="M194" s="154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55">
        <f ca="1"/>
        <v>0</v>
      </c>
      <c r="P194" s="155">
        <f ca="1"/>
        <v>8.4732155338929083E-4</v>
      </c>
      <c r="Q194" s="155">
        <f ca="1"/>
        <v>0</v>
      </c>
      <c r="R194" s="155">
        <f ca="1"/>
        <v>7.4409885664654674E-3</v>
      </c>
      <c r="S194" s="155">
        <f ca="1"/>
        <v>0</v>
      </c>
      <c r="T194" s="155">
        <f ca="1"/>
        <v>1.8014625478155577E-2</v>
      </c>
      <c r="U194" s="155">
        <f ca="1"/>
        <v>3.3990854418045169E-2</v>
      </c>
      <c r="V194" s="138">
        <f ca="1"/>
        <v>6.306684465188872E-2</v>
      </c>
      <c r="W194" s="137">
        <f ca="1"/>
        <v>0</v>
      </c>
      <c r="X194" s="155">
        <f ca="1"/>
        <v>0</v>
      </c>
      <c r="Y194" s="155">
        <f ca="1"/>
        <v>1.0138331234285092E-3</v>
      </c>
      <c r="Z194" s="155">
        <f ca="1"/>
        <v>0</v>
      </c>
      <c r="AA194" s="155">
        <f ca="1"/>
        <v>7.9371440229437651E-3</v>
      </c>
      <c r="AB194" s="155">
        <f ca="1"/>
        <v>0</v>
      </c>
      <c r="AC194" s="155">
        <f ca="1"/>
        <v>1.8832605751112008E-2</v>
      </c>
      <c r="AD194" s="155">
        <f ca="1"/>
        <v>3.5142101350414512E-2</v>
      </c>
      <c r="AE194" s="138">
        <f ca="1"/>
        <v>6.4655188993568036E-2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4" t="s">
        <v>87</v>
      </c>
      <c r="G195" s="154">
        <v>8.5499999999999997E-4</v>
      </c>
      <c r="H195" s="154" t="s">
        <v>87</v>
      </c>
      <c r="I195" s="154">
        <v>1.8420000000000001E-3</v>
      </c>
      <c r="J195" s="154" t="s">
        <v>87</v>
      </c>
      <c r="K195" s="154">
        <v>2.895E-3</v>
      </c>
      <c r="L195" s="154">
        <v>3.1580000000000002E-3</v>
      </c>
      <c r="M195" s="154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55">
        <f ca="1"/>
        <v>0</v>
      </c>
      <c r="P195" s="155">
        <f ca="1"/>
        <v>1.5119430341428153E-3</v>
      </c>
      <c r="Q195" s="155">
        <f ca="1"/>
        <v>0</v>
      </c>
      <c r="R195" s="155">
        <f ca="1"/>
        <v>9.5258320079973924E-3</v>
      </c>
      <c r="S195" s="155">
        <f ca="1"/>
        <v>0</v>
      </c>
      <c r="T195" s="155">
        <f ca="1"/>
        <v>2.5132102409387902E-2</v>
      </c>
      <c r="U195" s="155">
        <f ca="1"/>
        <v>3.8025844720394497E-2</v>
      </c>
      <c r="V195" s="138">
        <f ca="1"/>
        <v>6.5710249410136701E-2</v>
      </c>
      <c r="W195" s="137">
        <f ca="1"/>
        <v>0</v>
      </c>
      <c r="X195" s="155">
        <f ca="1"/>
        <v>0</v>
      </c>
      <c r="Y195" s="155">
        <f ca="1"/>
        <v>1.6783438431703379E-3</v>
      </c>
      <c r="Z195" s="155">
        <f ca="1"/>
        <v>0</v>
      </c>
      <c r="AA195" s="155">
        <f ca="1"/>
        <v>1.0020945303372941E-2</v>
      </c>
      <c r="AB195" s="155">
        <f ca="1"/>
        <v>0</v>
      </c>
      <c r="AC195" s="155">
        <f ca="1"/>
        <v>2.5944153922275004E-2</v>
      </c>
      <c r="AD195" s="155">
        <f ca="1"/>
        <v>3.9171712133675429E-2</v>
      </c>
      <c r="AE195" s="138">
        <f ca="1"/>
        <v>6.729158013755876E-2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4" t="s">
        <v>87</v>
      </c>
      <c r="G196" s="154">
        <v>4.15E-4</v>
      </c>
      <c r="H196" s="154" t="s">
        <v>87</v>
      </c>
      <c r="I196" s="154">
        <v>1.5920000000000001E-3</v>
      </c>
      <c r="J196" s="154" t="s">
        <v>87</v>
      </c>
      <c r="K196" s="154">
        <v>2.075E-3</v>
      </c>
      <c r="L196" s="154">
        <v>2.7499999999999998E-3</v>
      </c>
      <c r="M196" s="154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55">
        <f ca="1"/>
        <v>0</v>
      </c>
      <c r="P196" s="155">
        <f ca="1"/>
        <v>7.34150763480379E-4</v>
      </c>
      <c r="Q196" s="155">
        <f ca="1"/>
        <v>0</v>
      </c>
      <c r="R196" s="155">
        <f ca="1"/>
        <v>8.2792590471812977E-3</v>
      </c>
      <c r="S196" s="155">
        <f ca="1"/>
        <v>0</v>
      </c>
      <c r="T196" s="155">
        <f ca="1"/>
        <v>1.793515465508233E-2</v>
      </c>
      <c r="U196" s="155">
        <f ca="1"/>
        <v>3.3698440350099612E-2</v>
      </c>
      <c r="V196" s="138">
        <f ca="1"/>
        <v>6.2325087376590815E-2</v>
      </c>
      <c r="W196" s="137">
        <f ca="1"/>
        <v>0</v>
      </c>
      <c r="X196" s="155">
        <f ca="1"/>
        <v>0</v>
      </c>
      <c r="Y196" s="155">
        <f ca="1"/>
        <v>9.0068119378550193E-4</v>
      </c>
      <c r="Z196" s="155">
        <f ca="1"/>
        <v>0</v>
      </c>
      <c r="AA196" s="155">
        <f ca="1"/>
        <v>8.7749954732535551E-3</v>
      </c>
      <c r="AB196" s="155">
        <f ca="1"/>
        <v>0</v>
      </c>
      <c r="AC196" s="155">
        <f ca="1"/>
        <v>1.8753201126133545E-2</v>
      </c>
      <c r="AD196" s="155">
        <f ca="1"/>
        <v>3.4849698516942085E-2</v>
      </c>
      <c r="AE196" s="138">
        <f ca="1"/>
        <v>6.3914448008346003E-2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4" t="s">
        <v>87</v>
      </c>
      <c r="G197" s="154">
        <v>2.2030000000000001E-3</v>
      </c>
      <c r="H197" s="154" t="s">
        <v>87</v>
      </c>
      <c r="I197" s="154">
        <v>3.8249999999999998E-3</v>
      </c>
      <c r="J197" s="154" t="s">
        <v>87</v>
      </c>
      <c r="K197" s="154">
        <v>5.2589999999999998E-3</v>
      </c>
      <c r="L197" s="154">
        <v>6.0720000000000001E-3</v>
      </c>
      <c r="M197" s="154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55">
        <f ca="1"/>
        <v>0</v>
      </c>
      <c r="P197" s="155">
        <f ca="1"/>
        <v>3.891078569126627E-3</v>
      </c>
      <c r="Q197" s="155">
        <f ca="1"/>
        <v>0</v>
      </c>
      <c r="R197" s="155">
        <f ca="1"/>
        <v>1.9640634483054642E-2</v>
      </c>
      <c r="S197" s="155">
        <f ca="1"/>
        <v>0</v>
      </c>
      <c r="T197" s="155">
        <f ca="1"/>
        <v>4.4939184995579584E-2</v>
      </c>
      <c r="U197" s="155">
        <f ca="1"/>
        <v>7.2191366966922521E-2</v>
      </c>
      <c r="V197" s="138">
        <f ca="1"/>
        <v>0.12216841607840156</v>
      </c>
      <c r="W197" s="137">
        <f ca="1"/>
        <v>0</v>
      </c>
      <c r="X197" s="155">
        <f ca="1"/>
        <v>0</v>
      </c>
      <c r="Y197" s="155">
        <f ca="1"/>
        <v>4.0570828886333787E-3</v>
      </c>
      <c r="Z197" s="155">
        <f ca="1"/>
        <v>0</v>
      </c>
      <c r="AA197" s="155">
        <f ca="1"/>
        <v>2.0130691641291776E-2</v>
      </c>
      <c r="AB197" s="155">
        <f ca="1"/>
        <v>0</v>
      </c>
      <c r="AC197" s="155">
        <f ca="1"/>
        <v>4.5734737481839649E-2</v>
      </c>
      <c r="AD197" s="155">
        <f ca="1"/>
        <v>7.3295320515693096E-2</v>
      </c>
      <c r="AE197" s="138">
        <f ca="1"/>
        <v>0.1236787812853003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4" t="s">
        <v>87</v>
      </c>
      <c r="G198" s="154">
        <v>4.8999999999999998E-4</v>
      </c>
      <c r="H198" s="154" t="s">
        <v>87</v>
      </c>
      <c r="I198" s="154">
        <v>1.544E-3</v>
      </c>
      <c r="J198" s="154" t="s">
        <v>87</v>
      </c>
      <c r="K198" s="154">
        <v>2.1229999999999999E-3</v>
      </c>
      <c r="L198" s="154">
        <v>2.7989999999999998E-3</v>
      </c>
      <c r="M198" s="154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55">
        <f ca="1"/>
        <v>0</v>
      </c>
      <c r="P198" s="155">
        <f ca="1"/>
        <v>8.6677150136438286E-4</v>
      </c>
      <c r="Q198" s="155">
        <f ca="1"/>
        <v>0</v>
      </c>
      <c r="R198" s="155">
        <f ca="1"/>
        <v>8.0190165657189061E-3</v>
      </c>
      <c r="S198" s="155">
        <f ca="1"/>
        <v>0</v>
      </c>
      <c r="T198" s="155">
        <f ca="1"/>
        <v>1.8385459478319266E-2</v>
      </c>
      <c r="U198" s="155">
        <f ca="1"/>
        <v>3.4313687536761561E-2</v>
      </c>
      <c r="V198" s="138">
        <f ca="1"/>
        <v>6.5061881056057258E-2</v>
      </c>
      <c r="W198" s="137">
        <f ca="1"/>
        <v>0</v>
      </c>
      <c r="X198" s="155">
        <f ca="1"/>
        <v>0</v>
      </c>
      <c r="Y198" s="155">
        <f ca="1"/>
        <v>1.0332798300223267E-3</v>
      </c>
      <c r="Z198" s="155">
        <f ca="1"/>
        <v>0</v>
      </c>
      <c r="AA198" s="155">
        <f ca="1"/>
        <v>8.5148830804711029E-3</v>
      </c>
      <c r="AB198" s="155">
        <f ca="1"/>
        <v>0</v>
      </c>
      <c r="AC198" s="155">
        <f ca="1"/>
        <v>1.9203130851714545E-2</v>
      </c>
      <c r="AD198" s="155">
        <f ca="1"/>
        <v>3.5464362371649294E-2</v>
      </c>
      <c r="AE198" s="138">
        <f ca="1"/>
        <v>6.6646058365801397E-2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4" t="s">
        <v>87</v>
      </c>
      <c r="G199" s="154">
        <v>8.1499999999999997E-4</v>
      </c>
      <c r="H199" s="154" t="s">
        <v>87</v>
      </c>
      <c r="I199" s="154">
        <v>1.572E-3</v>
      </c>
      <c r="J199" s="154" t="s">
        <v>87</v>
      </c>
      <c r="K199" s="154">
        <v>1.9780000000000002E-3</v>
      </c>
      <c r="L199" s="154">
        <v>2.5869999999999999E-3</v>
      </c>
      <c r="M199" s="154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55">
        <f ca="1"/>
        <v>0</v>
      </c>
      <c r="P199" s="155">
        <f ca="1"/>
        <v>1.4412594847763582E-3</v>
      </c>
      <c r="Q199" s="155">
        <f ca="1"/>
        <v>0</v>
      </c>
      <c r="R199" s="155">
        <f ca="1"/>
        <v>8.1230026311470693E-3</v>
      </c>
      <c r="S199" s="155">
        <f ca="1"/>
        <v>0</v>
      </c>
      <c r="T199" s="155">
        <f ca="1"/>
        <v>1.7017490746663921E-2</v>
      </c>
      <c r="U199" s="155">
        <f ca="1"/>
        <v>3.1598639589498267E-2</v>
      </c>
      <c r="V199" s="138">
        <f ca="1"/>
        <v>5.8258845494171263E-2</v>
      </c>
      <c r="W199" s="137">
        <f ca="1"/>
        <v>0</v>
      </c>
      <c r="X199" s="155">
        <f ca="1"/>
        <v>0</v>
      </c>
      <c r="Y199" s="155">
        <f ca="1"/>
        <v>1.6076720734169436E-3</v>
      </c>
      <c r="Z199" s="155">
        <f ca="1"/>
        <v>0</v>
      </c>
      <c r="AA199" s="155">
        <f ca="1"/>
        <v>8.6188171658809765E-3</v>
      </c>
      <c r="AB199" s="155">
        <f ca="1"/>
        <v>0</v>
      </c>
      <c r="AC199" s="155">
        <f ca="1"/>
        <v>1.7836301619116868E-2</v>
      </c>
      <c r="AD199" s="155">
        <f ca="1"/>
        <v>3.2751866626814397E-2</v>
      </c>
      <c r="AE199" s="138">
        <f ca="1"/>
        <v>5.9855127942325281E-2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4" t="s">
        <v>87</v>
      </c>
      <c r="G200" s="154">
        <v>4.9200000000000003E-4</v>
      </c>
      <c r="H200" s="154" t="s">
        <v>87</v>
      </c>
      <c r="I200" s="154">
        <v>1.6999999999999999E-3</v>
      </c>
      <c r="J200" s="154" t="s">
        <v>87</v>
      </c>
      <c r="K200" s="154">
        <v>2.4610000000000001E-3</v>
      </c>
      <c r="L200" s="154">
        <v>3.042E-3</v>
      </c>
      <c r="M200" s="154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55">
        <f ca="1"/>
        <v>0</v>
      </c>
      <c r="P200" s="155">
        <f ca="1"/>
        <v>8.7030781515118338E-4</v>
      </c>
      <c r="Q200" s="155">
        <f ca="1"/>
        <v>0</v>
      </c>
      <c r="R200" s="155">
        <f ca="1"/>
        <v>8.8327570066397687E-3</v>
      </c>
      <c r="S200" s="155">
        <f ca="1"/>
        <v>0</v>
      </c>
      <c r="T200" s="155">
        <f ca="1"/>
        <v>2.1349406425558493E-2</v>
      </c>
      <c r="U200" s="155">
        <f ca="1"/>
        <v>3.7083345027531633E-2</v>
      </c>
      <c r="V200" s="138">
        <f ca="1"/>
        <v>6.5909616874926136E-2</v>
      </c>
      <c r="W200" s="137">
        <f ca="1"/>
        <v>0</v>
      </c>
      <c r="X200" s="155">
        <f ca="1"/>
        <v>0</v>
      </c>
      <c r="Y200" s="155">
        <f ca="1"/>
        <v>1.0368155544661084E-3</v>
      </c>
      <c r="Z200" s="155">
        <f ca="1"/>
        <v>0</v>
      </c>
      <c r="AA200" s="155">
        <f ca="1"/>
        <v>9.3282167529175064E-3</v>
      </c>
      <c r="AB200" s="155">
        <f ca="1"/>
        <v>0</v>
      </c>
      <c r="AC200" s="155">
        <f ca="1"/>
        <v>2.2164608871979352E-2</v>
      </c>
      <c r="AD200" s="155">
        <f ca="1"/>
        <v>3.8230806587954191E-2</v>
      </c>
      <c r="AE200" s="138">
        <f ca="1"/>
        <v>6.749209200220363E-2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4" t="s">
        <v>87</v>
      </c>
      <c r="G201" s="154">
        <v>2.6540000000000001E-3</v>
      </c>
      <c r="H201" s="154" t="s">
        <v>87</v>
      </c>
      <c r="I201" s="154">
        <v>6.8830000000000002E-3</v>
      </c>
      <c r="J201" s="154" t="s">
        <v>87</v>
      </c>
      <c r="K201" s="154">
        <v>1.0614999999999999E-2</v>
      </c>
      <c r="L201" s="154">
        <v>1.2263E-2</v>
      </c>
      <c r="M201" s="154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55">
        <f ca="1"/>
        <v>0</v>
      </c>
      <c r="P201" s="155">
        <f ca="1"/>
        <v>4.6858097503414964E-3</v>
      </c>
      <c r="Q201" s="155">
        <f ca="1"/>
        <v>0</v>
      </c>
      <c r="R201" s="155">
        <f ca="1"/>
        <v>3.5310827921239074E-2</v>
      </c>
      <c r="S201" s="155">
        <f ca="1"/>
        <v>0</v>
      </c>
      <c r="T201" s="155">
        <f ca="1"/>
        <v>8.9936094321673155E-2</v>
      </c>
      <c r="U201" s="155">
        <f ca="1"/>
        <v>0.14241033573063977</v>
      </c>
      <c r="V201" s="138">
        <f ca="1"/>
        <v>0.24360373781070954</v>
      </c>
      <c r="W201" s="137">
        <f ca="1"/>
        <v>0</v>
      </c>
      <c r="X201" s="155">
        <f ca="1"/>
        <v>0</v>
      </c>
      <c r="Y201" s="155">
        <f ca="1"/>
        <v>4.8516816256668482E-3</v>
      </c>
      <c r="Z201" s="155">
        <f ca="1"/>
        <v>0</v>
      </c>
      <c r="AA201" s="155">
        <f ca="1"/>
        <v>3.5793051941235499E-2</v>
      </c>
      <c r="AB201" s="155">
        <f ca="1"/>
        <v>0</v>
      </c>
      <c r="AC201" s="155">
        <f ca="1"/>
        <v>9.0721679731495919E-2</v>
      </c>
      <c r="AD201" s="155">
        <f ca="1"/>
        <v>0.14344805138011107</v>
      </c>
      <c r="AE201" s="138">
        <f ca="1"/>
        <v>0.24493477895401683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4" t="s">
        <v>87</v>
      </c>
      <c r="G202" s="154">
        <v>1.689E-3</v>
      </c>
      <c r="H202" s="154" t="s">
        <v>87</v>
      </c>
      <c r="I202" s="154">
        <v>3.1359999999999999E-3</v>
      </c>
      <c r="J202" s="154" t="s">
        <v>87</v>
      </c>
      <c r="K202" s="154">
        <v>4.1009999999999996E-3</v>
      </c>
      <c r="L202" s="154">
        <v>4.4869999999999997E-3</v>
      </c>
      <c r="M202" s="154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55">
        <f ca="1"/>
        <v>0</v>
      </c>
      <c r="P202" s="155">
        <f ca="1"/>
        <v>2.9845647122828112E-3</v>
      </c>
      <c r="Q202" s="155">
        <f ca="1"/>
        <v>0</v>
      </c>
      <c r="R202" s="155">
        <f ca="1"/>
        <v>1.6142685589617622E-2</v>
      </c>
      <c r="S202" s="155">
        <f ca="1"/>
        <v>0</v>
      </c>
      <c r="T202" s="155">
        <f ca="1"/>
        <v>3.5094254610789744E-2</v>
      </c>
      <c r="U202" s="155">
        <f ca="1"/>
        <v>5.3328887690212157E-2</v>
      </c>
      <c r="V202" s="138">
        <f ca="1"/>
        <v>8.0161889360580885E-2</v>
      </c>
      <c r="W202" s="137">
        <f ca="1"/>
        <v>0</v>
      </c>
      <c r="X202" s="155">
        <f ca="1"/>
        <v>0</v>
      </c>
      <c r="Y202" s="155">
        <f ca="1"/>
        <v>3.150720104815985E-3</v>
      </c>
      <c r="Z202" s="155">
        <f ca="1"/>
        <v>0</v>
      </c>
      <c r="AA202" s="155">
        <f ca="1"/>
        <v>1.6634491285146269E-2</v>
      </c>
      <c r="AB202" s="155">
        <f ca="1"/>
        <v>0</v>
      </c>
      <c r="AC202" s="155">
        <f ca="1"/>
        <v>3.5898007788314201E-2</v>
      </c>
      <c r="AD202" s="155">
        <f ca="1"/>
        <v>5.4455749534073061E-2</v>
      </c>
      <c r="AE202" s="138">
        <f ca="1"/>
        <v>8.1693676034867879E-2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4" t="s">
        <v>87</v>
      </c>
      <c r="G203" s="154">
        <v>1.4519999999999999E-3</v>
      </c>
      <c r="H203" s="154" t="s">
        <v>87</v>
      </c>
      <c r="I203" s="154">
        <v>1.9059999999999999E-3</v>
      </c>
      <c r="J203" s="154" t="s">
        <v>87</v>
      </c>
      <c r="K203" s="154">
        <v>3.8119999999999999E-3</v>
      </c>
      <c r="L203" s="154">
        <v>5.2639999999999996E-3</v>
      </c>
      <c r="M203" s="154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55">
        <f ca="1"/>
        <v>0</v>
      </c>
      <c r="P203" s="155">
        <f ca="1"/>
        <v>2.5663051735821396E-3</v>
      </c>
      <c r="Q203" s="155">
        <f ca="1"/>
        <v>0</v>
      </c>
      <c r="R203" s="155">
        <f ca="1"/>
        <v>9.781153063557535E-3</v>
      </c>
      <c r="S203" s="155">
        <f ca="1"/>
        <v>0</v>
      </c>
      <c r="T203" s="155">
        <f ca="1"/>
        <v>3.3255752402367E-2</v>
      </c>
      <c r="U203" s="155">
        <f ca="1"/>
        <v>6.4567754091051532E-2</v>
      </c>
      <c r="V203" s="138">
        <f ca="1"/>
        <v>0.11278213084390065</v>
      </c>
      <c r="W203" s="137">
        <f ca="1"/>
        <v>0</v>
      </c>
      <c r="X203" s="155">
        <f ca="1"/>
        <v>0</v>
      </c>
      <c r="Y203" s="155">
        <f ca="1"/>
        <v>2.7325302702371213E-3</v>
      </c>
      <c r="Z203" s="155">
        <f ca="1"/>
        <v>0</v>
      </c>
      <c r="AA203" s="155">
        <f ca="1"/>
        <v>1.0276138730328621E-2</v>
      </c>
      <c r="AB203" s="155">
        <f ca="1"/>
        <v>0</v>
      </c>
      <c r="AC203" s="155">
        <f ca="1"/>
        <v>3.4061037026805963E-2</v>
      </c>
      <c r="AD203" s="155">
        <f ca="1"/>
        <v>6.5682882526422959E-2</v>
      </c>
      <c r="AE203" s="138">
        <f ca="1"/>
        <v>0.11431410613789228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4" t="s">
        <v>87</v>
      </c>
      <c r="G204" s="154">
        <v>4.7377000000000002E-2</v>
      </c>
      <c r="H204" s="154" t="s">
        <v>87</v>
      </c>
      <c r="I204" s="154">
        <v>4.0816999999999999E-2</v>
      </c>
      <c r="J204" s="154" t="s">
        <v>87</v>
      </c>
      <c r="K204" s="154">
        <v>3.4257999999999997E-2</v>
      </c>
      <c r="L204" s="154">
        <v>3.0977999999999999E-2</v>
      </c>
      <c r="M204" s="154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55">
        <f ca="1"/>
        <v>0</v>
      </c>
      <c r="P204" s="155">
        <f ca="1"/>
        <v>8.0420674543183579E-2</v>
      </c>
      <c r="Q204" s="155">
        <f ca="1"/>
        <v>0</v>
      </c>
      <c r="R204" s="155">
        <f ca="1"/>
        <v>0.18702291734579313</v>
      </c>
      <c r="S204" s="155">
        <f ca="1"/>
        <v>0</v>
      </c>
      <c r="T204" s="155">
        <f ca="1"/>
        <v>0.2432966920088816</v>
      </c>
      <c r="U204" s="155">
        <f ca="1"/>
        <v>0.29103978683965415</v>
      </c>
      <c r="V204" s="138">
        <f ca="1"/>
        <v>0.34461918501462918</v>
      </c>
      <c r="W204" s="137">
        <f ca="1"/>
        <v>0</v>
      </c>
      <c r="X204" s="155">
        <f ca="1"/>
        <v>0</v>
      </c>
      <c r="Y204" s="155">
        <f ca="1"/>
        <v>8.05739249928622E-2</v>
      </c>
      <c r="Z204" s="155">
        <f ca="1"/>
        <v>0</v>
      </c>
      <c r="AA204" s="155">
        <f ca="1"/>
        <v>0.18742930428191507</v>
      </c>
      <c r="AB204" s="155">
        <f ca="1"/>
        <v>0</v>
      </c>
      <c r="AC204" s="155">
        <f ca="1"/>
        <v>0.24392701542765016</v>
      </c>
      <c r="AD204" s="155">
        <f ca="1"/>
        <v>0.29186642478910008</v>
      </c>
      <c r="AE204" s="138">
        <f ca="1"/>
        <v>0.34565937010778336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4" t="s">
        <v>87</v>
      </c>
      <c r="G205" s="154">
        <v>2.8180000000000002E-3</v>
      </c>
      <c r="H205" s="154" t="s">
        <v>87</v>
      </c>
      <c r="I205" s="154">
        <v>5.391E-3</v>
      </c>
      <c r="J205" s="154" t="s">
        <v>87</v>
      </c>
      <c r="K205" s="154">
        <v>8.8500000000000002E-3</v>
      </c>
      <c r="L205" s="154">
        <v>1.0579E-2</v>
      </c>
      <c r="M205" s="154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55">
        <f ca="1"/>
        <v>0</v>
      </c>
      <c r="P205" s="155">
        <f ca="1"/>
        <v>4.9746470952960475E-3</v>
      </c>
      <c r="Q205" s="155">
        <f ca="1"/>
        <v>0</v>
      </c>
      <c r="R205" s="155">
        <f ca="1"/>
        <v>2.7630425690395866E-2</v>
      </c>
      <c r="S205" s="155">
        <f ca="1"/>
        <v>0</v>
      </c>
      <c r="T205" s="155">
        <f ca="1"/>
        <v>7.5529124295883654E-2</v>
      </c>
      <c r="U205" s="155">
        <f ca="1"/>
        <v>0.12447507667547897</v>
      </c>
      <c r="V205" s="138">
        <f ca="1"/>
        <v>0.21100576058416864</v>
      </c>
      <c r="W205" s="137">
        <f ca="1"/>
        <v>0</v>
      </c>
      <c r="X205" s="155">
        <f ca="1"/>
        <v>0</v>
      </c>
      <c r="Y205" s="155">
        <f ca="1"/>
        <v>5.1404708350950568E-3</v>
      </c>
      <c r="Z205" s="155">
        <f ca="1"/>
        <v>0</v>
      </c>
      <c r="AA205" s="155">
        <f ca="1"/>
        <v>2.8116488951577145E-2</v>
      </c>
      <c r="AB205" s="155">
        <f ca="1"/>
        <v>0</v>
      </c>
      <c r="AC205" s="155">
        <f ca="1"/>
        <v>7.6325365402864609E-2</v>
      </c>
      <c r="AD205" s="155">
        <f ca="1"/>
        <v>0.1255331261259498</v>
      </c>
      <c r="AE205" s="138">
        <f ca="1"/>
        <v>0.21238509170119602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4" t="s">
        <v>87</v>
      </c>
      <c r="G206" s="154">
        <v>6.6639999999999998E-3</v>
      </c>
      <c r="H206" s="154" t="s">
        <v>87</v>
      </c>
      <c r="I206" s="154">
        <v>1.1985000000000001E-2</v>
      </c>
      <c r="J206" s="154" t="s">
        <v>87</v>
      </c>
      <c r="K206" s="154">
        <v>1.7659999999999999E-2</v>
      </c>
      <c r="L206" s="154">
        <v>1.9762999999999999E-2</v>
      </c>
      <c r="M206" s="154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55">
        <f ca="1"/>
        <v>0</v>
      </c>
      <c r="P206" s="155">
        <f ca="1"/>
        <v>1.1724502814396187E-2</v>
      </c>
      <c r="Q206" s="155">
        <f ca="1"/>
        <v>0</v>
      </c>
      <c r="R206" s="155">
        <f ca="1"/>
        <v>6.0488618338114586E-2</v>
      </c>
      <c r="S206" s="155">
        <f ca="1"/>
        <v>0</v>
      </c>
      <c r="T206" s="155">
        <f ca="1"/>
        <v>0.1455412008283461</v>
      </c>
      <c r="U206" s="155">
        <f ca="1"/>
        <v>0.21979708479812365</v>
      </c>
      <c r="V206" s="138">
        <f ca="1"/>
        <v>0.3364542345745889</v>
      </c>
      <c r="W206" s="137">
        <f ca="1"/>
        <v>0</v>
      </c>
      <c r="X206" s="155">
        <f ca="1"/>
        <v>0</v>
      </c>
      <c r="Y206" s="155">
        <f ca="1"/>
        <v>1.1889201671977823E-2</v>
      </c>
      <c r="Z206" s="155">
        <f ca="1"/>
        <v>0</v>
      </c>
      <c r="AA206" s="155">
        <f ca="1"/>
        <v>6.0958256609610961E-2</v>
      </c>
      <c r="AB206" s="155">
        <f ca="1"/>
        <v>0</v>
      </c>
      <c r="AC206" s="155">
        <f ca="1"/>
        <v>0.14628485495673849</v>
      </c>
      <c r="AD206" s="155">
        <f ca="1"/>
        <v>0.22075010913271598</v>
      </c>
      <c r="AE206" s="138">
        <f ca="1"/>
        <v>0.33762995282942454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4" t="s">
        <v>87</v>
      </c>
      <c r="G207" s="154">
        <v>4.7100000000000001E-4</v>
      </c>
      <c r="H207" s="154" t="s">
        <v>87</v>
      </c>
      <c r="I207" s="154">
        <v>1.882E-3</v>
      </c>
      <c r="J207" s="154" t="s">
        <v>87</v>
      </c>
      <c r="K207" s="154">
        <v>2.5569999999999998E-3</v>
      </c>
      <c r="L207" s="154">
        <v>3.4259999999999998E-3</v>
      </c>
      <c r="M207" s="154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55">
        <f ca="1"/>
        <v>0</v>
      </c>
      <c r="P207" s="155">
        <f ca="1"/>
        <v>8.3317590058840096E-4</v>
      </c>
      <c r="Q207" s="155">
        <f ca="1"/>
        <v>0</v>
      </c>
      <c r="R207" s="155">
        <f ca="1"/>
        <v>9.7846471949342151E-3</v>
      </c>
      <c r="S207" s="155">
        <f ca="1"/>
        <v>0</v>
      </c>
      <c r="T207" s="155">
        <f ca="1"/>
        <v>2.2115973572471748E-2</v>
      </c>
      <c r="U207" s="155">
        <f ca="1"/>
        <v>4.1952507654134941E-2</v>
      </c>
      <c r="V207" s="138">
        <f ca="1"/>
        <v>7.7385928502623158E-2</v>
      </c>
      <c r="W207" s="137">
        <f ca="1"/>
        <v>0</v>
      </c>
      <c r="X207" s="155">
        <f ca="1"/>
        <v>0</v>
      </c>
      <c r="Y207" s="155">
        <f ca="1"/>
        <v>9.9968982806619699E-4</v>
      </c>
      <c r="Z207" s="155">
        <f ca="1"/>
        <v>0</v>
      </c>
      <c r="AA207" s="155">
        <f ca="1"/>
        <v>1.0279631115008403E-2</v>
      </c>
      <c r="AB207" s="155">
        <f ca="1"/>
        <v>0</v>
      </c>
      <c r="AC207" s="155">
        <f ca="1"/>
        <v>2.2930537479050606E-2</v>
      </c>
      <c r="AD207" s="155">
        <f ca="1"/>
        <v>4.3094405012928272E-2</v>
      </c>
      <c r="AE207" s="138">
        <f ca="1"/>
        <v>7.8922337924903996E-2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4" t="s">
        <v>87</v>
      </c>
      <c r="G208" s="154">
        <v>1.122E-3</v>
      </c>
      <c r="H208" s="154" t="s">
        <v>87</v>
      </c>
      <c r="I208" s="154">
        <v>1.936E-3</v>
      </c>
      <c r="J208" s="154" t="s">
        <v>87</v>
      </c>
      <c r="K208" s="154">
        <v>2.9919999999999999E-3</v>
      </c>
      <c r="L208" s="154">
        <v>3.9589999999999998E-3</v>
      </c>
      <c r="M208" s="154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55">
        <f ca="1"/>
        <v>0</v>
      </c>
      <c r="P208" s="155">
        <f ca="1"/>
        <v>1.9836285539488463E-3</v>
      </c>
      <c r="Q208" s="155">
        <f ca="1"/>
        <v>0</v>
      </c>
      <c r="R208" s="155">
        <f ca="1"/>
        <v>9.9806965220505806E-3</v>
      </c>
      <c r="S208" s="155">
        <f ca="1"/>
        <v>0</v>
      </c>
      <c r="T208" s="155">
        <f ca="1"/>
        <v>2.5915905866368161E-2</v>
      </c>
      <c r="U208" s="155">
        <f ca="1"/>
        <v>4.8386252065264701E-2</v>
      </c>
      <c r="V208" s="138">
        <f ca="1"/>
        <v>8.9602597795709893E-2</v>
      </c>
      <c r="W208" s="137">
        <f ca="1"/>
        <v>0</v>
      </c>
      <c r="X208" s="155">
        <f ca="1"/>
        <v>0</v>
      </c>
      <c r="Y208" s="155">
        <f ca="1"/>
        <v>2.1499507552952268E-3</v>
      </c>
      <c r="Z208" s="155">
        <f ca="1"/>
        <v>0</v>
      </c>
      <c r="AA208" s="155">
        <f ca="1"/>
        <v>1.04755824420244E-2</v>
      </c>
      <c r="AB208" s="155">
        <f ca="1"/>
        <v>0</v>
      </c>
      <c r="AC208" s="155">
        <f ca="1"/>
        <v>2.6727304481740211E-2</v>
      </c>
      <c r="AD208" s="155">
        <f ca="1"/>
        <v>4.9520659184715377E-2</v>
      </c>
      <c r="AE208" s="138">
        <f ca="1"/>
        <v>9.1166939236266731E-2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4" t="s">
        <v>87</v>
      </c>
      <c r="G209" s="154">
        <v>3.9202000000000001E-2</v>
      </c>
      <c r="H209" s="154" t="s">
        <v>87</v>
      </c>
      <c r="I209" s="154">
        <v>3.9371999999999997E-2</v>
      </c>
      <c r="J209" s="154" t="s">
        <v>87</v>
      </c>
      <c r="K209" s="154">
        <v>3.4451000000000002E-2</v>
      </c>
      <c r="L209" s="154">
        <v>3.1989999999999998E-2</v>
      </c>
      <c r="M209" s="154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55">
        <f ca="1"/>
        <v>0</v>
      </c>
      <c r="P209" s="155">
        <f ca="1"/>
        <v>6.7021224018984471E-2</v>
      </c>
      <c r="Q209" s="155">
        <f ca="1"/>
        <v>0</v>
      </c>
      <c r="R209" s="155">
        <f ca="1"/>
        <v>0.18278093584700972</v>
      </c>
      <c r="S209" s="155">
        <f ca="1"/>
        <v>0</v>
      </c>
      <c r="T209" s="155">
        <f ca="1"/>
        <v>0.24780380385416112</v>
      </c>
      <c r="U209" s="155">
        <f ca="1"/>
        <v>0.30405517562617146</v>
      </c>
      <c r="V209" s="138">
        <f ca="1"/>
        <v>0.37861133005095993</v>
      </c>
      <c r="W209" s="137">
        <f ca="1"/>
        <v>0</v>
      </c>
      <c r="X209" s="155">
        <f ca="1"/>
        <v>0</v>
      </c>
      <c r="Y209" s="155">
        <f ca="1"/>
        <v>6.7176707524337242E-2</v>
      </c>
      <c r="Z209" s="155">
        <f ca="1"/>
        <v>0</v>
      </c>
      <c r="AA209" s="155">
        <f ca="1"/>
        <v>0.18318944324372965</v>
      </c>
      <c r="AB209" s="155">
        <f ca="1"/>
        <v>0</v>
      </c>
      <c r="AC209" s="155">
        <f ca="1"/>
        <v>0.24843037291091619</v>
      </c>
      <c r="AD209" s="155">
        <f ca="1"/>
        <v>0.30486663780964951</v>
      </c>
      <c r="AE209" s="138">
        <f ca="1"/>
        <v>0.3796215859128208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4" t="s">
        <v>87</v>
      </c>
      <c r="G210" s="154">
        <v>4.2750000000000002E-3</v>
      </c>
      <c r="H210" s="154" t="s">
        <v>87</v>
      </c>
      <c r="I210" s="154">
        <v>7.5789999999999998E-3</v>
      </c>
      <c r="J210" s="154" t="s">
        <v>87</v>
      </c>
      <c r="K210" s="154">
        <v>1.1918E-2</v>
      </c>
      <c r="L210" s="154">
        <v>1.4062E-2</v>
      </c>
      <c r="M210" s="154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55">
        <f ca="1"/>
        <v>0</v>
      </c>
      <c r="P210" s="155">
        <f ca="1"/>
        <v>7.537078374057038E-3</v>
      </c>
      <c r="Q210" s="155">
        <f ca="1"/>
        <v>0</v>
      </c>
      <c r="R210" s="155">
        <f ca="1"/>
        <v>3.8617728515080052E-2</v>
      </c>
      <c r="S210" s="155">
        <f ca="1"/>
        <v>0</v>
      </c>
      <c r="T210" s="155">
        <f ca="1"/>
        <v>0.10045207948725365</v>
      </c>
      <c r="U210" s="155">
        <f ca="1"/>
        <v>0.16229789936909444</v>
      </c>
      <c r="V210" s="138">
        <f ca="1"/>
        <v>0.27085764682662095</v>
      </c>
      <c r="W210" s="137">
        <f ca="1"/>
        <v>0</v>
      </c>
      <c r="X210" s="155">
        <f ca="1"/>
        <v>0</v>
      </c>
      <c r="Y210" s="155">
        <f ca="1"/>
        <v>7.7024750775577244E-3</v>
      </c>
      <c r="Z210" s="155">
        <f ca="1"/>
        <v>0</v>
      </c>
      <c r="AA210" s="155">
        <f ca="1"/>
        <v>3.9098299498030675E-2</v>
      </c>
      <c r="AB210" s="155">
        <f ca="1"/>
        <v>0</v>
      </c>
      <c r="AC210" s="155">
        <f ca="1"/>
        <v>0.10122973248304235</v>
      </c>
      <c r="AD210" s="155">
        <f ca="1"/>
        <v>0.16331578335342356</v>
      </c>
      <c r="AE210" s="138">
        <f ca="1"/>
        <v>0.27214710637836925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4" t="s">
        <v>87</v>
      </c>
      <c r="G211" s="154">
        <v>3.6250000000000002E-3</v>
      </c>
      <c r="H211" s="154" t="s">
        <v>87</v>
      </c>
      <c r="I211" s="154">
        <v>7.8189999999999996E-3</v>
      </c>
      <c r="J211" s="154" t="s">
        <v>87</v>
      </c>
      <c r="K211" s="154">
        <v>1.2063000000000001E-2</v>
      </c>
      <c r="L211" s="154">
        <v>1.3636000000000001E-2</v>
      </c>
      <c r="M211" s="154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55">
        <f ca="1"/>
        <v>0</v>
      </c>
      <c r="P211" s="155">
        <f ca="1"/>
        <v>6.3947291584415256E-3</v>
      </c>
      <c r="Q211" s="155">
        <f ca="1"/>
        <v>0</v>
      </c>
      <c r="R211" s="155">
        <f ca="1"/>
        <v>3.9943006139694703E-2</v>
      </c>
      <c r="S211" s="155">
        <f ca="1"/>
        <v>0</v>
      </c>
      <c r="T211" s="155">
        <f ca="1"/>
        <v>0.10164265970126729</v>
      </c>
      <c r="U211" s="155">
        <f ca="1"/>
        <v>0.15678447845990495</v>
      </c>
      <c r="V211" s="138">
        <f ca="1"/>
        <v>0.25184435878309175</v>
      </c>
      <c r="W211" s="137">
        <f ca="1"/>
        <v>0</v>
      </c>
      <c r="X211" s="155">
        <f ca="1"/>
        <v>0</v>
      </c>
      <c r="Y211" s="155">
        <f ca="1"/>
        <v>6.5603162375925672E-3</v>
      </c>
      <c r="Z211" s="155">
        <f ca="1"/>
        <v>0</v>
      </c>
      <c r="AA211" s="155">
        <f ca="1"/>
        <v>4.0422914649490993E-2</v>
      </c>
      <c r="AB211" s="155">
        <f ca="1"/>
        <v>0</v>
      </c>
      <c r="AC211" s="155">
        <f ca="1"/>
        <v>0.1024195448420292</v>
      </c>
      <c r="AD211" s="155">
        <f ca="1"/>
        <v>0.15780580409394107</v>
      </c>
      <c r="AE211" s="138">
        <f ca="1"/>
        <v>0.25315480757524733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4" t="s">
        <v>87</v>
      </c>
      <c r="G212" s="154">
        <v>6.7599999999999995E-4</v>
      </c>
      <c r="H212" s="154" t="s">
        <v>87</v>
      </c>
      <c r="I212" s="154">
        <v>1.158E-3</v>
      </c>
      <c r="J212" s="154" t="s">
        <v>87</v>
      </c>
      <c r="K212" s="154">
        <v>1.9300000000000001E-3</v>
      </c>
      <c r="L212" s="154">
        <v>2.4610000000000001E-3</v>
      </c>
      <c r="M212" s="154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55">
        <f ca="1"/>
        <v>0</v>
      </c>
      <c r="P212" s="155">
        <f ca="1"/>
        <v>1.1955955335842816E-3</v>
      </c>
      <c r="Q212" s="155">
        <f ca="1"/>
        <v>0</v>
      </c>
      <c r="R212" s="155">
        <f ca="1"/>
        <v>5.9793029827601707E-3</v>
      </c>
      <c r="S212" s="155">
        <f ca="1"/>
        <v>0</v>
      </c>
      <c r="T212" s="155">
        <f ca="1"/>
        <v>1.682963639131041E-2</v>
      </c>
      <c r="U212" s="155">
        <f ca="1"/>
        <v>3.0226530362412407E-2</v>
      </c>
      <c r="V212" s="138">
        <f ca="1"/>
        <v>6.4259574407833475E-2</v>
      </c>
      <c r="W212" s="137">
        <f ca="1"/>
        <v>0</v>
      </c>
      <c r="X212" s="155">
        <f ca="1"/>
        <v>0</v>
      </c>
      <c r="Y212" s="155">
        <f ca="1"/>
        <v>1.36204906283377E-3</v>
      </c>
      <c r="Z212" s="155">
        <f ca="1"/>
        <v>0</v>
      </c>
      <c r="AA212" s="155">
        <f ca="1"/>
        <v>6.476189099385854E-3</v>
      </c>
      <c r="AB212" s="155">
        <f ca="1"/>
        <v>0</v>
      </c>
      <c r="AC212" s="155">
        <f ca="1"/>
        <v>1.7648603743873448E-2</v>
      </c>
      <c r="AD212" s="155">
        <f ca="1"/>
        <v>3.1382054553709682E-2</v>
      </c>
      <c r="AE212" s="138">
        <f ca="1"/>
        <v>6.5844278694905167E-2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4" t="s">
        <v>87</v>
      </c>
      <c r="G213" s="154">
        <v>5.1699999999999999E-4</v>
      </c>
      <c r="H213" s="154" t="s">
        <v>87</v>
      </c>
      <c r="I213" s="154">
        <v>1.0820000000000001E-3</v>
      </c>
      <c r="J213" s="154" t="s">
        <v>87</v>
      </c>
      <c r="K213" s="154">
        <v>1.882E-3</v>
      </c>
      <c r="L213" s="154">
        <v>2.1879999999999998E-3</v>
      </c>
      <c r="M213" s="154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55">
        <f ca="1"/>
        <v>0</v>
      </c>
      <c r="P213" s="155">
        <f ca="1"/>
        <v>9.1451068910863853E-4</v>
      </c>
      <c r="Q213" s="155">
        <f ca="1"/>
        <v>0</v>
      </c>
      <c r="R213" s="155">
        <f ca="1"/>
        <v>5.6024190394146078E-3</v>
      </c>
      <c r="S213" s="155">
        <f ca="1"/>
        <v>0</v>
      </c>
      <c r="T213" s="155">
        <f ca="1"/>
        <v>1.6457985428498412E-2</v>
      </c>
      <c r="U213" s="155">
        <f ca="1"/>
        <v>2.6715004902493678E-2</v>
      </c>
      <c r="V213" s="138">
        <f ca="1"/>
        <v>4.8746973104126234E-2</v>
      </c>
      <c r="W213" s="137">
        <f ca="1"/>
        <v>0</v>
      </c>
      <c r="X213" s="155">
        <f ca="1"/>
        <v>0</v>
      </c>
      <c r="Y213" s="155">
        <f ca="1"/>
        <v>1.0810110618951763E-3</v>
      </c>
      <c r="Z213" s="155">
        <f ca="1"/>
        <v>0</v>
      </c>
      <c r="AA213" s="155">
        <f ca="1"/>
        <v>6.0994935509220971E-3</v>
      </c>
      <c r="AB213" s="155">
        <f ca="1"/>
        <v>0</v>
      </c>
      <c r="AC213" s="155">
        <f ca="1"/>
        <v>1.7277262361151569E-2</v>
      </c>
      <c r="AD213" s="155">
        <f ca="1"/>
        <v>2.7874127795807335E-2</v>
      </c>
      <c r="AE213" s="138">
        <f ca="1"/>
        <v>5.0360019341950779E-2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4" t="s">
        <v>87</v>
      </c>
      <c r="G214" s="154">
        <v>5.7200000000000003E-4</v>
      </c>
      <c r="H214" s="154" t="s">
        <v>87</v>
      </c>
      <c r="I214" s="154">
        <v>2.3140000000000001E-3</v>
      </c>
      <c r="J214" s="154" t="s">
        <v>87</v>
      </c>
      <c r="K214" s="154">
        <v>4.1009999999999996E-3</v>
      </c>
      <c r="L214" s="154">
        <v>5.7629999999999999E-3</v>
      </c>
      <c r="M214" s="154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55">
        <f ca="1"/>
        <v>0</v>
      </c>
      <c r="P214" s="155">
        <f ca="1"/>
        <v>1.0117501780738669E-3</v>
      </c>
      <c r="Q214" s="155">
        <f ca="1"/>
        <v>0</v>
      </c>
      <c r="R214" s="155">
        <f ca="1"/>
        <v>1.2021872562300473E-2</v>
      </c>
      <c r="S214" s="155">
        <f ca="1"/>
        <v>0</v>
      </c>
      <c r="T214" s="155">
        <f ca="1"/>
        <v>3.5731081044137136E-2</v>
      </c>
      <c r="U214" s="155">
        <f ca="1"/>
        <v>7.0639252333016045E-2</v>
      </c>
      <c r="V214" s="138">
        <f ca="1"/>
        <v>0.12026425085052617</v>
      </c>
      <c r="W214" s="137">
        <f ca="1"/>
        <v>0</v>
      </c>
      <c r="X214" s="155">
        <f ca="1"/>
        <v>0</v>
      </c>
      <c r="Y214" s="155">
        <f ca="1"/>
        <v>1.1782343456623323E-3</v>
      </c>
      <c r="Z214" s="155">
        <f ca="1"/>
        <v>0</v>
      </c>
      <c r="AA214" s="155">
        <f ca="1"/>
        <v>1.2515738149344258E-2</v>
      </c>
      <c r="AB214" s="155">
        <f ca="1"/>
        <v>0</v>
      </c>
      <c r="AC214" s="155">
        <f ca="1"/>
        <v>3.653430375395772E-2</v>
      </c>
      <c r="AD214" s="155">
        <f ca="1"/>
        <v>7.1746194962689191E-2</v>
      </c>
      <c r="AE214" s="138">
        <f ca="1"/>
        <v>0.12178527534981354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4" t="s">
        <v>87</v>
      </c>
      <c r="G215" s="154">
        <v>1.358E-3</v>
      </c>
      <c r="H215" s="154" t="s">
        <v>87</v>
      </c>
      <c r="I215" s="154">
        <v>2.5469999999999998E-3</v>
      </c>
      <c r="J215" s="154" t="s">
        <v>87</v>
      </c>
      <c r="K215" s="154">
        <v>4.5840000000000004E-3</v>
      </c>
      <c r="L215" s="154">
        <v>5.7549999999999997E-3</v>
      </c>
      <c r="M215" s="154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55">
        <f ca="1"/>
        <v>0</v>
      </c>
      <c r="P215" s="155">
        <f ca="1"/>
        <v>2.4003650046323655E-3</v>
      </c>
      <c r="Q215" s="155">
        <f ca="1"/>
        <v>0</v>
      </c>
      <c r="R215" s="155">
        <f ca="1"/>
        <v>1.3129054246805771E-2</v>
      </c>
      <c r="S215" s="155">
        <f ca="1"/>
        <v>0</v>
      </c>
      <c r="T215" s="155">
        <f ca="1"/>
        <v>3.9805951882399437E-2</v>
      </c>
      <c r="U215" s="155">
        <f ca="1"/>
        <v>6.9732187251140276E-2</v>
      </c>
      <c r="V215" s="138">
        <f ca="1"/>
        <v>0.14035209701858464</v>
      </c>
      <c r="W215" s="137">
        <f ca="1"/>
        <v>0</v>
      </c>
      <c r="X215" s="155">
        <f ca="1"/>
        <v>0</v>
      </c>
      <c r="Y215" s="155">
        <f ca="1"/>
        <v>2.5666177556865621E-3</v>
      </c>
      <c r="Z215" s="155">
        <f ca="1"/>
        <v>0</v>
      </c>
      <c r="AA215" s="155">
        <f ca="1"/>
        <v>1.3622366381405571E-2</v>
      </c>
      <c r="AB215" s="155">
        <f ca="1"/>
        <v>0</v>
      </c>
      <c r="AC215" s="155">
        <f ca="1"/>
        <v>4.0605780281062764E-2</v>
      </c>
      <c r="AD215" s="155">
        <f ca="1"/>
        <v>7.0841030129401905E-2</v>
      </c>
      <c r="AE215" s="138">
        <f ca="1"/>
        <v>0.14185020106562085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4" t="s">
        <v>87</v>
      </c>
      <c r="G216" s="154">
        <v>2.9978999999999999E-2</v>
      </c>
      <c r="H216" s="154" t="s">
        <v>87</v>
      </c>
      <c r="I216" s="154">
        <v>2.785E-2</v>
      </c>
      <c r="J216" s="154" t="s">
        <v>87</v>
      </c>
      <c r="K216" s="154">
        <v>2.5090000000000001E-2</v>
      </c>
      <c r="L216" s="154">
        <v>2.1465999999999999E-2</v>
      </c>
      <c r="M216" s="154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55">
        <f ca="1"/>
        <v>0</v>
      </c>
      <c r="P216" s="155">
        <f ca="1"/>
        <v>5.1669278698411647E-2</v>
      </c>
      <c r="Q216" s="155">
        <f ca="1"/>
        <v>0</v>
      </c>
      <c r="R216" s="155">
        <f ca="1"/>
        <v>0.13253898560057242</v>
      </c>
      <c r="S216" s="155">
        <f ca="1"/>
        <v>0</v>
      </c>
      <c r="T216" s="155">
        <f ca="1"/>
        <v>0.1884476863487129</v>
      </c>
      <c r="U216" s="155">
        <f ca="1"/>
        <v>0.21314660142574715</v>
      </c>
      <c r="V216" s="138">
        <f ca="1"/>
        <v>0.24356777904337734</v>
      </c>
      <c r="W216" s="137">
        <f ca="1"/>
        <v>0</v>
      </c>
      <c r="X216" s="155">
        <f ca="1"/>
        <v>0</v>
      </c>
      <c r="Y216" s="155">
        <f ca="1"/>
        <v>5.1827320648118791E-2</v>
      </c>
      <c r="Z216" s="155">
        <f ca="1"/>
        <v>0</v>
      </c>
      <c r="AA216" s="155">
        <f ca="1"/>
        <v>0.13297260769322627</v>
      </c>
      <c r="AB216" s="155">
        <f ca="1"/>
        <v>0</v>
      </c>
      <c r="AC216" s="155">
        <f ca="1"/>
        <v>0.18912369823268049</v>
      </c>
      <c r="AD216" s="155">
        <f ca="1"/>
        <v>0.21406406176815818</v>
      </c>
      <c r="AE216" s="138">
        <f ca="1"/>
        <v>0.24476218408240968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4" t="s">
        <v>87</v>
      </c>
      <c r="G217" s="154">
        <v>1.1770000000000001E-3</v>
      </c>
      <c r="H217" s="154" t="s">
        <v>87</v>
      </c>
      <c r="I217" s="154">
        <v>1.9789999999999999E-3</v>
      </c>
      <c r="J217" s="154" t="s">
        <v>87</v>
      </c>
      <c r="K217" s="154">
        <v>2.4610000000000001E-3</v>
      </c>
      <c r="L217" s="154">
        <v>3.2100000000000002E-3</v>
      </c>
      <c r="M217" s="154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55">
        <f ca="1"/>
        <v>0</v>
      </c>
      <c r="P217" s="155">
        <f ca="1"/>
        <v>2.0807647700651355E-3</v>
      </c>
      <c r="Q217" s="155">
        <f ca="1"/>
        <v>0</v>
      </c>
      <c r="R217" s="155">
        <f ca="1"/>
        <v>1.0197473401305057E-2</v>
      </c>
      <c r="S217" s="155">
        <f ca="1"/>
        <v>0</v>
      </c>
      <c r="T217" s="155">
        <f ca="1"/>
        <v>2.1102735349638246E-2</v>
      </c>
      <c r="U217" s="155">
        <f ca="1"/>
        <v>3.9053240568651115E-2</v>
      </c>
      <c r="V217" s="138">
        <f ca="1"/>
        <v>7.0323045515486515E-2</v>
      </c>
      <c r="W217" s="137">
        <f ca="1"/>
        <v>0</v>
      </c>
      <c r="X217" s="155">
        <f ca="1"/>
        <v>0</v>
      </c>
      <c r="Y217" s="155">
        <f ca="1"/>
        <v>2.2470707833817105E-3</v>
      </c>
      <c r="Z217" s="155">
        <f ca="1"/>
        <v>0</v>
      </c>
      <c r="AA217" s="155">
        <f ca="1"/>
        <v>1.0692250959873695E-2</v>
      </c>
      <c r="AB217" s="155">
        <f ca="1"/>
        <v>0</v>
      </c>
      <c r="AC217" s="155">
        <f ca="1"/>
        <v>2.1918143269715973E-2</v>
      </c>
      <c r="AD217" s="155">
        <f ca="1"/>
        <v>4.0197665343203126E-2</v>
      </c>
      <c r="AE217" s="138">
        <f ca="1"/>
        <v>7.189689189332249E-2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4" t="s">
        <v>87</v>
      </c>
      <c r="G218" s="154">
        <v>6.0800000000000003E-4</v>
      </c>
      <c r="H218" s="154" t="s">
        <v>87</v>
      </c>
      <c r="I218" s="154">
        <v>1.688E-3</v>
      </c>
      <c r="J218" s="154" t="s">
        <v>87</v>
      </c>
      <c r="K218" s="154">
        <v>2.5089999999999999E-3</v>
      </c>
      <c r="L218" s="154">
        <v>3.3609999999999998E-3</v>
      </c>
      <c r="M218" s="154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55">
        <f ca="1"/>
        <v>0</v>
      </c>
      <c r="P218" s="155">
        <f ca="1"/>
        <v>1.0753927560869236E-3</v>
      </c>
      <c r="Q218" s="155">
        <f ca="1"/>
        <v>0</v>
      </c>
      <c r="R218" s="155">
        <f ca="1"/>
        <v>8.7550509105021046E-3</v>
      </c>
      <c r="S218" s="155">
        <f ca="1"/>
        <v>0</v>
      </c>
      <c r="T218" s="155">
        <f ca="1"/>
        <v>2.1773640284823093E-2</v>
      </c>
      <c r="U218" s="155">
        <f ca="1"/>
        <v>4.123772931852121E-2</v>
      </c>
      <c r="V218" s="138">
        <f ca="1"/>
        <v>7.4162137342519086E-2</v>
      </c>
      <c r="W218" s="137">
        <f ca="1"/>
        <v>0</v>
      </c>
      <c r="X218" s="155">
        <f ca="1"/>
        <v>0</v>
      </c>
      <c r="Y218" s="155">
        <f ca="1"/>
        <v>1.2418663174301736E-3</v>
      </c>
      <c r="Z218" s="155">
        <f ca="1"/>
        <v>0</v>
      </c>
      <c r="AA218" s="155">
        <f ca="1"/>
        <v>9.2505495000990701E-3</v>
      </c>
      <c r="AB218" s="155">
        <f ca="1"/>
        <v>0</v>
      </c>
      <c r="AC218" s="155">
        <f ca="1"/>
        <v>2.2588489350319763E-2</v>
      </c>
      <c r="AD218" s="155">
        <f ca="1"/>
        <v>4.238072023940187E-2</v>
      </c>
      <c r="AE218" s="138">
        <f ca="1"/>
        <v>7.573011932898599E-2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4" t="s">
        <v>87</v>
      </c>
      <c r="G219" s="154">
        <v>2.8519999999999999E-3</v>
      </c>
      <c r="H219" s="154" t="s">
        <v>87</v>
      </c>
      <c r="I219" s="154">
        <v>4.0480000000000004E-3</v>
      </c>
      <c r="J219" s="154" t="s">
        <v>87</v>
      </c>
      <c r="K219" s="154">
        <v>6.8999999999999999E-3</v>
      </c>
      <c r="L219" s="154">
        <v>8.3260000000000001E-3</v>
      </c>
      <c r="M219" s="154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55">
        <f ca="1"/>
        <v>0</v>
      </c>
      <c r="P219" s="155">
        <f ca="1"/>
        <v>5.0345176143764547E-3</v>
      </c>
      <c r="Q219" s="155">
        <f ca="1"/>
        <v>0</v>
      </c>
      <c r="R219" s="155">
        <f ca="1"/>
        <v>2.0702709701802657E-2</v>
      </c>
      <c r="S219" s="155">
        <f ca="1"/>
        <v>0</v>
      </c>
      <c r="T219" s="155">
        <f ca="1"/>
        <v>5.9256505725370445E-2</v>
      </c>
      <c r="U219" s="155">
        <f ca="1"/>
        <v>9.908767796049478E-2</v>
      </c>
      <c r="V219" s="138">
        <f ca="1"/>
        <v>0.16804308856912886</v>
      </c>
      <c r="W219" s="137">
        <f ca="1"/>
        <v>0</v>
      </c>
      <c r="X219" s="155">
        <f ca="1"/>
        <v>0</v>
      </c>
      <c r="Y219" s="155">
        <f ca="1"/>
        <v>5.2003313765615067E-3</v>
      </c>
      <c r="Z219" s="155">
        <f ca="1"/>
        <v>0</v>
      </c>
      <c r="AA219" s="155">
        <f ca="1"/>
        <v>2.1192235955212246E-2</v>
      </c>
      <c r="AB219" s="155">
        <f ca="1"/>
        <v>0</v>
      </c>
      <c r="AC219" s="155">
        <f ca="1"/>
        <v>6.0040132080928732E-2</v>
      </c>
      <c r="AD219" s="155">
        <f ca="1"/>
        <v>0.10013812945370937</v>
      </c>
      <c r="AE219" s="138">
        <f ca="1"/>
        <v>0.16949508164026716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4" t="s">
        <v>87</v>
      </c>
      <c r="G220" s="154">
        <v>1.1709999999999999E-3</v>
      </c>
      <c r="H220" s="154" t="s">
        <v>87</v>
      </c>
      <c r="I220" s="154">
        <v>2.1580000000000002E-3</v>
      </c>
      <c r="J220" s="154" t="s">
        <v>87</v>
      </c>
      <c r="K220" s="154">
        <v>3.3289999999999999E-3</v>
      </c>
      <c r="L220" s="154">
        <v>3.5130000000000001E-3</v>
      </c>
      <c r="M220" s="154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55">
        <f ca="1"/>
        <v>0</v>
      </c>
      <c r="P220" s="155">
        <f ca="1"/>
        <v>2.0701685477848564E-3</v>
      </c>
      <c r="Q220" s="155">
        <f ca="1"/>
        <v>0</v>
      </c>
      <c r="R220" s="155">
        <f ca="1"/>
        <v>1.113036112910859E-2</v>
      </c>
      <c r="S220" s="155">
        <f ca="1"/>
        <v>0</v>
      </c>
      <c r="T220" s="155">
        <f ca="1"/>
        <v>2.8812479325130758E-2</v>
      </c>
      <c r="U220" s="155">
        <f ca="1"/>
        <v>4.2019872981071238E-2</v>
      </c>
      <c r="V220" s="138">
        <f ca="1"/>
        <v>6.9058568274379506E-2</v>
      </c>
      <c r="W220" s="137">
        <f ca="1"/>
        <v>0</v>
      </c>
      <c r="X220" s="155">
        <f ca="1"/>
        <v>0</v>
      </c>
      <c r="Y220" s="155">
        <f ca="1"/>
        <v>2.2364763270109611E-3</v>
      </c>
      <c r="Z220" s="155">
        <f ca="1"/>
        <v>0</v>
      </c>
      <c r="AA220" s="155">
        <f ca="1"/>
        <v>1.162467236045428E-2</v>
      </c>
      <c r="AB220" s="155">
        <f ca="1"/>
        <v>0</v>
      </c>
      <c r="AC220" s="155">
        <f ca="1"/>
        <v>2.9621465134757829E-2</v>
      </c>
      <c r="AD220" s="155">
        <f ca="1"/>
        <v>4.3160782967824773E-2</v>
      </c>
      <c r="AE220" s="138">
        <f ca="1"/>
        <v>7.0608845071109871E-2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4" t="s">
        <v>87</v>
      </c>
      <c r="G221" s="154">
        <v>8.4699999999999999E-4</v>
      </c>
      <c r="H221" s="154" t="s">
        <v>87</v>
      </c>
      <c r="I221" s="154">
        <v>2.3890000000000001E-3</v>
      </c>
      <c r="J221" s="154" t="s">
        <v>87</v>
      </c>
      <c r="K221" s="154">
        <v>3.8119999999999999E-3</v>
      </c>
      <c r="L221" s="154">
        <v>5.0819999999999997E-3</v>
      </c>
      <c r="M221" s="154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55">
        <f ca="1"/>
        <v>0</v>
      </c>
      <c r="P221" s="155">
        <f ca="1"/>
        <v>1.497806721530992E-3</v>
      </c>
      <c r="Q221" s="155">
        <f ca="1"/>
        <v>0</v>
      </c>
      <c r="R221" s="155">
        <f ca="1"/>
        <v>1.2375594825696279E-2</v>
      </c>
      <c r="S221" s="155">
        <f ca="1"/>
        <v>0</v>
      </c>
      <c r="T221" s="155">
        <f ca="1"/>
        <v>3.3058582903491951E-2</v>
      </c>
      <c r="U221" s="155">
        <f ca="1"/>
        <v>6.1986746067484111E-2</v>
      </c>
      <c r="V221" s="138">
        <f ca="1"/>
        <v>0.12504298188787955</v>
      </c>
      <c r="W221" s="137">
        <f ca="1"/>
        <v>0</v>
      </c>
      <c r="X221" s="155">
        <f ca="1"/>
        <v>0</v>
      </c>
      <c r="Y221" s="155">
        <f ca="1"/>
        <v>1.6642098864404486E-3</v>
      </c>
      <c r="Z221" s="155">
        <f ca="1"/>
        <v>0</v>
      </c>
      <c r="AA221" s="155">
        <f ca="1"/>
        <v>1.2869283595778991E-2</v>
      </c>
      <c r="AB221" s="155">
        <f ca="1"/>
        <v>0</v>
      </c>
      <c r="AC221" s="155">
        <f ca="1"/>
        <v>3.3864031767428693E-2</v>
      </c>
      <c r="AD221" s="155">
        <f ca="1"/>
        <v>6.3104710165132083E-2</v>
      </c>
      <c r="AE221" s="138">
        <f ca="1"/>
        <v>0.12656272551205672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4" t="s">
        <v>87</v>
      </c>
      <c r="G222" s="154">
        <v>9.6699999999999998E-4</v>
      </c>
      <c r="H222" s="154" t="s">
        <v>87</v>
      </c>
      <c r="I222" s="154">
        <v>2.1649999999999998E-3</v>
      </c>
      <c r="J222" s="154" t="s">
        <v>87</v>
      </c>
      <c r="K222" s="154">
        <v>2.7989999999999998E-3</v>
      </c>
      <c r="L222" s="154">
        <v>3.643E-3</v>
      </c>
      <c r="M222" s="154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55">
        <f ca="1"/>
        <v>0</v>
      </c>
      <c r="P222" s="155">
        <f ca="1"/>
        <v>1.709830556587244E-3</v>
      </c>
      <c r="Q222" s="155">
        <f ca="1"/>
        <v>0</v>
      </c>
      <c r="R222" s="155">
        <f ca="1"/>
        <v>1.1193776244980747E-2</v>
      </c>
      <c r="S222" s="155">
        <f ca="1"/>
        <v>0</v>
      </c>
      <c r="T222" s="155">
        <f ca="1"/>
        <v>2.40704051989582E-2</v>
      </c>
      <c r="U222" s="155">
        <f ca="1"/>
        <v>4.4324597434589386E-2</v>
      </c>
      <c r="V222" s="138">
        <f ca="1"/>
        <v>8.0424901200835786E-2</v>
      </c>
      <c r="W222" s="137">
        <f ca="1"/>
        <v>0</v>
      </c>
      <c r="X222" s="155">
        <f ca="1"/>
        <v>0</v>
      </c>
      <c r="Y222" s="155">
        <f ca="1"/>
        <v>1.8761983871263821E-3</v>
      </c>
      <c r="Z222" s="155">
        <f ca="1"/>
        <v>0</v>
      </c>
      <c r="AA222" s="155">
        <f ca="1"/>
        <v>1.1688055776703954E-2</v>
      </c>
      <c r="AB222" s="155">
        <f ca="1"/>
        <v>0</v>
      </c>
      <c r="AC222" s="155">
        <f ca="1"/>
        <v>2.4883341090969124E-2</v>
      </c>
      <c r="AD222" s="155">
        <f ca="1"/>
        <v>4.5463116970431927E-2</v>
      </c>
      <c r="AE222" s="138">
        <f ca="1"/>
        <v>8.1956249887126575E-2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4" t="s">
        <v>87</v>
      </c>
      <c r="G223" s="154">
        <v>5.0900000000000001E-4</v>
      </c>
      <c r="H223" s="154" t="s">
        <v>87</v>
      </c>
      <c r="I223" s="154">
        <v>1.818E-3</v>
      </c>
      <c r="J223" s="154" t="s">
        <v>87</v>
      </c>
      <c r="K223" s="154">
        <v>2.7499999999999998E-3</v>
      </c>
      <c r="L223" s="154">
        <v>3.4499999999999999E-3</v>
      </c>
      <c r="M223" s="154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55">
        <f ca="1"/>
        <v>0</v>
      </c>
      <c r="P223" s="155">
        <f ca="1"/>
        <v>9.0036598067866347E-4</v>
      </c>
      <c r="Q223" s="155">
        <f ca="1"/>
        <v>0</v>
      </c>
      <c r="R223" s="155">
        <f ca="1"/>
        <v>9.4459728325678727E-3</v>
      </c>
      <c r="S223" s="155">
        <f ca="1"/>
        <v>0</v>
      </c>
      <c r="T223" s="155">
        <f ca="1"/>
        <v>2.3886173546508793E-2</v>
      </c>
      <c r="U223" s="155">
        <f ca="1"/>
        <v>4.2093568088015565E-2</v>
      </c>
      <c r="V223" s="138">
        <f ca="1"/>
        <v>7.8319577297201959E-2</v>
      </c>
      <c r="W223" s="137">
        <f ca="1"/>
        <v>0</v>
      </c>
      <c r="X223" s="155">
        <f ca="1"/>
        <v>0</v>
      </c>
      <c r="Y223" s="155">
        <f ca="1"/>
        <v>1.0668687107463493E-3</v>
      </c>
      <c r="Z223" s="155">
        <f ca="1"/>
        <v>0</v>
      </c>
      <c r="AA223" s="155">
        <f ca="1"/>
        <v>9.9411260475397167E-3</v>
      </c>
      <c r="AB223" s="155">
        <f ca="1"/>
        <v>0</v>
      </c>
      <c r="AC223" s="155">
        <f ca="1"/>
        <v>2.4699262900926833E-2</v>
      </c>
      <c r="AD223" s="155">
        <f ca="1"/>
        <v>4.3235517821446412E-2</v>
      </c>
      <c r="AE223" s="138">
        <f ca="1"/>
        <v>7.9854431934164194E-2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4" t="s">
        <v>87</v>
      </c>
      <c r="G224" s="154">
        <v>3.7399999999999998E-4</v>
      </c>
      <c r="H224" s="154" t="s">
        <v>87</v>
      </c>
      <c r="I224" s="154">
        <v>1.689E-3</v>
      </c>
      <c r="J224" s="154" t="s">
        <v>87</v>
      </c>
      <c r="K224" s="154">
        <v>2.6540000000000001E-3</v>
      </c>
      <c r="L224" s="154">
        <v>3.8119999999999999E-3</v>
      </c>
      <c r="M224" s="154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55">
        <f ca="1"/>
        <v>0</v>
      </c>
      <c r="P224" s="155">
        <f ca="1"/>
        <v>6.6164403820745399E-4</v>
      </c>
      <c r="Q224" s="155">
        <f ca="1"/>
        <v>0</v>
      </c>
      <c r="R224" s="155">
        <f ca="1"/>
        <v>8.7907426649194154E-3</v>
      </c>
      <c r="S224" s="155">
        <f ca="1"/>
        <v>0</v>
      </c>
      <c r="T224" s="155">
        <f ca="1"/>
        <v>2.3111698766703825E-2</v>
      </c>
      <c r="U224" s="155">
        <f ca="1"/>
        <v>4.706259986654826E-2</v>
      </c>
      <c r="V224" s="138">
        <f ca="1"/>
        <v>8.981025916387908E-2</v>
      </c>
      <c r="W224" s="137">
        <f ca="1"/>
        <v>0</v>
      </c>
      <c r="X224" s="155">
        <f ca="1"/>
        <v>0</v>
      </c>
      <c r="Y224" s="155">
        <f ca="1"/>
        <v>8.2818655192351542E-4</v>
      </c>
      <c r="Z224" s="155">
        <f ca="1"/>
        <v>0</v>
      </c>
      <c r="AA224" s="155">
        <f ca="1"/>
        <v>9.2862234130961507E-3</v>
      </c>
      <c r="AB224" s="155">
        <f ca="1"/>
        <v>0</v>
      </c>
      <c r="AC224" s="155">
        <f ca="1"/>
        <v>2.3925433247956929E-2</v>
      </c>
      <c r="AD224" s="155">
        <f ca="1"/>
        <v>4.8199116951999521E-2</v>
      </c>
      <c r="AE224" s="138">
        <f ca="1"/>
        <v>9.1376989660833519E-2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4" t="s">
        <v>87</v>
      </c>
      <c r="G225" s="154">
        <v>6.2200000000000005E-4</v>
      </c>
      <c r="H225" s="154" t="s">
        <v>87</v>
      </c>
      <c r="I225" s="154">
        <v>2.343E-3</v>
      </c>
      <c r="J225" s="154" t="s">
        <v>87</v>
      </c>
      <c r="K225" s="154">
        <v>3.2330000000000002E-3</v>
      </c>
      <c r="L225" s="154">
        <v>4.2170000000000003E-3</v>
      </c>
      <c r="M225" s="154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55">
        <f ca="1"/>
        <v>0</v>
      </c>
      <c r="P225" s="155">
        <f ca="1"/>
        <v>1.1001415605869092E-3</v>
      </c>
      <c r="Q225" s="155">
        <f ca="1"/>
        <v>0</v>
      </c>
      <c r="R225" s="155">
        <f ca="1"/>
        <v>1.2166174842823785E-2</v>
      </c>
      <c r="S225" s="155">
        <f ca="1"/>
        <v>0</v>
      </c>
      <c r="T225" s="155">
        <f ca="1"/>
        <v>2.791870922698414E-2</v>
      </c>
      <c r="U225" s="155">
        <f ca="1"/>
        <v>5.1348685624912904E-2</v>
      </c>
      <c r="V225" s="138">
        <f ca="1"/>
        <v>8.9644313109081941E-2</v>
      </c>
      <c r="W225" s="137">
        <f ca="1"/>
        <v>0</v>
      </c>
      <c r="X225" s="155">
        <f ca="1"/>
        <v>0</v>
      </c>
      <c r="Y225" s="155">
        <f ca="1"/>
        <v>1.2666109974699413E-3</v>
      </c>
      <c r="Z225" s="155">
        <f ca="1"/>
        <v>0</v>
      </c>
      <c r="AA225" s="155">
        <f ca="1"/>
        <v>1.265996829676086E-2</v>
      </c>
      <c r="AB225" s="155">
        <f ca="1"/>
        <v>0</v>
      </c>
      <c r="AC225" s="155">
        <f ca="1"/>
        <v>2.8728439534797534E-2</v>
      </c>
      <c r="AD225" s="155">
        <f ca="1"/>
        <v>5.247929461042411E-2</v>
      </c>
      <c r="AE225" s="138">
        <f ca="1"/>
        <v>9.1160308906526155E-2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4" t="s">
        <v>87</v>
      </c>
      <c r="G226" s="154">
        <v>7.2400000000000003E-4</v>
      </c>
      <c r="H226" s="154" t="s">
        <v>87</v>
      </c>
      <c r="I226" s="154">
        <v>1.5920000000000001E-3</v>
      </c>
      <c r="J226" s="154" t="s">
        <v>87</v>
      </c>
      <c r="K226" s="154">
        <v>2.5569999999999998E-3</v>
      </c>
      <c r="L226" s="154">
        <v>2.97E-3</v>
      </c>
      <c r="M226" s="154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55">
        <f ca="1"/>
        <v>0</v>
      </c>
      <c r="P226" s="155">
        <f ca="1"/>
        <v>1.2804359084609418E-3</v>
      </c>
      <c r="Q226" s="155">
        <f ca="1"/>
        <v>0</v>
      </c>
      <c r="R226" s="155">
        <f ca="1"/>
        <v>8.2391538768908923E-3</v>
      </c>
      <c r="S226" s="155">
        <f ca="1"/>
        <v>0</v>
      </c>
      <c r="T226" s="155">
        <f ca="1"/>
        <v>2.2244871473414918E-2</v>
      </c>
      <c r="U226" s="155">
        <f ca="1"/>
        <v>3.6059440825184641E-2</v>
      </c>
      <c r="V226" s="138">
        <f ca="1"/>
        <v>7.0787481936383845E-2</v>
      </c>
      <c r="W226" s="137">
        <f ca="1"/>
        <v>0</v>
      </c>
      <c r="X226" s="155">
        <f ca="1"/>
        <v>0</v>
      </c>
      <c r="Y226" s="155">
        <f ca="1"/>
        <v>1.4468752987969458E-3</v>
      </c>
      <c r="Z226" s="155">
        <f ca="1"/>
        <v>0</v>
      </c>
      <c r="AA226" s="155">
        <f ca="1"/>
        <v>8.7349103505269809E-3</v>
      </c>
      <c r="AB226" s="155">
        <f ca="1"/>
        <v>0</v>
      </c>
      <c r="AC226" s="155">
        <f ca="1"/>
        <v>2.3059328009803592E-2</v>
      </c>
      <c r="AD226" s="155">
        <f ca="1"/>
        <v>3.7207995865250809E-2</v>
      </c>
      <c r="AE226" s="138">
        <f ca="1"/>
        <v>7.2334879610194136E-2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4" t="s">
        <v>87</v>
      </c>
      <c r="G227" s="154">
        <v>4.4999999999999999E-4</v>
      </c>
      <c r="H227" s="154" t="s">
        <v>87</v>
      </c>
      <c r="I227" s="154">
        <v>1.158E-3</v>
      </c>
      <c r="J227" s="154" t="s">
        <v>87</v>
      </c>
      <c r="K227" s="154">
        <v>2.0270000000000002E-3</v>
      </c>
      <c r="L227" s="154">
        <v>2.6540000000000001E-3</v>
      </c>
      <c r="M227" s="154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55">
        <f ca="1"/>
        <v>0</v>
      </c>
      <c r="P227" s="155">
        <f ca="1"/>
        <v>7.9604261595100922E-4</v>
      </c>
      <c r="Q227" s="155">
        <f ca="1"/>
        <v>0</v>
      </c>
      <c r="R227" s="155">
        <f ca="1"/>
        <v>6.008199580844531E-3</v>
      </c>
      <c r="S227" s="155">
        <f ca="1"/>
        <v>0</v>
      </c>
      <c r="T227" s="155">
        <f ca="1"/>
        <v>1.7736457623759416E-2</v>
      </c>
      <c r="U227" s="155">
        <f ca="1"/>
        <v>3.271469234502733E-2</v>
      </c>
      <c r="V227" s="138">
        <f ca="1"/>
        <v>6.3786999463602112E-2</v>
      </c>
      <c r="W227" s="137">
        <f ca="1"/>
        <v>0</v>
      </c>
      <c r="X227" s="155">
        <f ca="1"/>
        <v>0</v>
      </c>
      <c r="Y227" s="155">
        <f ca="1"/>
        <v>9.6256273177741658E-4</v>
      </c>
      <c r="Z227" s="155">
        <f ca="1"/>
        <v>0</v>
      </c>
      <c r="AA227" s="155">
        <f ca="1"/>
        <v>6.5050712527661148E-3</v>
      </c>
      <c r="AB227" s="155">
        <f ca="1"/>
        <v>0</v>
      </c>
      <c r="AC227" s="155">
        <f ca="1"/>
        <v>1.8554669606752228E-2</v>
      </c>
      <c r="AD227" s="155">
        <f ca="1"/>
        <v>3.3867829900640078E-2</v>
      </c>
      <c r="AE227" s="138">
        <f ca="1"/>
        <v>6.5373964990318889E-2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4" t="s">
        <v>87</v>
      </c>
      <c r="G228" s="154">
        <v>5.31E-4</v>
      </c>
      <c r="H228" s="154" t="s">
        <v>87</v>
      </c>
      <c r="I228" s="154">
        <v>1.6410000000000001E-3</v>
      </c>
      <c r="J228" s="154" t="s">
        <v>87</v>
      </c>
      <c r="K228" s="154">
        <v>2.6540000000000001E-3</v>
      </c>
      <c r="L228" s="154">
        <v>3.764E-3</v>
      </c>
      <c r="M228" s="154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55">
        <f ca="1"/>
        <v>0</v>
      </c>
      <c r="P228" s="155">
        <f ca="1"/>
        <v>9.3926345047601334E-4</v>
      </c>
      <c r="Q228" s="155">
        <f ca="1"/>
        <v>0</v>
      </c>
      <c r="R228" s="155">
        <f ca="1"/>
        <v>8.51987665061682E-3</v>
      </c>
      <c r="S228" s="155">
        <f ca="1"/>
        <v>0</v>
      </c>
      <c r="T228" s="155">
        <f ca="1"/>
        <v>2.3117722822754039E-2</v>
      </c>
      <c r="U228" s="155">
        <f ca="1"/>
        <v>4.6435918012455168E-2</v>
      </c>
      <c r="V228" s="138">
        <f ca="1"/>
        <v>8.5223673892314666E-2</v>
      </c>
      <c r="W228" s="137">
        <f ca="1"/>
        <v>0</v>
      </c>
      <c r="X228" s="155">
        <f ca="1"/>
        <v>0</v>
      </c>
      <c r="Y228" s="155">
        <f ca="1"/>
        <v>1.1057596981427498E-3</v>
      </c>
      <c r="Z228" s="155">
        <f ca="1"/>
        <v>0</v>
      </c>
      <c r="AA228" s="155">
        <f ca="1"/>
        <v>9.0154927979652077E-3</v>
      </c>
      <c r="AB228" s="155">
        <f ca="1"/>
        <v>0</v>
      </c>
      <c r="AC228" s="155">
        <f ca="1"/>
        <v>2.3931452286053534E-2</v>
      </c>
      <c r="AD228" s="155">
        <f ca="1"/>
        <v>4.7573199051571091E-2</v>
      </c>
      <c r="AE228" s="138">
        <f ca="1"/>
        <v>8.6747031285324683E-2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4" t="s">
        <v>87</v>
      </c>
      <c r="G229" s="154">
        <v>1.544E-3</v>
      </c>
      <c r="H229" s="154" t="s">
        <v>87</v>
      </c>
      <c r="I229" s="154">
        <v>2.2200000000000002E-3</v>
      </c>
      <c r="J229" s="154" t="s">
        <v>87</v>
      </c>
      <c r="K229" s="154">
        <v>2.9919999999999999E-3</v>
      </c>
      <c r="L229" s="154">
        <v>3.9569999999999996E-3</v>
      </c>
      <c r="M229" s="154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55">
        <f ca="1"/>
        <v>0</v>
      </c>
      <c r="P229" s="155">
        <f ca="1"/>
        <v>2.7286881883599179E-3</v>
      </c>
      <c r="Q229" s="155">
        <f ca="1"/>
        <v>0</v>
      </c>
      <c r="R229" s="155">
        <f ca="1"/>
        <v>1.1403691284208373E-2</v>
      </c>
      <c r="S229" s="155">
        <f ca="1"/>
        <v>0</v>
      </c>
      <c r="T229" s="155">
        <f ca="1"/>
        <v>2.5697980613623939E-2</v>
      </c>
      <c r="U229" s="155">
        <f ca="1"/>
        <v>4.8138058631414404E-2</v>
      </c>
      <c r="V229" s="138">
        <f ca="1"/>
        <v>9.1490484268135663E-2</v>
      </c>
      <c r="W229" s="137">
        <f ca="1"/>
        <v>0</v>
      </c>
      <c r="X229" s="155">
        <f ca="1"/>
        <v>0</v>
      </c>
      <c r="Y229" s="155">
        <f ca="1"/>
        <v>2.894886223431925E-3</v>
      </c>
      <c r="Z229" s="155">
        <f ca="1"/>
        <v>0</v>
      </c>
      <c r="AA229" s="155">
        <f ca="1"/>
        <v>1.189786588464814E-2</v>
      </c>
      <c r="AB229" s="155">
        <f ca="1"/>
        <v>0</v>
      </c>
      <c r="AC229" s="155">
        <f ca="1"/>
        <v>2.6509560757772221E-2</v>
      </c>
      <c r="AD229" s="155">
        <f ca="1"/>
        <v>4.9271907935372283E-2</v>
      </c>
      <c r="AE229" s="138">
        <f ca="1"/>
        <v>9.3052219677930093E-2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4" t="s">
        <v>87</v>
      </c>
      <c r="G230" s="154">
        <v>9.8799999999999995E-4</v>
      </c>
      <c r="H230" s="154" t="s">
        <v>87</v>
      </c>
      <c r="I230" s="154">
        <v>2.0430000000000001E-3</v>
      </c>
      <c r="J230" s="154" t="s">
        <v>87</v>
      </c>
      <c r="K230" s="154">
        <v>3.0400000000000002E-3</v>
      </c>
      <c r="L230" s="154">
        <v>3.9370000000000004E-3</v>
      </c>
      <c r="M230" s="154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55">
        <f ca="1"/>
        <v>0</v>
      </c>
      <c r="P230" s="155">
        <f ca="1"/>
        <v>1.7469301338300935E-3</v>
      </c>
      <c r="Q230" s="155">
        <f ca="1"/>
        <v>0</v>
      </c>
      <c r="R230" s="155">
        <f ca="1"/>
        <v>1.0555688670736085E-2</v>
      </c>
      <c r="S230" s="155">
        <f ca="1"/>
        <v>0</v>
      </c>
      <c r="T230" s="155">
        <f ca="1"/>
        <v>2.6305033062577921E-2</v>
      </c>
      <c r="U230" s="155">
        <f ca="1"/>
        <v>4.8001459027134596E-2</v>
      </c>
      <c r="V230" s="138">
        <f ca="1"/>
        <v>8.6254061741295018E-2</v>
      </c>
      <c r="W230" s="137">
        <f ca="1"/>
        <v>0</v>
      </c>
      <c r="X230" s="155">
        <f ca="1"/>
        <v>0</v>
      </c>
      <c r="Y230" s="155">
        <f ca="1"/>
        <v>1.9132917816381267E-3</v>
      </c>
      <c r="Z230" s="155">
        <f ca="1"/>
        <v>0</v>
      </c>
      <c r="AA230" s="155">
        <f ca="1"/>
        <v>1.1050287166443629E-2</v>
      </c>
      <c r="AB230" s="155">
        <f ca="1"/>
        <v>0</v>
      </c>
      <c r="AC230" s="155">
        <f ca="1"/>
        <v>2.7116107540373413E-2</v>
      </c>
      <c r="AD230" s="155">
        <f ca="1"/>
        <v>4.9136222291973564E-2</v>
      </c>
      <c r="AE230" s="138">
        <f ca="1"/>
        <v>8.7775703251588899E-2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4" t="s">
        <v>87</v>
      </c>
      <c r="G231" s="154">
        <v>3.7787000000000001E-2</v>
      </c>
      <c r="H231" s="154" t="s">
        <v>87</v>
      </c>
      <c r="I231" s="154">
        <v>3.7137000000000003E-2</v>
      </c>
      <c r="J231" s="154" t="s">
        <v>87</v>
      </c>
      <c r="K231" s="154">
        <v>3.2376000000000002E-2</v>
      </c>
      <c r="L231" s="154">
        <v>2.9519E-2</v>
      </c>
      <c r="M231" s="154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55">
        <f ca="1"/>
        <v>0</v>
      </c>
      <c r="P231" s="155">
        <f ca="1"/>
        <v>6.4682171021927748E-2</v>
      </c>
      <c r="Q231" s="155">
        <f ca="1"/>
        <v>0</v>
      </c>
      <c r="R231" s="155">
        <f ca="1"/>
        <v>0.17315456663047035</v>
      </c>
      <c r="S231" s="155">
        <f ca="1"/>
        <v>0</v>
      </c>
      <c r="T231" s="155">
        <f ca="1"/>
        <v>0.2346706993005212</v>
      </c>
      <c r="U231" s="155">
        <f ca="1"/>
        <v>0.28297329465656851</v>
      </c>
      <c r="V231" s="138">
        <f ca="1"/>
        <v>0.36055516865911674</v>
      </c>
      <c r="W231" s="137">
        <f ca="1"/>
        <v>0</v>
      </c>
      <c r="X231" s="155">
        <f ca="1"/>
        <v>0</v>
      </c>
      <c r="Y231" s="155">
        <f ca="1"/>
        <v>6.4838044336959388E-2</v>
      </c>
      <c r="Z231" s="155">
        <f ca="1"/>
        <v>0</v>
      </c>
      <c r="AA231" s="155">
        <f ca="1"/>
        <v>0.17356788600871198</v>
      </c>
      <c r="AB231" s="155">
        <f ca="1"/>
        <v>0</v>
      </c>
      <c r="AC231" s="155">
        <f ca="1"/>
        <v>0.23530820805222363</v>
      </c>
      <c r="AD231" s="155">
        <f ca="1"/>
        <v>0.28380933802603214</v>
      </c>
      <c r="AE231" s="138">
        <f ca="1"/>
        <v>0.36162002242003044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4" t="s">
        <v>87</v>
      </c>
      <c r="G232" s="154">
        <v>1.098E-3</v>
      </c>
      <c r="H232" s="154" t="s">
        <v>87</v>
      </c>
      <c r="I232" s="154">
        <v>2.1949999999999999E-3</v>
      </c>
      <c r="J232" s="154" t="s">
        <v>87</v>
      </c>
      <c r="K232" s="154">
        <v>4.3909999999999999E-3</v>
      </c>
      <c r="L232" s="154">
        <v>5.6239999999999997E-3</v>
      </c>
      <c r="M232" s="154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55">
        <f ca="1"/>
        <v>0</v>
      </c>
      <c r="P232" s="155">
        <f ca="1"/>
        <v>1.9412389014504816E-3</v>
      </c>
      <c r="Q232" s="155">
        <f ca="1"/>
        <v>0</v>
      </c>
      <c r="R232" s="155">
        <f ca="1"/>
        <v>1.1332622884813959E-2</v>
      </c>
      <c r="S232" s="155">
        <f ca="1"/>
        <v>0</v>
      </c>
      <c r="T232" s="155">
        <f ca="1"/>
        <v>3.8324787445172537E-2</v>
      </c>
      <c r="U232" s="155">
        <f ca="1"/>
        <v>6.8493168813269945E-2</v>
      </c>
      <c r="V232" s="138">
        <f ca="1"/>
        <v>0.1192755245551258</v>
      </c>
      <c r="W232" s="137">
        <f ca="1"/>
        <v>0</v>
      </c>
      <c r="X232" s="155">
        <f ca="1"/>
        <v>0</v>
      </c>
      <c r="Y232" s="155">
        <f ca="1"/>
        <v>2.1075681671435254E-3</v>
      </c>
      <c r="Z232" s="155">
        <f ca="1"/>
        <v>0</v>
      </c>
      <c r="AA232" s="155">
        <f ca="1"/>
        <v>1.1826833010570748E-2</v>
      </c>
      <c r="AB232" s="155">
        <f ca="1"/>
        <v>0</v>
      </c>
      <c r="AC232" s="155">
        <f ca="1"/>
        <v>3.9125849633374288E-2</v>
      </c>
      <c r="AD232" s="155">
        <f ca="1"/>
        <v>6.9604115770184549E-2</v>
      </c>
      <c r="AE232" s="138">
        <f ca="1"/>
        <v>0.12079700586851949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4" t="s">
        <v>87</v>
      </c>
      <c r="G233" s="154">
        <v>0.128667</v>
      </c>
      <c r="H233" s="154" t="s">
        <v>87</v>
      </c>
      <c r="I233" s="154">
        <v>9.0311000000000002E-2</v>
      </c>
      <c r="J233" s="154" t="s">
        <v>87</v>
      </c>
      <c r="K233" s="154">
        <v>6.6102999999999995E-2</v>
      </c>
      <c r="L233" s="154">
        <v>6.0176E-2</v>
      </c>
      <c r="M233" s="154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55">
        <f ca="1"/>
        <v>0</v>
      </c>
      <c r="P233" s="155">
        <f ca="1"/>
        <v>0.20361981732748846</v>
      </c>
      <c r="Q233" s="155">
        <f ca="1"/>
        <v>0</v>
      </c>
      <c r="R233" s="155">
        <f ca="1"/>
        <v>0.35616820359194923</v>
      </c>
      <c r="S233" s="155">
        <f ca="1"/>
        <v>0</v>
      </c>
      <c r="T233" s="155">
        <f ca="1"/>
        <v>0.38659099055166934</v>
      </c>
      <c r="U233" s="155">
        <f ca="1"/>
        <v>0.45951897561378219</v>
      </c>
      <c r="V233" s="138">
        <f ca="1"/>
        <v>0.53950320345734304</v>
      </c>
      <c r="W233" s="137">
        <f ca="1"/>
        <v>0</v>
      </c>
      <c r="X233" s="155">
        <f ca="1"/>
        <v>0</v>
      </c>
      <c r="Y233" s="155">
        <f ca="1"/>
        <v>0.20375253629770429</v>
      </c>
      <c r="Z233" s="155">
        <f ca="1"/>
        <v>0</v>
      </c>
      <c r="AA233" s="155">
        <f ca="1"/>
        <v>0.35649003902457399</v>
      </c>
      <c r="AB233" s="155">
        <f ca="1"/>
        <v>0</v>
      </c>
      <c r="AC233" s="155">
        <f ca="1"/>
        <v>0.38705594804663801</v>
      </c>
      <c r="AD233" s="155">
        <f ca="1"/>
        <v>0.46008763290491772</v>
      </c>
      <c r="AE233" s="138">
        <f ca="1"/>
        <v>0.54017815192813645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4" t="s">
        <v>87</v>
      </c>
      <c r="G234" s="154">
        <v>5.6700000000000001E-4</v>
      </c>
      <c r="H234" s="154" t="s">
        <v>87</v>
      </c>
      <c r="I234" s="154">
        <v>1.255E-3</v>
      </c>
      <c r="J234" s="154" t="s">
        <v>87</v>
      </c>
      <c r="K234" s="154">
        <v>2.0270000000000002E-3</v>
      </c>
      <c r="L234" s="154">
        <v>2.7499999999999998E-3</v>
      </c>
      <c r="M234" s="154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55">
        <f ca="1"/>
        <v>0</v>
      </c>
      <c r="P234" s="155">
        <f ca="1"/>
        <v>1.0029106128022214E-3</v>
      </c>
      <c r="Q234" s="155">
        <f ca="1"/>
        <v>0</v>
      </c>
      <c r="R234" s="155">
        <f ca="1"/>
        <v>6.5000412501730054E-3</v>
      </c>
      <c r="S234" s="155">
        <f ca="1"/>
        <v>0</v>
      </c>
      <c r="T234" s="155">
        <f ca="1"/>
        <v>1.7667561551196087E-2</v>
      </c>
      <c r="U234" s="155">
        <f ca="1"/>
        <v>3.3917376820924772E-2</v>
      </c>
      <c r="V234" s="138">
        <f ca="1"/>
        <v>6.5419343858823531E-2</v>
      </c>
      <c r="W234" s="137">
        <f ca="1"/>
        <v>0</v>
      </c>
      <c r="X234" s="155">
        <f ca="1"/>
        <v>0</v>
      </c>
      <c r="Y234" s="155">
        <f ca="1"/>
        <v>1.1693962535024305E-3</v>
      </c>
      <c r="Z234" s="155">
        <f ca="1"/>
        <v>0</v>
      </c>
      <c r="AA234" s="155">
        <f ca="1"/>
        <v>6.9966670627252814E-3</v>
      </c>
      <c r="AB234" s="155">
        <f ca="1"/>
        <v>0</v>
      </c>
      <c r="AC234" s="155">
        <f ca="1"/>
        <v>1.8485830923668733E-2</v>
      </c>
      <c r="AD234" s="155">
        <f ca="1"/>
        <v>3.5069019496243858E-2</v>
      </c>
      <c r="AE234" s="138">
        <f ca="1"/>
        <v>6.7003438674414273E-2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4" t="s">
        <v>87</v>
      </c>
      <c r="G235" s="154">
        <v>7.6000000000000004E-4</v>
      </c>
      <c r="H235" s="154" t="s">
        <v>87</v>
      </c>
      <c r="I235" s="154">
        <v>2.075E-3</v>
      </c>
      <c r="J235" s="154" t="s">
        <v>87</v>
      </c>
      <c r="K235" s="154">
        <v>2.702E-3</v>
      </c>
      <c r="L235" s="154">
        <v>3.6189999999999998E-3</v>
      </c>
      <c r="M235" s="154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55">
        <f ca="1"/>
        <v>0</v>
      </c>
      <c r="P235" s="155">
        <f ca="1"/>
        <v>1.3440614954148833E-3</v>
      </c>
      <c r="Q235" s="155">
        <f ca="1"/>
        <v>0</v>
      </c>
      <c r="R235" s="155">
        <f ca="1"/>
        <v>1.0752419271939817E-2</v>
      </c>
      <c r="S235" s="155">
        <f ca="1"/>
        <v>0</v>
      </c>
      <c r="T235" s="155">
        <f ca="1"/>
        <v>2.3275509783889259E-2</v>
      </c>
      <c r="U235" s="155">
        <f ca="1"/>
        <v>4.4192514070765521E-2</v>
      </c>
      <c r="V235" s="138">
        <f ca="1"/>
        <v>8.234987230696178E-2</v>
      </c>
      <c r="W235" s="137">
        <f ca="1"/>
        <v>0</v>
      </c>
      <c r="X235" s="155">
        <f ca="1"/>
        <v>0</v>
      </c>
      <c r="Y235" s="155">
        <f ca="1"/>
        <v>1.5104902823799282E-3</v>
      </c>
      <c r="Z235" s="155">
        <f ca="1"/>
        <v>0</v>
      </c>
      <c r="AA235" s="155">
        <f ca="1"/>
        <v>1.1246919426960766E-2</v>
      </c>
      <c r="AB235" s="155">
        <f ca="1"/>
        <v>0</v>
      </c>
      <c r="AC235" s="155">
        <f ca="1"/>
        <v>2.4089107812776622E-2</v>
      </c>
      <c r="AD235" s="155">
        <f ca="1"/>
        <v>4.5331415333917491E-2</v>
      </c>
      <c r="AE235" s="138">
        <f ca="1"/>
        <v>8.387801538015871E-2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4" t="s">
        <v>87</v>
      </c>
      <c r="G236" s="154">
        <v>1.158E-3</v>
      </c>
      <c r="H236" s="154" t="s">
        <v>87</v>
      </c>
      <c r="I236" s="154">
        <v>3.3089999999999999E-3</v>
      </c>
      <c r="J236" s="154" t="s">
        <v>87</v>
      </c>
      <c r="K236" s="154">
        <v>4.6319999999999998E-3</v>
      </c>
      <c r="L236" s="154">
        <v>6.097E-3</v>
      </c>
      <c r="M236" s="154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55">
        <f ca="1"/>
        <v>0</v>
      </c>
      <c r="P236" s="155">
        <f ca="1"/>
        <v>2.0472096832687692E-3</v>
      </c>
      <c r="Q236" s="155">
        <f ca="1"/>
        <v>0</v>
      </c>
      <c r="R236" s="155">
        <f ca="1"/>
        <v>1.7112593150550914E-2</v>
      </c>
      <c r="S236" s="155">
        <f ca="1"/>
        <v>0</v>
      </c>
      <c r="T236" s="155">
        <f ca="1"/>
        <v>3.981032688487296E-2</v>
      </c>
      <c r="U236" s="155">
        <f ca="1"/>
        <v>7.3694287737881337E-2</v>
      </c>
      <c r="V236" s="138">
        <f ca="1"/>
        <v>0.12893179944393263</v>
      </c>
      <c r="W236" s="137">
        <f ca="1"/>
        <v>0</v>
      </c>
      <c r="X236" s="155">
        <f ca="1"/>
        <v>0</v>
      </c>
      <c r="Y236" s="155">
        <f ca="1"/>
        <v>2.2135212886533751E-3</v>
      </c>
      <c r="Z236" s="155">
        <f ca="1"/>
        <v>0</v>
      </c>
      <c r="AA236" s="155">
        <f ca="1"/>
        <v>1.7603914013561872E-2</v>
      </c>
      <c r="AB236" s="155">
        <f ca="1"/>
        <v>0</v>
      </c>
      <c r="AC236" s="155">
        <f ca="1"/>
        <v>4.0610151639186576E-2</v>
      </c>
      <c r="AD236" s="155">
        <f ca="1"/>
        <v>7.477434757807222E-2</v>
      </c>
      <c r="AE236" s="138">
        <f ca="1"/>
        <v>0.1304424942307133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4" t="s">
        <v>87</v>
      </c>
      <c r="G237" s="154">
        <v>1.062E-3</v>
      </c>
      <c r="H237" s="154" t="s">
        <v>87</v>
      </c>
      <c r="I237" s="154">
        <v>1.9780000000000002E-3</v>
      </c>
      <c r="J237" s="154" t="s">
        <v>87</v>
      </c>
      <c r="K237" s="154">
        <v>3.088E-3</v>
      </c>
      <c r="L237" s="154">
        <v>3.764E-3</v>
      </c>
      <c r="M237" s="154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55">
        <f ca="1"/>
        <v>0</v>
      </c>
      <c r="P237" s="155">
        <f ca="1"/>
        <v>1.8776510729607843E-3</v>
      </c>
      <c r="Q237" s="155">
        <f ca="1"/>
        <v>0</v>
      </c>
      <c r="R237" s="155">
        <f ca="1"/>
        <v>1.0207374844423689E-2</v>
      </c>
      <c r="S237" s="155">
        <f ca="1"/>
        <v>0</v>
      </c>
      <c r="T237" s="155">
        <f ca="1"/>
        <v>2.6763743705887744E-2</v>
      </c>
      <c r="U237" s="155">
        <f ca="1"/>
        <v>4.5700311085772438E-2</v>
      </c>
      <c r="V237" s="138">
        <f ca="1"/>
        <v>9.57724095571022E-2</v>
      </c>
      <c r="W237" s="137">
        <f ca="1"/>
        <v>0</v>
      </c>
      <c r="X237" s="155">
        <f ca="1"/>
        <v>0</v>
      </c>
      <c r="Y237" s="155">
        <f ca="1"/>
        <v>2.0439909357320429E-3</v>
      </c>
      <c r="Z237" s="155">
        <f ca="1"/>
        <v>0</v>
      </c>
      <c r="AA237" s="155">
        <f ca="1"/>
        <v>1.0702147453578892E-2</v>
      </c>
      <c r="AB237" s="155">
        <f ca="1"/>
        <v>0</v>
      </c>
      <c r="AC237" s="155">
        <f ca="1"/>
        <v>2.7574436084037091E-2</v>
      </c>
      <c r="AD237" s="155">
        <f ca="1"/>
        <v>4.6837814538554956E-2</v>
      </c>
      <c r="AE237" s="138">
        <f ca="1"/>
        <v>9.7331048564765821E-2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4" t="s">
        <v>87</v>
      </c>
      <c r="G238" s="154">
        <v>1.0319999999999999E-3</v>
      </c>
      <c r="H238" s="154" t="s">
        <v>87</v>
      </c>
      <c r="I238" s="154">
        <v>1.8159999999999999E-3</v>
      </c>
      <c r="J238" s="154" t="s">
        <v>87</v>
      </c>
      <c r="K238" s="154">
        <v>2.6540000000000001E-3</v>
      </c>
      <c r="L238" s="154">
        <v>3.4919999999999999E-3</v>
      </c>
      <c r="M238" s="154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55">
        <f ca="1"/>
        <v>0</v>
      </c>
      <c r="P238" s="155">
        <f ca="1"/>
        <v>1.8246581450538368E-3</v>
      </c>
      <c r="Q238" s="155">
        <f ca="1"/>
        <v>0</v>
      </c>
      <c r="R238" s="155">
        <f ca="1"/>
        <v>9.3671642149604217E-3</v>
      </c>
      <c r="S238" s="155">
        <f ca="1"/>
        <v>0</v>
      </c>
      <c r="T238" s="155">
        <f ca="1"/>
        <v>2.2952455007931971E-2</v>
      </c>
      <c r="U238" s="155">
        <f ca="1"/>
        <v>4.2680572782749837E-2</v>
      </c>
      <c r="V238" s="138">
        <f ca="1"/>
        <v>7.7732502328494379E-2</v>
      </c>
      <c r="W238" s="137">
        <f ca="1"/>
        <v>0</v>
      </c>
      <c r="X238" s="155">
        <f ca="1"/>
        <v>0</v>
      </c>
      <c r="Y238" s="155">
        <f ca="1"/>
        <v>1.9910068392566815E-3</v>
      </c>
      <c r="Z238" s="155">
        <f ca="1"/>
        <v>0</v>
      </c>
      <c r="AA238" s="155">
        <f ca="1"/>
        <v>9.8623568243998427E-3</v>
      </c>
      <c r="AB238" s="155">
        <f ca="1"/>
        <v>0</v>
      </c>
      <c r="AC238" s="155">
        <f ca="1"/>
        <v>2.3766322137025009E-2</v>
      </c>
      <c r="AD238" s="155">
        <f ca="1"/>
        <v>4.3821532249777584E-2</v>
      </c>
      <c r="AE238" s="138">
        <f ca="1"/>
        <v>7.9268334608912139E-2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4" t="s">
        <v>87</v>
      </c>
      <c r="G239" s="154">
        <v>6.02E-4</v>
      </c>
      <c r="H239" s="154" t="s">
        <v>87</v>
      </c>
      <c r="I239" s="154">
        <v>2.0270000000000002E-3</v>
      </c>
      <c r="J239" s="154" t="s">
        <v>87</v>
      </c>
      <c r="K239" s="154">
        <v>2.5089999999999999E-3</v>
      </c>
      <c r="L239" s="154">
        <v>3.4740000000000001E-3</v>
      </c>
      <c r="M239" s="154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55">
        <f ca="1"/>
        <v>0</v>
      </c>
      <c r="P239" s="155">
        <f ca="1"/>
        <v>1.064785939264401E-3</v>
      </c>
      <c r="Q239" s="155">
        <f ca="1"/>
        <v>0</v>
      </c>
      <c r="R239" s="155">
        <f ca="1"/>
        <v>1.0523177457038901E-2</v>
      </c>
      <c r="S239" s="155">
        <f ca="1"/>
        <v>0</v>
      </c>
      <c r="T239" s="155">
        <f ca="1"/>
        <v>2.158473618336354E-2</v>
      </c>
      <c r="U239" s="155">
        <f ca="1"/>
        <v>4.2536860991956971E-2</v>
      </c>
      <c r="V239" s="138">
        <f ca="1"/>
        <v>7.8179032314253161E-2</v>
      </c>
      <c r="W239" s="137">
        <f ca="1"/>
        <v>0</v>
      </c>
      <c r="X239" s="155">
        <f ca="1"/>
        <v>0</v>
      </c>
      <c r="Y239" s="155">
        <f ca="1"/>
        <v>1.2312612682829904E-3</v>
      </c>
      <c r="Z239" s="155">
        <f ca="1"/>
        <v>0</v>
      </c>
      <c r="AA239" s="155">
        <f ca="1"/>
        <v>1.101779220431498E-2</v>
      </c>
      <c r="AB239" s="155">
        <f ca="1"/>
        <v>0</v>
      </c>
      <c r="AC239" s="155">
        <f ca="1"/>
        <v>2.239974260334987E-2</v>
      </c>
      <c r="AD239" s="155">
        <f ca="1"/>
        <v>4.3677682326890288E-2</v>
      </c>
      <c r="AE239" s="138">
        <f ca="1"/>
        <v>7.9714120997825821E-2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4" t="s">
        <v>87</v>
      </c>
      <c r="G240" s="154">
        <v>9.41E-4</v>
      </c>
      <c r="H240" s="154" t="s">
        <v>87</v>
      </c>
      <c r="I240" s="154">
        <v>2.0409999999999998E-3</v>
      </c>
      <c r="J240" s="154" t="s">
        <v>87</v>
      </c>
      <c r="K240" s="154">
        <v>3.1359999999999999E-3</v>
      </c>
      <c r="L240" s="154">
        <v>4.032E-3</v>
      </c>
      <c r="M240" s="154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55">
        <f ca="1"/>
        <v>0</v>
      </c>
      <c r="P240" s="155">
        <f ca="1"/>
        <v>1.6638958508615742E-3</v>
      </c>
      <c r="Q240" s="155">
        <f ca="1"/>
        <v>0</v>
      </c>
      <c r="R240" s="155">
        <f ca="1"/>
        <v>1.0551461709691345E-2</v>
      </c>
      <c r="S240" s="155">
        <f ca="1"/>
        <v>0</v>
      </c>
      <c r="T240" s="155">
        <f ca="1"/>
        <v>2.7175909420192101E-2</v>
      </c>
      <c r="U240" s="155">
        <f ca="1"/>
        <v>4.9154177685602485E-2</v>
      </c>
      <c r="V240" s="138">
        <f ca="1"/>
        <v>8.781398002008145E-2</v>
      </c>
      <c r="W240" s="137">
        <f ca="1"/>
        <v>0</v>
      </c>
      <c r="X240" s="155">
        <f ca="1"/>
        <v>0</v>
      </c>
      <c r="Y240" s="155">
        <f ca="1"/>
        <v>1.8302713365467849E-3</v>
      </c>
      <c r="Z240" s="155">
        <f ca="1"/>
        <v>0</v>
      </c>
      <c r="AA240" s="155">
        <f ca="1"/>
        <v>1.1046062318378236E-2</v>
      </c>
      <c r="AB240" s="155">
        <f ca="1"/>
        <v>0</v>
      </c>
      <c r="AC240" s="155">
        <f ca="1"/>
        <v>2.7986258469980263E-2</v>
      </c>
      <c r="AD240" s="155">
        <f ca="1"/>
        <v>5.0287729588496699E-2</v>
      </c>
      <c r="AE240" s="138">
        <f ca="1"/>
        <v>8.9333023831871916E-2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4" t="s">
        <v>87</v>
      </c>
      <c r="G241" s="154">
        <v>1.0070000000000001E-3</v>
      </c>
      <c r="H241" s="154" t="s">
        <v>87</v>
      </c>
      <c r="I241" s="154">
        <v>2.4489999999999998E-3</v>
      </c>
      <c r="J241" s="154" t="s">
        <v>87</v>
      </c>
      <c r="K241" s="154">
        <v>2.7989999999999998E-3</v>
      </c>
      <c r="L241" s="154">
        <v>3.388E-3</v>
      </c>
      <c r="M241" s="154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55">
        <f ca="1"/>
        <v>0</v>
      </c>
      <c r="P241" s="155">
        <f ca="1"/>
        <v>1.7804952391329287E-3</v>
      </c>
      <c r="Q241" s="155">
        <f ca="1"/>
        <v>0</v>
      </c>
      <c r="R241" s="155">
        <f ca="1"/>
        <v>1.2666392670431903E-2</v>
      </c>
      <c r="S241" s="155">
        <f ca="1"/>
        <v>0</v>
      </c>
      <c r="T241" s="155">
        <f ca="1"/>
        <v>2.3904945893483576E-2</v>
      </c>
      <c r="U241" s="155">
        <f ca="1"/>
        <v>4.0797547221752661E-2</v>
      </c>
      <c r="V241" s="138">
        <f ca="1"/>
        <v>6.4774206569306214E-2</v>
      </c>
      <c r="W241" s="137">
        <f ca="1"/>
        <v>0</v>
      </c>
      <c r="X241" s="155">
        <f ca="1"/>
        <v>0</v>
      </c>
      <c r="Y241" s="155">
        <f ca="1"/>
        <v>1.9468512932033777E-3</v>
      </c>
      <c r="Z241" s="155">
        <f ca="1"/>
        <v>0</v>
      </c>
      <c r="AA241" s="155">
        <f ca="1"/>
        <v>1.3159936077991485E-2</v>
      </c>
      <c r="AB241" s="155">
        <f ca="1"/>
        <v>0</v>
      </c>
      <c r="AC241" s="155">
        <f ca="1"/>
        <v>2.471801961078457E-2</v>
      </c>
      <c r="AD241" s="155">
        <f ca="1"/>
        <v>4.1939307274863391E-2</v>
      </c>
      <c r="AE241" s="138">
        <f ca="1"/>
        <v>6.6357466702961609E-2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4" t="s">
        <v>87</v>
      </c>
      <c r="G242" s="154">
        <v>2.0790000000000001E-3</v>
      </c>
      <c r="H242" s="154" t="s">
        <v>87</v>
      </c>
      <c r="I242" s="154">
        <v>3.5140000000000002E-3</v>
      </c>
      <c r="J242" s="154" t="s">
        <v>87</v>
      </c>
      <c r="K242" s="154">
        <v>5.1630000000000001E-3</v>
      </c>
      <c r="L242" s="154">
        <v>6.1060000000000003E-3</v>
      </c>
      <c r="M242" s="154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55">
        <f ca="1"/>
        <v>0</v>
      </c>
      <c r="P242" s="155">
        <f ca="1"/>
        <v>3.6724613301212239E-3</v>
      </c>
      <c r="Q242" s="155">
        <f ca="1"/>
        <v>0</v>
      </c>
      <c r="R242" s="155">
        <f ca="1"/>
        <v>1.8048210240616203E-2</v>
      </c>
      <c r="S242" s="155">
        <f ca="1"/>
        <v>0</v>
      </c>
      <c r="T242" s="155">
        <f ca="1"/>
        <v>4.4290153904406382E-2</v>
      </c>
      <c r="U242" s="155">
        <f ca="1"/>
        <v>7.2947349745612899E-2</v>
      </c>
      <c r="V242" s="138">
        <f ca="1"/>
        <v>0.11810129259132807</v>
      </c>
      <c r="W242" s="137">
        <f ca="1"/>
        <v>0</v>
      </c>
      <c r="X242" s="155">
        <f ca="1"/>
        <v>0</v>
      </c>
      <c r="Y242" s="155">
        <f ca="1"/>
        <v>3.8385020827768068E-3</v>
      </c>
      <c r="Z242" s="155">
        <f ca="1"/>
        <v>0</v>
      </c>
      <c r="AA242" s="155">
        <f ca="1"/>
        <v>1.8539063411964318E-2</v>
      </c>
      <c r="AB242" s="155">
        <f ca="1"/>
        <v>0</v>
      </c>
      <c r="AC242" s="155">
        <f ca="1"/>
        <v>4.5086247024621273E-2</v>
      </c>
      <c r="AD242" s="155">
        <f ca="1"/>
        <v>7.405080455501023E-2</v>
      </c>
      <c r="AE242" s="138">
        <f ca="1"/>
        <v>0.11961654636779528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4" t="s">
        <v>87</v>
      </c>
      <c r="G243" s="154">
        <v>6.9099999999999999E-4</v>
      </c>
      <c r="H243" s="154" t="s">
        <v>87</v>
      </c>
      <c r="I243" s="154">
        <v>2.895E-3</v>
      </c>
      <c r="J243" s="154" t="s">
        <v>87</v>
      </c>
      <c r="K243" s="154">
        <v>4.1980000000000003E-3</v>
      </c>
      <c r="L243" s="154">
        <v>5.3080000000000002E-3</v>
      </c>
      <c r="M243" s="154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55">
        <f ca="1"/>
        <v>0</v>
      </c>
      <c r="P243" s="155">
        <f ca="1"/>
        <v>1.2221089192081536E-3</v>
      </c>
      <c r="Q243" s="155">
        <f ca="1"/>
        <v>0</v>
      </c>
      <c r="R243" s="155">
        <f ca="1"/>
        <v>1.502736369501767E-2</v>
      </c>
      <c r="S243" s="155">
        <f ca="1"/>
        <v>0</v>
      </c>
      <c r="T243" s="155">
        <f ca="1"/>
        <v>3.6241986987469943E-2</v>
      </c>
      <c r="U243" s="155">
        <f ca="1"/>
        <v>6.4228335966369787E-2</v>
      </c>
      <c r="V243" s="138">
        <f ca="1"/>
        <v>0.11317722699761745</v>
      </c>
      <c r="W243" s="137">
        <f ca="1"/>
        <v>0</v>
      </c>
      <c r="X243" s="155">
        <f ca="1"/>
        <v>0</v>
      </c>
      <c r="Y243" s="155">
        <f ca="1"/>
        <v>1.3885580299217715E-3</v>
      </c>
      <c r="Z243" s="155">
        <f ca="1"/>
        <v>0</v>
      </c>
      <c r="AA243" s="155">
        <f ca="1"/>
        <v>1.5519726912077592E-2</v>
      </c>
      <c r="AB243" s="155">
        <f ca="1"/>
        <v>0</v>
      </c>
      <c r="AC243" s="155">
        <f ca="1"/>
        <v>3.7044784119709906E-2</v>
      </c>
      <c r="AD243" s="155">
        <f ca="1"/>
        <v>6.5343243767941983E-2</v>
      </c>
      <c r="AE243" s="138">
        <f ca="1"/>
        <v>0.11470595248582105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4" t="s">
        <v>87</v>
      </c>
      <c r="G244" s="154">
        <v>2.5040000000000001E-3</v>
      </c>
      <c r="H244" s="154" t="s">
        <v>87</v>
      </c>
      <c r="I244" s="154">
        <v>6.2230000000000002E-3</v>
      </c>
      <c r="J244" s="154" t="s">
        <v>87</v>
      </c>
      <c r="K244" s="154">
        <v>8.3470000000000003E-3</v>
      </c>
      <c r="L244" s="154">
        <v>9.9769999999999998E-3</v>
      </c>
      <c r="M244" s="154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55">
        <f ca="1"/>
        <v>0</v>
      </c>
      <c r="P244" s="155">
        <f ca="1"/>
        <v>4.4215565094576359E-3</v>
      </c>
      <c r="Q244" s="155">
        <f ca="1"/>
        <v>0</v>
      </c>
      <c r="R244" s="155">
        <f ca="1"/>
        <v>3.1951003330935701E-2</v>
      </c>
      <c r="S244" s="155">
        <f ca="1"/>
        <v>0</v>
      </c>
      <c r="T244" s="155">
        <f ca="1"/>
        <v>7.0650107688719266E-2</v>
      </c>
      <c r="U244" s="155">
        <f ca="1"/>
        <v>0.11698440734143856</v>
      </c>
      <c r="V244" s="138">
        <f ca="1"/>
        <v>0.20217667764683434</v>
      </c>
      <c r="W244" s="137">
        <f ca="1"/>
        <v>0</v>
      </c>
      <c r="X244" s="155">
        <f ca="1"/>
        <v>0</v>
      </c>
      <c r="Y244" s="155">
        <f ca="1"/>
        <v>4.587472423340011E-3</v>
      </c>
      <c r="Z244" s="155">
        <f ca="1"/>
        <v>0</v>
      </c>
      <c r="AA244" s="155">
        <f ca="1"/>
        <v>3.2434906843344047E-2</v>
      </c>
      <c r="AB244" s="155">
        <f ca="1"/>
        <v>0</v>
      </c>
      <c r="AC244" s="155">
        <f ca="1"/>
        <v>7.1424243330958426E-2</v>
      </c>
      <c r="AD244" s="155">
        <f ca="1"/>
        <v>0.1180515189053738</v>
      </c>
      <c r="AE244" s="138">
        <f ca="1"/>
        <v>0.2035718409699887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4" t="s">
        <v>87</v>
      </c>
      <c r="G245" s="154">
        <v>3.1319999999999998E-3</v>
      </c>
      <c r="H245" s="154" t="s">
        <v>87</v>
      </c>
      <c r="I245" s="154">
        <v>7.0920000000000002E-3</v>
      </c>
      <c r="J245" s="154" t="s">
        <v>87</v>
      </c>
      <c r="K245" s="154">
        <v>1.155E-2</v>
      </c>
      <c r="L245" s="154">
        <v>1.3374E-2</v>
      </c>
      <c r="M245" s="154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55">
        <f ca="1"/>
        <v>0</v>
      </c>
      <c r="P245" s="155">
        <f ca="1"/>
        <v>5.5274332603850729E-3</v>
      </c>
      <c r="Q245" s="155">
        <f ca="1"/>
        <v>0</v>
      </c>
      <c r="R245" s="155">
        <f ca="1"/>
        <v>3.6307007825127524E-2</v>
      </c>
      <c r="S245" s="155">
        <f ca="1"/>
        <v>0</v>
      </c>
      <c r="T245" s="155">
        <f ca="1"/>
        <v>9.780798111335065E-2</v>
      </c>
      <c r="U245" s="155">
        <f ca="1"/>
        <v>0.15480131559378274</v>
      </c>
      <c r="V245" s="138">
        <f ca="1"/>
        <v>0.24791257665456334</v>
      </c>
      <c r="W245" s="137">
        <f ca="1"/>
        <v>0</v>
      </c>
      <c r="X245" s="155">
        <f ca="1"/>
        <v>0</v>
      </c>
      <c r="Y245" s="155">
        <f ca="1"/>
        <v>5.6931648768339116E-3</v>
      </c>
      <c r="Z245" s="155">
        <f ca="1"/>
        <v>0</v>
      </c>
      <c r="AA245" s="155">
        <f ca="1"/>
        <v>3.6788733879680624E-2</v>
      </c>
      <c r="AB245" s="155">
        <f ca="1"/>
        <v>0</v>
      </c>
      <c r="AC245" s="155">
        <f ca="1"/>
        <v>9.8588504764324236E-2</v>
      </c>
      <c r="AD245" s="155">
        <f ca="1"/>
        <v>0.15582686211795882</v>
      </c>
      <c r="AE245" s="138">
        <f ca="1"/>
        <v>0.24923069486137339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4" t="s">
        <v>87</v>
      </c>
      <c r="G246" s="154">
        <v>6.3900000000000003E-4</v>
      </c>
      <c r="H246" s="154" t="s">
        <v>87</v>
      </c>
      <c r="I246" s="154">
        <v>1.4480000000000001E-3</v>
      </c>
      <c r="J246" s="154" t="s">
        <v>87</v>
      </c>
      <c r="K246" s="154">
        <v>2.5569999999999998E-3</v>
      </c>
      <c r="L246" s="154">
        <v>3.3289999999999999E-3</v>
      </c>
      <c r="M246" s="154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55">
        <f ca="1"/>
        <v>0</v>
      </c>
      <c r="P246" s="155">
        <f ca="1"/>
        <v>1.1301928620361945E-3</v>
      </c>
      <c r="Q246" s="155">
        <f ca="1"/>
        <v>0</v>
      </c>
      <c r="R246" s="155">
        <f ca="1"/>
        <v>7.498641160558317E-3</v>
      </c>
      <c r="S246" s="155">
        <f ca="1"/>
        <v>0</v>
      </c>
      <c r="T246" s="155">
        <f ca="1"/>
        <v>2.2336956069502478E-2</v>
      </c>
      <c r="U246" s="155">
        <f ca="1"/>
        <v>4.0895996980160998E-2</v>
      </c>
      <c r="V246" s="138">
        <f ca="1"/>
        <v>7.6872419037600781E-2</v>
      </c>
      <c r="W246" s="137">
        <f ca="1"/>
        <v>0</v>
      </c>
      <c r="X246" s="155">
        <f ca="1"/>
        <v>0</v>
      </c>
      <c r="Y246" s="155">
        <f ca="1"/>
        <v>1.2966572908159613E-3</v>
      </c>
      <c r="Z246" s="155">
        <f ca="1"/>
        <v>0</v>
      </c>
      <c r="AA246" s="155">
        <f ca="1"/>
        <v>7.9947677979733678E-3</v>
      </c>
      <c r="AB246" s="155">
        <f ca="1"/>
        <v>0</v>
      </c>
      <c r="AC246" s="155">
        <f ca="1"/>
        <v>2.3151335900725711E-2</v>
      </c>
      <c r="AD246" s="155">
        <f ca="1"/>
        <v>4.2039869355296355E-2</v>
      </c>
      <c r="AE246" s="138">
        <f ca="1"/>
        <v>7.8409683596215363E-2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4" t="s">
        <v>87</v>
      </c>
      <c r="G247" s="154">
        <v>6.0999999999999997E-4</v>
      </c>
      <c r="H247" s="154" t="s">
        <v>87</v>
      </c>
      <c r="I247" s="154">
        <v>2.3159999999999999E-3</v>
      </c>
      <c r="J247" s="154" t="s">
        <v>87</v>
      </c>
      <c r="K247" s="154">
        <v>2.702E-3</v>
      </c>
      <c r="L247" s="154">
        <v>3.571E-3</v>
      </c>
      <c r="M247" s="154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55">
        <f ca="1"/>
        <v>0</v>
      </c>
      <c r="P247" s="155">
        <f ca="1"/>
        <v>1.0789283368597413E-3</v>
      </c>
      <c r="Q247" s="155">
        <f ca="1"/>
        <v>0</v>
      </c>
      <c r="R247" s="155">
        <f ca="1"/>
        <v>1.2027229937749295E-2</v>
      </c>
      <c r="S247" s="155">
        <f ca="1"/>
        <v>0</v>
      </c>
      <c r="T247" s="155">
        <f ca="1"/>
        <v>2.3159977617634775E-2</v>
      </c>
      <c r="U247" s="155">
        <f ca="1"/>
        <v>4.3442604003218754E-2</v>
      </c>
      <c r="V247" s="138">
        <f ca="1"/>
        <v>8.5149800479637938E-2</v>
      </c>
      <c r="W247" s="137">
        <f ca="1"/>
        <v>0</v>
      </c>
      <c r="X247" s="155">
        <f ca="1"/>
        <v>0</v>
      </c>
      <c r="Y247" s="155">
        <f ca="1"/>
        <v>1.2454013090248406E-3</v>
      </c>
      <c r="Z247" s="155">
        <f ca="1"/>
        <v>0</v>
      </c>
      <c r="AA247" s="155">
        <f ca="1"/>
        <v>1.252109284675218E-2</v>
      </c>
      <c r="AB247" s="155">
        <f ca="1"/>
        <v>0</v>
      </c>
      <c r="AC247" s="155">
        <f ca="1"/>
        <v>2.3973671883237069E-2</v>
      </c>
      <c r="AD247" s="155">
        <f ca="1"/>
        <v>4.4581937383949E-2</v>
      </c>
      <c r="AE247" s="138">
        <f ca="1"/>
        <v>8.6721092036400993E-2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4" t="s">
        <v>87</v>
      </c>
      <c r="G248" s="154">
        <v>2.4285999999999999E-2</v>
      </c>
      <c r="H248" s="154" t="s">
        <v>87</v>
      </c>
      <c r="I248" s="154">
        <v>2.4133999999999999E-2</v>
      </c>
      <c r="J248" s="154" t="s">
        <v>87</v>
      </c>
      <c r="K248" s="154">
        <v>2.1857000000000001E-2</v>
      </c>
      <c r="L248" s="154">
        <v>2.0947E-2</v>
      </c>
      <c r="M248" s="154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55">
        <f ca="1"/>
        <v>0</v>
      </c>
      <c r="P248" s="155">
        <f ca="1"/>
        <v>4.2080378413099195E-2</v>
      </c>
      <c r="Q248" s="155">
        <f ca="1"/>
        <v>0</v>
      </c>
      <c r="R248" s="155">
        <f ca="1"/>
        <v>0.11631614360942621</v>
      </c>
      <c r="S248" s="155">
        <f ca="1"/>
        <v>0</v>
      </c>
      <c r="T248" s="155">
        <f ca="1"/>
        <v>0.16696077247408458</v>
      </c>
      <c r="U248" s="155">
        <f ca="1"/>
        <v>0.21541597030068582</v>
      </c>
      <c r="V248" s="138">
        <f ca="1"/>
        <v>0.27900826252335409</v>
      </c>
      <c r="W248" s="137">
        <f ca="1"/>
        <v>0</v>
      </c>
      <c r="X248" s="155">
        <f ca="1"/>
        <v>0</v>
      </c>
      <c r="Y248" s="155">
        <f ca="1"/>
        <v>4.2240018379676059E-2</v>
      </c>
      <c r="Z248" s="155">
        <f ca="1"/>
        <v>0</v>
      </c>
      <c r="AA248" s="155">
        <f ca="1"/>
        <v>0.11675787509554469</v>
      </c>
      <c r="AB248" s="155">
        <f ca="1"/>
        <v>0</v>
      </c>
      <c r="AC248" s="155">
        <f ca="1"/>
        <v>0.16765468266096906</v>
      </c>
      <c r="AD248" s="155">
        <f ca="1"/>
        <v>0.21633078458989707</v>
      </c>
      <c r="AE248" s="138">
        <f ca="1"/>
        <v>0.28020891459784858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4" t="s">
        <v>87</v>
      </c>
      <c r="G249" s="154">
        <v>1.5659999999999999E-3</v>
      </c>
      <c r="H249" s="154" t="s">
        <v>87</v>
      </c>
      <c r="I249" s="154">
        <v>2.3509999999999998E-3</v>
      </c>
      <c r="J249" s="154" t="s">
        <v>87</v>
      </c>
      <c r="K249" s="154">
        <v>2.7499999999999998E-3</v>
      </c>
      <c r="L249" s="154">
        <v>3.5490000000000001E-3</v>
      </c>
      <c r="M249" s="154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55">
        <f ca="1"/>
        <v>0</v>
      </c>
      <c r="P249" s="155">
        <f ca="1"/>
        <v>2.7675150242473245E-3</v>
      </c>
      <c r="Q249" s="155">
        <f ca="1"/>
        <v>0</v>
      </c>
      <c r="R249" s="155">
        <f ca="1"/>
        <v>1.2082213205001802E-2</v>
      </c>
      <c r="S249" s="155">
        <f ca="1"/>
        <v>0</v>
      </c>
      <c r="T249" s="155">
        <f ca="1"/>
        <v>2.3444713534288453E-2</v>
      </c>
      <c r="U249" s="155">
        <f ca="1"/>
        <v>4.2951296455207455E-2</v>
      </c>
      <c r="V249" s="138">
        <f ca="1"/>
        <v>7.3883945506129978E-2</v>
      </c>
      <c r="W249" s="137">
        <f ca="1"/>
        <v>0</v>
      </c>
      <c r="X249" s="155">
        <f ca="1"/>
        <v>0</v>
      </c>
      <c r="Y249" s="155">
        <f ca="1"/>
        <v>2.9337065887325986E-3</v>
      </c>
      <c r="Z249" s="155">
        <f ca="1"/>
        <v>0</v>
      </c>
      <c r="AA249" s="155">
        <f ca="1"/>
        <v>1.2576048629285075E-2</v>
      </c>
      <c r="AB249" s="155">
        <f ca="1"/>
        <v>0</v>
      </c>
      <c r="AC249" s="155">
        <f ca="1"/>
        <v>2.4258170618784325E-2</v>
      </c>
      <c r="AD249" s="155">
        <f ca="1"/>
        <v>4.409058728365256E-2</v>
      </c>
      <c r="AE249" s="138">
        <f ca="1"/>
        <v>7.5426186705587872E-2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4" t="s">
        <v>87</v>
      </c>
      <c r="G250" s="154">
        <v>6.9800000000000005E-4</v>
      </c>
      <c r="H250" s="154" t="s">
        <v>87</v>
      </c>
      <c r="I250" s="154">
        <v>1.629E-3</v>
      </c>
      <c r="J250" s="154" t="s">
        <v>87</v>
      </c>
      <c r="K250" s="154">
        <v>2.6540000000000001E-3</v>
      </c>
      <c r="L250" s="154">
        <v>3.637E-3</v>
      </c>
      <c r="M250" s="154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55">
        <f ca="1"/>
        <v>0</v>
      </c>
      <c r="P250" s="155">
        <f ca="1"/>
        <v>1.2344815933745812E-3</v>
      </c>
      <c r="Q250" s="155">
        <f ca="1"/>
        <v>0</v>
      </c>
      <c r="R250" s="155">
        <f ca="1"/>
        <v>8.4355651426329947E-3</v>
      </c>
      <c r="S250" s="155">
        <f ca="1"/>
        <v>0</v>
      </c>
      <c r="T250" s="155">
        <f ca="1"/>
        <v>2.3102161623479334E-2</v>
      </c>
      <c r="U250" s="155">
        <f ca="1"/>
        <v>4.4745366312257007E-2</v>
      </c>
      <c r="V250" s="138">
        <f ca="1"/>
        <v>8.623475814804249E-2</v>
      </c>
      <c r="W250" s="137">
        <f ca="1"/>
        <v>0</v>
      </c>
      <c r="X250" s="155">
        <f ca="1"/>
        <v>0</v>
      </c>
      <c r="Y250" s="155">
        <f ca="1"/>
        <v>1.4009286421247102E-3</v>
      </c>
      <c r="Z250" s="155">
        <f ca="1"/>
        <v>0</v>
      </c>
      <c r="AA250" s="155">
        <f ca="1"/>
        <v>8.9312234351932585E-3</v>
      </c>
      <c r="AB250" s="155">
        <f ca="1"/>
        <v>0</v>
      </c>
      <c r="AC250" s="155">
        <f ca="1"/>
        <v>2.3915904049058745E-2</v>
      </c>
      <c r="AD250" s="155">
        <f ca="1"/>
        <v>4.5884564913453607E-2</v>
      </c>
      <c r="AE250" s="138">
        <f ca="1"/>
        <v>8.7805914562167464E-2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4" t="s">
        <v>87</v>
      </c>
      <c r="G251" s="154">
        <v>1.928E-3</v>
      </c>
      <c r="H251" s="154" t="s">
        <v>87</v>
      </c>
      <c r="I251" s="154">
        <v>4.6899999999999997E-3</v>
      </c>
      <c r="J251" s="154" t="s">
        <v>87</v>
      </c>
      <c r="K251" s="154">
        <v>6.7070000000000003E-3</v>
      </c>
      <c r="L251" s="154">
        <v>8.3960000000000007E-3</v>
      </c>
      <c r="M251" s="154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55">
        <f ca="1"/>
        <v>0</v>
      </c>
      <c r="P251" s="155">
        <f ca="1"/>
        <v>3.406177718706771E-3</v>
      </c>
      <c r="Q251" s="155">
        <f ca="1"/>
        <v>0</v>
      </c>
      <c r="R251" s="155">
        <f ca="1"/>
        <v>2.4148040556297379E-2</v>
      </c>
      <c r="S251" s="155">
        <f ca="1"/>
        <v>0</v>
      </c>
      <c r="T251" s="155">
        <f ca="1"/>
        <v>5.7285194047631216E-2</v>
      </c>
      <c r="U251" s="155">
        <f ca="1"/>
        <v>9.9949052697237528E-2</v>
      </c>
      <c r="V251" s="138">
        <f ca="1"/>
        <v>0.1660502358639141</v>
      </c>
      <c r="W251" s="137">
        <f ca="1"/>
        <v>0</v>
      </c>
      <c r="X251" s="155">
        <f ca="1"/>
        <v>0</v>
      </c>
      <c r="Y251" s="155">
        <f ca="1"/>
        <v>3.5722628482903751E-3</v>
      </c>
      <c r="Z251" s="155">
        <f ca="1"/>
        <v>0</v>
      </c>
      <c r="AA251" s="155">
        <f ca="1"/>
        <v>2.4635844574817822E-2</v>
      </c>
      <c r="AB251" s="155">
        <f ca="1"/>
        <v>0</v>
      </c>
      <c r="AC251" s="155">
        <f ca="1"/>
        <v>5.8070462478636564E-2</v>
      </c>
      <c r="AD251" s="155">
        <f ca="1"/>
        <v>0.10099849983918718</v>
      </c>
      <c r="AE251" s="138">
        <f ca="1"/>
        <v>0.16750374955485647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4" t="s">
        <v>87</v>
      </c>
      <c r="G252" s="154">
        <v>6.02E-4</v>
      </c>
      <c r="H252" s="154" t="s">
        <v>87</v>
      </c>
      <c r="I252" s="154">
        <v>2.8709999999999999E-3</v>
      </c>
      <c r="J252" s="154" t="s">
        <v>87</v>
      </c>
      <c r="K252" s="154">
        <v>3.8119999999999999E-3</v>
      </c>
      <c r="L252" s="154">
        <v>4.6119999999999998E-3</v>
      </c>
      <c r="M252" s="154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55">
        <f ca="1"/>
        <v>0</v>
      </c>
      <c r="P252" s="155">
        <f ca="1"/>
        <v>1.064785939264401E-3</v>
      </c>
      <c r="Q252" s="155">
        <f ca="1"/>
        <v>0</v>
      </c>
      <c r="R252" s="155">
        <f ca="1"/>
        <v>1.4914728083980977E-2</v>
      </c>
      <c r="S252" s="155">
        <f ca="1"/>
        <v>0</v>
      </c>
      <c r="T252" s="155">
        <f ca="1"/>
        <v>3.2812335517428681E-2</v>
      </c>
      <c r="U252" s="155">
        <f ca="1"/>
        <v>5.5587748045552776E-2</v>
      </c>
      <c r="V252" s="138">
        <f ca="1"/>
        <v>9.7432625402269268E-2</v>
      </c>
      <c r="W252" s="137">
        <f ca="1"/>
        <v>0</v>
      </c>
      <c r="X252" s="155">
        <f ca="1"/>
        <v>0</v>
      </c>
      <c r="Y252" s="155">
        <f ca="1"/>
        <v>1.2312612682829904E-3</v>
      </c>
      <c r="Z252" s="155">
        <f ca="1"/>
        <v>0</v>
      </c>
      <c r="AA252" s="155">
        <f ca="1"/>
        <v>1.5407147604773463E-2</v>
      </c>
      <c r="AB252" s="155">
        <f ca="1"/>
        <v>0</v>
      </c>
      <c r="AC252" s="155">
        <f ca="1"/>
        <v>3.3617989502025547E-2</v>
      </c>
      <c r="AD252" s="155">
        <f ca="1"/>
        <v>5.6712939317631328E-2</v>
      </c>
      <c r="AE252" s="138">
        <f ca="1"/>
        <v>9.8981884600128245E-2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4" t="s">
        <v>87</v>
      </c>
      <c r="G253" s="154">
        <v>3.7399999999999998E-4</v>
      </c>
      <c r="H253" s="154" t="s">
        <v>87</v>
      </c>
      <c r="I253" s="154">
        <v>1.255E-3</v>
      </c>
      <c r="J253" s="154" t="s">
        <v>87</v>
      </c>
      <c r="K253" s="154">
        <v>1.9300000000000001E-3</v>
      </c>
      <c r="L253" s="154">
        <v>2.9919999999999999E-3</v>
      </c>
      <c r="M253" s="154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55">
        <f ca="1"/>
        <v>0</v>
      </c>
      <c r="P253" s="155">
        <f ca="1"/>
        <v>6.6164403820745399E-4</v>
      </c>
      <c r="Q253" s="155">
        <f ca="1"/>
        <v>0</v>
      </c>
      <c r="R253" s="155">
        <f ca="1"/>
        <v>6.5248052836316406E-3</v>
      </c>
      <c r="S253" s="155">
        <f ca="1"/>
        <v>0</v>
      </c>
      <c r="T253" s="155">
        <f ca="1"/>
        <v>1.6815707620707832E-2</v>
      </c>
      <c r="U253" s="155">
        <f ca="1"/>
        <v>3.7252082472180592E-2</v>
      </c>
      <c r="V253" s="138">
        <f ca="1"/>
        <v>6.1222675042990504E-2</v>
      </c>
      <c r="W253" s="137">
        <f ca="1"/>
        <v>0</v>
      </c>
      <c r="X253" s="155">
        <f ca="1"/>
        <v>0</v>
      </c>
      <c r="Y253" s="155">
        <f ca="1"/>
        <v>8.2818655192351542E-4</v>
      </c>
      <c r="Z253" s="155">
        <f ca="1"/>
        <v>0</v>
      </c>
      <c r="AA253" s="155">
        <f ca="1"/>
        <v>7.0214187173150977E-3</v>
      </c>
      <c r="AB253" s="155">
        <f ca="1"/>
        <v>0</v>
      </c>
      <c r="AC253" s="155">
        <f ca="1"/>
        <v>1.7634686575709435E-2</v>
      </c>
      <c r="AD253" s="155">
        <f ca="1"/>
        <v>3.8400205768801654E-2</v>
      </c>
      <c r="AE253" s="138">
        <f ca="1"/>
        <v>6.2816788167184612E-2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4" t="s">
        <v>87</v>
      </c>
      <c r="G254" s="154">
        <v>1.0859999999999999E-3</v>
      </c>
      <c r="H254" s="154" t="s">
        <v>87</v>
      </c>
      <c r="I254" s="154">
        <v>1.3029999999999999E-3</v>
      </c>
      <c r="J254" s="154" t="s">
        <v>87</v>
      </c>
      <c r="K254" s="154">
        <v>2.1710000000000002E-3</v>
      </c>
      <c r="L254" s="154">
        <v>2.895E-3</v>
      </c>
      <c r="M254" s="154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55">
        <f ca="1"/>
        <v>0</v>
      </c>
      <c r="P254" s="155">
        <f ca="1"/>
        <v>1.9200434052450976E-3</v>
      </c>
      <c r="Q254" s="155">
        <f ca="1"/>
        <v>0</v>
      </c>
      <c r="R254" s="155">
        <f ca="1"/>
        <v>6.6841025394219766E-3</v>
      </c>
      <c r="S254" s="155">
        <f ca="1"/>
        <v>0</v>
      </c>
      <c r="T254" s="155">
        <f ca="1"/>
        <v>1.8874149085283176E-2</v>
      </c>
      <c r="U254" s="155">
        <f ca="1"/>
        <v>3.5589568139935746E-2</v>
      </c>
      <c r="V254" s="138">
        <f ca="1"/>
        <v>5.9143047889373745E-2</v>
      </c>
      <c r="W254" s="137">
        <f ca="1"/>
        <v>0</v>
      </c>
      <c r="X254" s="155">
        <f ca="1"/>
        <v>0</v>
      </c>
      <c r="Y254" s="155">
        <f ca="1"/>
        <v>2.0863762032231614E-3</v>
      </c>
      <c r="Z254" s="155">
        <f ca="1"/>
        <v>0</v>
      </c>
      <c r="AA254" s="155">
        <f ca="1"/>
        <v>7.1806363443529531E-3</v>
      </c>
      <c r="AB254" s="155">
        <f ca="1"/>
        <v>0</v>
      </c>
      <c r="AC254" s="155">
        <f ca="1"/>
        <v>1.969141338695779E-2</v>
      </c>
      <c r="AD254" s="155">
        <f ca="1"/>
        <v>3.6739071836826342E-2</v>
      </c>
      <c r="AE254" s="138">
        <f ca="1"/>
        <v>6.0738922714177357E-2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4" t="s">
        <v>87</v>
      </c>
      <c r="G255" s="154">
        <v>6.9499999999999998E-4</v>
      </c>
      <c r="H255" s="154" t="s">
        <v>87</v>
      </c>
      <c r="I255" s="154">
        <v>1.544E-3</v>
      </c>
      <c r="J255" s="154" t="s">
        <v>87</v>
      </c>
      <c r="K255" s="154">
        <v>2.3159999999999999E-3</v>
      </c>
      <c r="L255" s="154">
        <v>3.1849999999999999E-3</v>
      </c>
      <c r="M255" s="154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55">
        <f ca="1"/>
        <v>0</v>
      </c>
      <c r="P255" s="155">
        <f ca="1"/>
        <v>1.2291790373534228E-3</v>
      </c>
      <c r="Q255" s="155">
        <f ca="1"/>
        <v>0</v>
      </c>
      <c r="R255" s="155">
        <f ca="1"/>
        <v>7.9924542599298931E-3</v>
      </c>
      <c r="S255" s="155">
        <f ca="1"/>
        <v>0</v>
      </c>
      <c r="T255" s="155">
        <f ca="1"/>
        <v>2.0101172763539954E-2</v>
      </c>
      <c r="U255" s="155">
        <f ca="1"/>
        <v>3.9188614684444345E-2</v>
      </c>
      <c r="V255" s="138">
        <f ca="1"/>
        <v>8.01825893701682E-2</v>
      </c>
      <c r="W255" s="137">
        <f ca="1"/>
        <v>0</v>
      </c>
      <c r="X255" s="155">
        <f ca="1"/>
        <v>0</v>
      </c>
      <c r="Y255" s="155">
        <f ca="1"/>
        <v>1.395626969799113E-3</v>
      </c>
      <c r="Z255" s="155">
        <f ca="1"/>
        <v>0</v>
      </c>
      <c r="AA255" s="155">
        <f ca="1"/>
        <v>8.4883340525407913E-3</v>
      </c>
      <c r="AB255" s="155">
        <f ca="1"/>
        <v>0</v>
      </c>
      <c r="AC255" s="155">
        <f ca="1"/>
        <v>2.091741497141586E-2</v>
      </c>
      <c r="AD255" s="155">
        <f ca="1"/>
        <v>4.0334017968087776E-2</v>
      </c>
      <c r="AE255" s="138">
        <f ca="1"/>
        <v>8.1763373555190588E-2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4" t="s">
        <v>87</v>
      </c>
      <c r="G256" s="154">
        <v>2.0885000000000001E-2</v>
      </c>
      <c r="H256" s="154" t="s">
        <v>87</v>
      </c>
      <c r="I256" s="154">
        <v>1.9042E-2</v>
      </c>
      <c r="J256" s="154" t="s">
        <v>87</v>
      </c>
      <c r="K256" s="154">
        <v>1.5970999999999999E-2</v>
      </c>
      <c r="L256" s="154">
        <v>1.5356E-2</v>
      </c>
      <c r="M256" s="154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55">
        <f ca="1"/>
        <v>0</v>
      </c>
      <c r="P256" s="155">
        <f ca="1"/>
        <v>3.6293675058181374E-2</v>
      </c>
      <c r="Q256" s="155">
        <f ca="1"/>
        <v>0</v>
      </c>
      <c r="R256" s="155">
        <f ca="1"/>
        <v>9.2622641878555512E-2</v>
      </c>
      <c r="S256" s="155">
        <f ca="1"/>
        <v>0</v>
      </c>
      <c r="T256" s="155">
        <f ca="1"/>
        <v>0.12361994332845627</v>
      </c>
      <c r="U256" s="155">
        <f ca="1"/>
        <v>0.16200500806082063</v>
      </c>
      <c r="V256" s="138">
        <f ca="1"/>
        <v>0.2083448676768358</v>
      </c>
      <c r="W256" s="137">
        <f ca="1"/>
        <v>0</v>
      </c>
      <c r="X256" s="155">
        <f ca="1"/>
        <v>0</v>
      </c>
      <c r="Y256" s="155">
        <f ca="1"/>
        <v>3.6454279394952271E-2</v>
      </c>
      <c r="Z256" s="155">
        <f ca="1"/>
        <v>0</v>
      </c>
      <c r="AA256" s="155">
        <f ca="1"/>
        <v>9.3076217154374863E-2</v>
      </c>
      <c r="AB256" s="155">
        <f ca="1"/>
        <v>0</v>
      </c>
      <c r="AC256" s="155">
        <f ca="1"/>
        <v>0.12434995582822572</v>
      </c>
      <c r="AD256" s="155">
        <f ca="1"/>
        <v>0.16298209880429915</v>
      </c>
      <c r="AE256" s="138">
        <f ca="1"/>
        <v>0.20966319398693922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4" t="s">
        <v>87</v>
      </c>
      <c r="G257" s="154">
        <v>1.3420000000000001E-3</v>
      </c>
      <c r="H257" s="154" t="s">
        <v>87</v>
      </c>
      <c r="I257" s="154">
        <v>2.5339999999999998E-3</v>
      </c>
      <c r="J257" s="154" t="s">
        <v>87</v>
      </c>
      <c r="K257" s="154">
        <v>3.3289999999999999E-3</v>
      </c>
      <c r="L257" s="154">
        <v>3.4290000000000002E-3</v>
      </c>
      <c r="M257" s="154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55">
        <f ca="1"/>
        <v>0</v>
      </c>
      <c r="P257" s="155">
        <f ca="1"/>
        <v>2.3721171421441367E-3</v>
      </c>
      <c r="Q257" s="155">
        <f ca="1"/>
        <v>0</v>
      </c>
      <c r="R257" s="155">
        <f ca="1"/>
        <v>1.3063616764991792E-2</v>
      </c>
      <c r="S257" s="155">
        <f ca="1"/>
        <v>0</v>
      </c>
      <c r="T257" s="155">
        <f ca="1"/>
        <v>2.8573878148758669E-2</v>
      </c>
      <c r="U257" s="155">
        <f ca="1"/>
        <v>4.0678087293369525E-2</v>
      </c>
      <c r="V257" s="138">
        <f ca="1"/>
        <v>5.9068364881523783E-2</v>
      </c>
      <c r="W257" s="137">
        <f ca="1"/>
        <v>0</v>
      </c>
      <c r="X257" s="155">
        <f ca="1"/>
        <v>0</v>
      </c>
      <c r="Y257" s="155">
        <f ca="1"/>
        <v>2.5383746007928698E-3</v>
      </c>
      <c r="Z257" s="155">
        <f ca="1"/>
        <v>0</v>
      </c>
      <c r="AA257" s="155">
        <f ca="1"/>
        <v>1.3556961610080909E-2</v>
      </c>
      <c r="AB257" s="155">
        <f ca="1"/>
        <v>0</v>
      </c>
      <c r="AC257" s="155">
        <f ca="1"/>
        <v>2.9383062709877006E-2</v>
      </c>
      <c r="AD257" s="155">
        <f ca="1"/>
        <v>4.1819448845621721E-2</v>
      </c>
      <c r="AE257" s="138">
        <f ca="1"/>
        <v>6.0635278149672733E-2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4" t="s">
        <v>87</v>
      </c>
      <c r="G258" s="154">
        <v>2.846E-3</v>
      </c>
      <c r="H258" s="154" t="s">
        <v>87</v>
      </c>
      <c r="I258" s="154">
        <v>4.3860000000000001E-3</v>
      </c>
      <c r="J258" s="154" t="s">
        <v>87</v>
      </c>
      <c r="K258" s="154">
        <v>7.0930000000000003E-3</v>
      </c>
      <c r="L258" s="154">
        <v>8.5389999999999997E-3</v>
      </c>
      <c r="M258" s="154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55">
        <f ca="1"/>
        <v>0</v>
      </c>
      <c r="P258" s="155">
        <f ca="1"/>
        <v>5.0239524879724939E-3</v>
      </c>
      <c r="Q258" s="155">
        <f ca="1"/>
        <v>0</v>
      </c>
      <c r="R258" s="155">
        <f ca="1"/>
        <v>2.2448719357242464E-2</v>
      </c>
      <c r="S258" s="155">
        <f ca="1"/>
        <v>0</v>
      </c>
      <c r="T258" s="155">
        <f ca="1"/>
        <v>6.0748796765802138E-2</v>
      </c>
      <c r="U258" s="155">
        <f ca="1"/>
        <v>0.10136873271114433</v>
      </c>
      <c r="V258" s="138">
        <f ca="1"/>
        <v>0.17154981950765547</v>
      </c>
      <c r="W258" s="137">
        <f ca="1"/>
        <v>0</v>
      </c>
      <c r="X258" s="155">
        <f ca="1"/>
        <v>0</v>
      </c>
      <c r="Y258" s="155">
        <f ca="1"/>
        <v>5.1897680108847766E-3</v>
      </c>
      <c r="Z258" s="155">
        <f ca="1"/>
        <v>0</v>
      </c>
      <c r="AA258" s="155">
        <f ca="1"/>
        <v>2.2937372824032409E-2</v>
      </c>
      <c r="AB258" s="155">
        <f ca="1"/>
        <v>0</v>
      </c>
      <c r="AC258" s="155">
        <f ca="1"/>
        <v>6.1531180063529201E-2</v>
      </c>
      <c r="AD258" s="155">
        <f ca="1"/>
        <v>0.10241652452558569</v>
      </c>
      <c r="AE258" s="138">
        <f ca="1"/>
        <v>0.1729961116347406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4" t="s">
        <v>87</v>
      </c>
      <c r="G259" s="154">
        <v>1.1789999999999999E-3</v>
      </c>
      <c r="H259" s="154" t="s">
        <v>87</v>
      </c>
      <c r="I259" s="154">
        <v>2.5530000000000001E-3</v>
      </c>
      <c r="J259" s="154" t="s">
        <v>87</v>
      </c>
      <c r="K259" s="154">
        <v>4.5840000000000004E-3</v>
      </c>
      <c r="L259" s="154">
        <v>5.6449999999999998E-3</v>
      </c>
      <c r="M259" s="154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55">
        <f ca="1"/>
        <v>0</v>
      </c>
      <c r="P259" s="155">
        <f ca="1"/>
        <v>2.0842968193343081E-3</v>
      </c>
      <c r="Q259" s="155">
        <f ca="1"/>
        <v>0</v>
      </c>
      <c r="R259" s="155">
        <f ca="1"/>
        <v>1.3184213276268064E-2</v>
      </c>
      <c r="S259" s="155">
        <f ca="1"/>
        <v>0</v>
      </c>
      <c r="T259" s="155">
        <f ca="1"/>
        <v>3.9827693803558439E-2</v>
      </c>
      <c r="U259" s="155">
        <f ca="1"/>
        <v>6.83217830860815E-2</v>
      </c>
      <c r="V259" s="138">
        <f ca="1"/>
        <v>0.11307084433194292</v>
      </c>
      <c r="W259" s="137">
        <f ca="1"/>
        <v>0</v>
      </c>
      <c r="X259" s="155">
        <f ca="1"/>
        <v>0</v>
      </c>
      <c r="Y259" s="155">
        <f ca="1"/>
        <v>2.2506022440186291E-3</v>
      </c>
      <c r="Z259" s="155">
        <f ca="1"/>
        <v>0</v>
      </c>
      <c r="AA259" s="155">
        <f ca="1"/>
        <v>1.367749783820682E-2</v>
      </c>
      <c r="AB259" s="155">
        <f ca="1"/>
        <v>0</v>
      </c>
      <c r="AC259" s="155">
        <f ca="1"/>
        <v>4.062750409147653E-2</v>
      </c>
      <c r="AD259" s="155">
        <f ca="1"/>
        <v>6.9432645500559054E-2</v>
      </c>
      <c r="AE259" s="138">
        <f ca="1"/>
        <v>0.11459721962403657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4" t="s">
        <v>87</v>
      </c>
      <c r="G260" s="154">
        <v>5.7700000000000004E-4</v>
      </c>
      <c r="H260" s="154" t="s">
        <v>87</v>
      </c>
      <c r="I260" s="154">
        <v>1.15E-3</v>
      </c>
      <c r="J260" s="154" t="s">
        <v>87</v>
      </c>
      <c r="K260" s="154">
        <v>1.9780000000000002E-3</v>
      </c>
      <c r="L260" s="154">
        <v>2.5760000000000002E-3</v>
      </c>
      <c r="M260" s="154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55">
        <f ca="1"/>
        <v>0</v>
      </c>
      <c r="P260" s="155">
        <f ca="1"/>
        <v>1.0205896657166091E-3</v>
      </c>
      <c r="Q260" s="155">
        <f ca="1"/>
        <v>0</v>
      </c>
      <c r="R260" s="155">
        <f ca="1"/>
        <v>5.9501549413594201E-3</v>
      </c>
      <c r="S260" s="155">
        <f ca="1"/>
        <v>0</v>
      </c>
      <c r="T260" s="155">
        <f ca="1"/>
        <v>1.7281112619412453E-2</v>
      </c>
      <c r="U260" s="155">
        <f ca="1"/>
        <v>3.1719399615376953E-2</v>
      </c>
      <c r="V260" s="138">
        <f ca="1"/>
        <v>5.9761869064860251E-2</v>
      </c>
      <c r="W260" s="137">
        <f ca="1"/>
        <v>0</v>
      </c>
      <c r="X260" s="155">
        <f ca="1"/>
        <v>0</v>
      </c>
      <c r="Y260" s="155">
        <f ca="1"/>
        <v>1.1870723601634658E-3</v>
      </c>
      <c r="Z260" s="155">
        <f ca="1"/>
        <v>0</v>
      </c>
      <c r="AA260" s="155">
        <f ca="1"/>
        <v>6.4470556283362512E-3</v>
      </c>
      <c r="AB260" s="155">
        <f ca="1"/>
        <v>0</v>
      </c>
      <c r="AC260" s="155">
        <f ca="1"/>
        <v>1.8099703898511899E-2</v>
      </c>
      <c r="AD260" s="155">
        <f ca="1"/>
        <v>3.2873498112082622E-2</v>
      </c>
      <c r="AE260" s="138">
        <f ca="1"/>
        <v>6.135633576268662E-2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4" t="s">
        <v>87</v>
      </c>
      <c r="G261" s="154">
        <v>2.5500000000000002E-3</v>
      </c>
      <c r="H261" s="154" t="s">
        <v>87</v>
      </c>
      <c r="I261" s="154">
        <v>3.8579999999999999E-3</v>
      </c>
      <c r="J261" s="154" t="s">
        <v>87</v>
      </c>
      <c r="K261" s="154">
        <v>4.9699999999999996E-3</v>
      </c>
      <c r="L261" s="154">
        <v>5.5579999999999996E-3</v>
      </c>
      <c r="M261" s="154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55">
        <f ca="1"/>
        <v>0</v>
      </c>
      <c r="P261" s="155">
        <f ca="1"/>
        <v>4.502601560282149E-3</v>
      </c>
      <c r="Q261" s="155">
        <f ca="1"/>
        <v>0</v>
      </c>
      <c r="R261" s="155">
        <f ca="1"/>
        <v>1.9762940258487016E-2</v>
      </c>
      <c r="S261" s="155">
        <f ca="1"/>
        <v>0</v>
      </c>
      <c r="T261" s="155">
        <f ca="1"/>
        <v>4.2298669112158072E-2</v>
      </c>
      <c r="U261" s="155">
        <f ca="1"/>
        <v>6.5778659308679321E-2</v>
      </c>
      <c r="V261" s="138">
        <f ca="1"/>
        <v>0.10671662404591309</v>
      </c>
      <c r="W261" s="137">
        <f ca="1"/>
        <v>0</v>
      </c>
      <c r="X261" s="155">
        <f ca="1"/>
        <v>0</v>
      </c>
      <c r="Y261" s="155">
        <f ca="1"/>
        <v>4.6685039677595297E-3</v>
      </c>
      <c r="Z261" s="155">
        <f ca="1"/>
        <v>0</v>
      </c>
      <c r="AA261" s="155">
        <f ca="1"/>
        <v>2.0252936279106515E-2</v>
      </c>
      <c r="AB261" s="155">
        <f ca="1"/>
        <v>0</v>
      </c>
      <c r="AC261" s="155">
        <f ca="1"/>
        <v>4.309642111176748E-2</v>
      </c>
      <c r="AD261" s="155">
        <f ca="1"/>
        <v>6.6889941259224761E-2</v>
      </c>
      <c r="AE261" s="138">
        <f ca="1"/>
        <v>0.10824568574982452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4" t="s">
        <v>87</v>
      </c>
      <c r="G262" s="154">
        <v>2.5166999999999998E-2</v>
      </c>
      <c r="H262" s="154" t="s">
        <v>87</v>
      </c>
      <c r="I262" s="154">
        <v>2.5009E-2</v>
      </c>
      <c r="J262" s="154" t="s">
        <v>87</v>
      </c>
      <c r="K262" s="154">
        <v>2.265E-2</v>
      </c>
      <c r="L262" s="154">
        <v>2.1706E-2</v>
      </c>
      <c r="M262" s="154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55">
        <f ca="1"/>
        <v>0</v>
      </c>
      <c r="P262" s="155">
        <f ca="1"/>
        <v>4.3573855517116344E-2</v>
      </c>
      <c r="Q262" s="155">
        <f ca="1"/>
        <v>0</v>
      </c>
      <c r="R262" s="155">
        <f ca="1"/>
        <v>0.12026817761147901</v>
      </c>
      <c r="S262" s="155">
        <f ca="1"/>
        <v>0</v>
      </c>
      <c r="T262" s="155">
        <f ca="1"/>
        <v>0.17242206360917212</v>
      </c>
      <c r="U262" s="155">
        <f ca="1"/>
        <v>0.2222054826632297</v>
      </c>
      <c r="V262" s="138">
        <f ca="1"/>
        <v>0.28737957562615379</v>
      </c>
      <c r="W262" s="137">
        <f ca="1"/>
        <v>0</v>
      </c>
      <c r="X262" s="155">
        <f ca="1"/>
        <v>0</v>
      </c>
      <c r="Y262" s="155">
        <f ca="1"/>
        <v>4.3733246591571184E-2</v>
      </c>
      <c r="Z262" s="155">
        <f ca="1"/>
        <v>0</v>
      </c>
      <c r="AA262" s="155">
        <f ca="1"/>
        <v>0.12070793357455445</v>
      </c>
      <c r="AB262" s="155">
        <f ca="1"/>
        <v>0</v>
      </c>
      <c r="AC262" s="155">
        <f ca="1"/>
        <v>0.17311142461584728</v>
      </c>
      <c r="AD262" s="155">
        <f ca="1"/>
        <v>0.22311238047355209</v>
      </c>
      <c r="AE262" s="138">
        <f ca="1"/>
        <v>0.28856628713250521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4" t="s">
        <v>87</v>
      </c>
      <c r="G263" s="154">
        <v>4.4299999999999999E-3</v>
      </c>
      <c r="H263" s="154" t="s">
        <v>87</v>
      </c>
      <c r="I263" s="154">
        <v>7.8539999999999999E-3</v>
      </c>
      <c r="J263" s="154" t="s">
        <v>87</v>
      </c>
      <c r="K263" s="154">
        <v>1.235E-2</v>
      </c>
      <c r="L263" s="154">
        <v>1.4572E-2</v>
      </c>
      <c r="M263" s="154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55">
        <f ca="1"/>
        <v>0</v>
      </c>
      <c r="P263" s="155">
        <f ca="1"/>
        <v>7.8092927536241863E-3</v>
      </c>
      <c r="Q263" s="155">
        <f ca="1"/>
        <v>0</v>
      </c>
      <c r="R263" s="155">
        <f ca="1"/>
        <v>3.9995486877473119E-2</v>
      </c>
      <c r="S263" s="155">
        <f ca="1"/>
        <v>0</v>
      </c>
      <c r="T263" s="155">
        <f ca="1"/>
        <v>0.10395155523877753</v>
      </c>
      <c r="U263" s="155">
        <f ca="1"/>
        <v>0.16779292389741207</v>
      </c>
      <c r="V263" s="138">
        <f ca="1"/>
        <v>0.27955828328404986</v>
      </c>
      <c r="W263" s="137">
        <f ca="1"/>
        <v>0</v>
      </c>
      <c r="X263" s="155">
        <f ca="1"/>
        <v>0</v>
      </c>
      <c r="Y263" s="155">
        <f ca="1"/>
        <v>7.974644091850891E-3</v>
      </c>
      <c r="Z263" s="155">
        <f ca="1"/>
        <v>0</v>
      </c>
      <c r="AA263" s="155">
        <f ca="1"/>
        <v>4.0475369153455176E-2</v>
      </c>
      <c r="AB263" s="155">
        <f ca="1"/>
        <v>0</v>
      </c>
      <c r="AC263" s="155">
        <f ca="1"/>
        <v>0.10472668312313371</v>
      </c>
      <c r="AD263" s="155">
        <f ca="1"/>
        <v>0.16880513534562314</v>
      </c>
      <c r="AE263" s="138">
        <f ca="1"/>
        <v>0.28083489824759755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4">
        <v>2.2000000000000001E-3</v>
      </c>
      <c r="G264" s="154">
        <v>2.8999999999999998E-3</v>
      </c>
      <c r="H264" s="154">
        <v>4.7999999999999996E-3</v>
      </c>
      <c r="I264" s="154">
        <v>6.8999999999999999E-3</v>
      </c>
      <c r="J264" s="154">
        <v>9.7000000000000003E-3</v>
      </c>
      <c r="K264" s="154">
        <v>1.2E-2</v>
      </c>
      <c r="L264" s="154">
        <v>1.5100000000000001E-2</v>
      </c>
      <c r="M264" s="154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55">
        <f ca="1"/>
        <v>2.0446251581440755E-3</v>
      </c>
      <c r="P264" s="155">
        <f ca="1"/>
        <v>5.1418003793949341E-3</v>
      </c>
      <c r="Q264" s="155">
        <f ca="1"/>
        <v>1.659655096241297E-2</v>
      </c>
      <c r="R264" s="155">
        <f ca="1"/>
        <v>3.5421274314806128E-2</v>
      </c>
      <c r="S264" s="155">
        <f ca="1"/>
        <v>6.5888057646339093E-2</v>
      </c>
      <c r="T264" s="155">
        <f ca="1"/>
        <v>0.10079699126459729</v>
      </c>
      <c r="U264" s="155">
        <f ca="1"/>
        <v>0.17244638134196821</v>
      </c>
      <c r="V264" s="138">
        <f ca="1"/>
        <v>0.26994514622574883</v>
      </c>
      <c r="W264" s="137">
        <f ca="1"/>
        <v>0</v>
      </c>
      <c r="X264" s="155">
        <f ca="1"/>
        <v>2.1374560891331829E-3</v>
      </c>
      <c r="Y264" s="155">
        <f ca="1"/>
        <v>5.3075962626325524E-3</v>
      </c>
      <c r="Z264" s="155">
        <f ca="1"/>
        <v>1.6924297484628759E-2</v>
      </c>
      <c r="AA264" s="155">
        <f ca="1"/>
        <v>3.590344312539917E-2</v>
      </c>
      <c r="AB264" s="155">
        <f ca="1"/>
        <v>6.6531105642910204E-2</v>
      </c>
      <c r="AC264" s="155">
        <f ca="1"/>
        <v>0.10157368373733189</v>
      </c>
      <c r="AD264" s="155">
        <f ca="1"/>
        <v>0.1734610531873958</v>
      </c>
      <c r="AE264" s="138">
        <f ca="1"/>
        <v>0.27123404172689358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4">
        <v>5.4000000000000003E-3</v>
      </c>
      <c r="G265" s="154">
        <v>5.4000000000000003E-3</v>
      </c>
      <c r="H265" s="154">
        <v>8.0999999999999996E-3</v>
      </c>
      <c r="I265" s="154">
        <v>9.7999999999999997E-3</v>
      </c>
      <c r="J265" s="154" t="s">
        <v>87</v>
      </c>
      <c r="K265" s="154">
        <v>1.2500000000000001E-2</v>
      </c>
      <c r="L265" s="154">
        <v>1.4800000000000001E-2</v>
      </c>
      <c r="M265" s="154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55">
        <f ca="1"/>
        <v>5.0111721370083018E-3</v>
      </c>
      <c r="P265" s="155">
        <f ca="1"/>
        <v>9.5286836042224321E-3</v>
      </c>
      <c r="Q265" s="155">
        <f ca="1"/>
        <v>2.7816498235587739E-2</v>
      </c>
      <c r="R265" s="155">
        <f ca="1"/>
        <v>4.9722397042768929E-2</v>
      </c>
      <c r="S265" s="155">
        <f ca="1"/>
        <v>0</v>
      </c>
      <c r="T265" s="155">
        <f ca="1"/>
        <v>0.10311898987140466</v>
      </c>
      <c r="U265" s="155">
        <f ca="1"/>
        <v>0.16664606971605378</v>
      </c>
      <c r="V265" s="138">
        <f ca="1"/>
        <v>0.24587431092560075</v>
      </c>
      <c r="W265" s="137">
        <f ca="1"/>
        <v>0</v>
      </c>
      <c r="X265" s="155">
        <f ca="1"/>
        <v>5.1036861449917925E-3</v>
      </c>
      <c r="Y265" s="155">
        <f ca="1"/>
        <v>9.6937484011729858E-3</v>
      </c>
      <c r="Z265" s="155">
        <f ca="1"/>
        <v>2.8140505398634552E-2</v>
      </c>
      <c r="AA265" s="155">
        <f ca="1"/>
        <v>5.0197417079323237E-2</v>
      </c>
      <c r="AB265" s="155">
        <f ca="1"/>
        <v>0</v>
      </c>
      <c r="AC265" s="155">
        <f ca="1"/>
        <v>0.10389235583615286</v>
      </c>
      <c r="AD265" s="155">
        <f ca="1"/>
        <v>0.16765737882189036</v>
      </c>
      <c r="AE265" s="138">
        <f ca="1"/>
        <v>0.24718313116039703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4" t="s">
        <v>87</v>
      </c>
      <c r="G266" s="154">
        <v>3.7569999999999999E-3</v>
      </c>
      <c r="H266" s="154" t="s">
        <v>87</v>
      </c>
      <c r="I266" s="154">
        <v>8.1030000000000008E-3</v>
      </c>
      <c r="J266" s="154" t="s">
        <v>87</v>
      </c>
      <c r="K266" s="154">
        <v>1.2500000000000001E-2</v>
      </c>
      <c r="L266" s="154">
        <v>1.413E-2</v>
      </c>
      <c r="M266" s="154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55">
        <f ca="1"/>
        <v>0</v>
      </c>
      <c r="P266" s="155">
        <f ca="1"/>
        <v>6.6268191837418611E-3</v>
      </c>
      <c r="Q266" s="155">
        <f ca="1"/>
        <v>0</v>
      </c>
      <c r="R266" s="155">
        <f ca="1"/>
        <v>4.1369726837286014E-2</v>
      </c>
      <c r="S266" s="155">
        <f ca="1"/>
        <v>0</v>
      </c>
      <c r="T266" s="155">
        <f ca="1"/>
        <v>0.10517957313772031</v>
      </c>
      <c r="U266" s="155">
        <f ca="1"/>
        <v>0.16208749879890527</v>
      </c>
      <c r="V266" s="138">
        <f ca="1"/>
        <v>0.25996781539884806</v>
      </c>
      <c r="W266" s="137">
        <f ca="1"/>
        <v>0</v>
      </c>
      <c r="X266" s="155">
        <f ca="1"/>
        <v>0</v>
      </c>
      <c r="Y266" s="155">
        <f ca="1"/>
        <v>6.7923675844426823E-3</v>
      </c>
      <c r="Z266" s="155">
        <f ca="1"/>
        <v>0</v>
      </c>
      <c r="AA266" s="155">
        <f ca="1"/>
        <v>4.1848922165071745E-2</v>
      </c>
      <c r="AB266" s="155">
        <f ca="1"/>
        <v>0</v>
      </c>
      <c r="AC266" s="155">
        <f ca="1"/>
        <v>0.10595390851815589</v>
      </c>
      <c r="AD266" s="155">
        <f ca="1"/>
        <v>0.16310327176673745</v>
      </c>
      <c r="AE266" s="138">
        <f ca="1"/>
        <v>0.26126605064297614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4" t="s">
        <v>87</v>
      </c>
      <c r="G267" s="154">
        <v>2.745E-3</v>
      </c>
      <c r="H267" s="154" t="s">
        <v>87</v>
      </c>
      <c r="I267" s="154">
        <v>5.0330000000000001E-3</v>
      </c>
      <c r="J267" s="154" t="s">
        <v>87</v>
      </c>
      <c r="K267" s="154">
        <v>7.5500000000000003E-3</v>
      </c>
      <c r="L267" s="154">
        <v>8.7220000000000006E-3</v>
      </c>
      <c r="M267" s="154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55">
        <f ca="1"/>
        <v>0</v>
      </c>
      <c r="P267" s="155">
        <f ca="1"/>
        <v>4.8460895101534174E-3</v>
      </c>
      <c r="Q267" s="155">
        <f ca="1"/>
        <v>0</v>
      </c>
      <c r="R267" s="155">
        <f ca="1"/>
        <v>2.5798522419305803E-2</v>
      </c>
      <c r="S267" s="155">
        <f ca="1"/>
        <v>0</v>
      </c>
      <c r="T267" s="155">
        <f ca="1"/>
        <v>6.4381292274806268E-2</v>
      </c>
      <c r="U267" s="155">
        <f ca="1"/>
        <v>0.10275903826369115</v>
      </c>
      <c r="V267" s="138">
        <f ca="1"/>
        <v>0.16239969435576085</v>
      </c>
      <c r="W267" s="137">
        <f ca="1"/>
        <v>0</v>
      </c>
      <c r="X267" s="155">
        <f ca="1"/>
        <v>0</v>
      </c>
      <c r="Y267" s="155">
        <f ca="1"/>
        <v>5.0119346744132987E-3</v>
      </c>
      <c r="Z267" s="155">
        <f ca="1"/>
        <v>0</v>
      </c>
      <c r="AA267" s="155">
        <f ca="1"/>
        <v>2.6285501403218392E-2</v>
      </c>
      <c r="AB267" s="155">
        <f ca="1"/>
        <v>0</v>
      </c>
      <c r="AC267" s="155">
        <f ca="1"/>
        <v>6.5160649753883138E-2</v>
      </c>
      <c r="AD267" s="155">
        <f ca="1"/>
        <v>0.10380520900077317</v>
      </c>
      <c r="AE267" s="138">
        <f ca="1"/>
        <v>0.16385183345128995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4" t="s">
        <v>87</v>
      </c>
      <c r="G268" s="154">
        <v>1.2830000000000001E-3</v>
      </c>
      <c r="H268" s="154" t="s">
        <v>87</v>
      </c>
      <c r="I268" s="154">
        <v>4.1999999999999997E-3</v>
      </c>
      <c r="J268" s="154" t="s">
        <v>87</v>
      </c>
      <c r="K268" s="154">
        <v>5.8999999999999999E-3</v>
      </c>
      <c r="L268" s="154">
        <v>7.7000000000000002E-3</v>
      </c>
      <c r="M268" s="154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55">
        <f ca="1"/>
        <v>0</v>
      </c>
      <c r="P268" s="155">
        <f ca="1"/>
        <v>2.2679462912498227E-3</v>
      </c>
      <c r="Q268" s="155">
        <f ca="1"/>
        <v>0</v>
      </c>
      <c r="R268" s="155">
        <f ca="1"/>
        <v>2.1708994120287706E-2</v>
      </c>
      <c r="S268" s="155">
        <f ca="1"/>
        <v>0</v>
      </c>
      <c r="T268" s="155">
        <f ca="1"/>
        <v>5.0538074194765636E-2</v>
      </c>
      <c r="U268" s="155">
        <f ca="1"/>
        <v>9.2381702869917426E-2</v>
      </c>
      <c r="V268" s="138">
        <f ca="1"/>
        <v>0.1646675098128304</v>
      </c>
      <c r="W268" s="137">
        <f ca="1"/>
        <v>0</v>
      </c>
      <c r="X268" s="155">
        <f ca="1"/>
        <v>0</v>
      </c>
      <c r="Y268" s="155">
        <f ca="1"/>
        <v>2.4342211102401645E-3</v>
      </c>
      <c r="Z268" s="155">
        <f ca="1"/>
        <v>0</v>
      </c>
      <c r="AA268" s="155">
        <f ca="1"/>
        <v>2.219801735725957E-2</v>
      </c>
      <c r="AB268" s="155">
        <f ca="1"/>
        <v>0</v>
      </c>
      <c r="AC268" s="155">
        <f ca="1"/>
        <v>5.1328962883509299E-2</v>
      </c>
      <c r="AD268" s="155">
        <f ca="1"/>
        <v>9.3439973438702473E-2</v>
      </c>
      <c r="AE268" s="138">
        <f ca="1"/>
        <v>0.16612921586863216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4">
        <v>6.9999999999999999E-4</v>
      </c>
      <c r="G269" s="154">
        <v>1.4E-3</v>
      </c>
      <c r="H269" s="154">
        <v>2.5000000000000001E-3</v>
      </c>
      <c r="I269" s="154">
        <v>3.5999999999999999E-3</v>
      </c>
      <c r="J269" s="154" t="s">
        <v>87</v>
      </c>
      <c r="K269" s="154">
        <v>5.5999999999999999E-3</v>
      </c>
      <c r="L269" s="154">
        <v>7.0000000000000001E-3</v>
      </c>
      <c r="M269" s="154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55">
        <f ca="1"/>
        <v>6.5101642887865907E-4</v>
      </c>
      <c r="P269" s="155">
        <f ca="1"/>
        <v>2.4915204094962951E-3</v>
      </c>
      <c r="Q269" s="155">
        <f ca="1"/>
        <v>8.6837853539136756E-3</v>
      </c>
      <c r="R269" s="155">
        <f ca="1"/>
        <v>1.8608618094673068E-2</v>
      </c>
      <c r="S269" s="155">
        <f ca="1"/>
        <v>0</v>
      </c>
      <c r="T269" s="155">
        <f ca="1"/>
        <v>4.774559354357899E-2</v>
      </c>
      <c r="U269" s="155">
        <f ca="1"/>
        <v>8.254541589752018E-2</v>
      </c>
      <c r="V269" s="138">
        <f ca="1"/>
        <v>0.14203101413189645</v>
      </c>
      <c r="W269" s="137">
        <f ca="1"/>
        <v>0</v>
      </c>
      <c r="X269" s="155">
        <f ca="1"/>
        <v>7.4398343160742009E-4</v>
      </c>
      <c r="Y269" s="155">
        <f ca="1"/>
        <v>2.6577579692423914E-3</v>
      </c>
      <c r="Z269" s="155">
        <f ca="1"/>
        <v>9.0141690251233086E-3</v>
      </c>
      <c r="AA269" s="155">
        <f ca="1"/>
        <v>1.9099191132149751E-2</v>
      </c>
      <c r="AB269" s="155">
        <f ca="1"/>
        <v>0</v>
      </c>
      <c r="AC269" s="155">
        <f ca="1"/>
        <v>4.8558551937589289E-2</v>
      </c>
      <c r="AD269" s="155">
        <f ca="1"/>
        <v>8.3642062231109371E-2</v>
      </c>
      <c r="AE269" s="138">
        <f ca="1"/>
        <v>0.14351574161939695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4" t="s">
        <v>87</v>
      </c>
      <c r="G270" s="154">
        <v>2.875E-3</v>
      </c>
      <c r="H270" s="154" t="s">
        <v>87</v>
      </c>
      <c r="I270" s="154">
        <v>1.1301E-2</v>
      </c>
      <c r="J270" s="154" t="s">
        <v>87</v>
      </c>
      <c r="K270" s="154">
        <v>1.15E-2</v>
      </c>
      <c r="L270" s="154">
        <v>1.0968E-2</v>
      </c>
      <c r="M270" s="154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55">
        <f ca="1"/>
        <v>0</v>
      </c>
      <c r="P270" s="155">
        <f ca="1"/>
        <v>5.0750162358812467E-3</v>
      </c>
      <c r="Q270" s="155">
        <f ca="1"/>
        <v>0</v>
      </c>
      <c r="R270" s="155">
        <f ca="1"/>
        <v>5.7697590435186519E-2</v>
      </c>
      <c r="S270" s="155">
        <f ca="1"/>
        <v>0</v>
      </c>
      <c r="T270" s="155">
        <f ca="1"/>
        <v>9.4523643229053822E-2</v>
      </c>
      <c r="U270" s="155">
        <f ca="1"/>
        <v>0.12217222117468296</v>
      </c>
      <c r="V270" s="138">
        <f ca="1"/>
        <v>0.16352018581175276</v>
      </c>
      <c r="W270" s="137">
        <f ca="1"/>
        <v>0</v>
      </c>
      <c r="X270" s="155">
        <f ca="1"/>
        <v>0</v>
      </c>
      <c r="Y270" s="155">
        <f ca="1"/>
        <v>5.2408232488688755E-3</v>
      </c>
      <c r="Z270" s="155">
        <f ca="1"/>
        <v>0</v>
      </c>
      <c r="AA270" s="155">
        <f ca="1"/>
        <v>5.8168623871823422E-2</v>
      </c>
      <c r="AB270" s="155">
        <f ca="1"/>
        <v>0</v>
      </c>
      <c r="AC270" s="155">
        <f ca="1"/>
        <v>9.5277892545525544E-2</v>
      </c>
      <c r="AD270" s="155">
        <f ca="1"/>
        <v>0.12319575640496494</v>
      </c>
      <c r="AE270" s="138">
        <f ca="1"/>
        <v>0.16493788657265562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4" t="s">
        <v>87</v>
      </c>
      <c r="G271" s="154">
        <v>1.9629999999999999E-3</v>
      </c>
      <c r="H271" s="154" t="s">
        <v>87</v>
      </c>
      <c r="I271" s="154">
        <v>4.3169999999999997E-3</v>
      </c>
      <c r="J271" s="154" t="s">
        <v>87</v>
      </c>
      <c r="K271" s="154">
        <v>7.1500000000000001E-3</v>
      </c>
      <c r="L271" s="154">
        <v>8.0300000000000007E-3</v>
      </c>
      <c r="M271" s="154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55">
        <f ca="1"/>
        <v>0</v>
      </c>
      <c r="P271" s="155">
        <f ca="1"/>
        <v>3.4679053669933735E-3</v>
      </c>
      <c r="Q271" s="155">
        <f ca="1"/>
        <v>0</v>
      </c>
      <c r="R271" s="155">
        <f ca="1"/>
        <v>2.2217512392885497E-2</v>
      </c>
      <c r="S271" s="155">
        <f ca="1"/>
        <v>0</v>
      </c>
      <c r="T271" s="155">
        <f ca="1"/>
        <v>6.1429112690261078E-2</v>
      </c>
      <c r="U271" s="155">
        <f ca="1"/>
        <v>9.4960774144161153E-2</v>
      </c>
      <c r="V271" s="138">
        <f ca="1"/>
        <v>0.15363362873970876</v>
      </c>
      <c r="W271" s="137">
        <f ca="1"/>
        <v>0</v>
      </c>
      <c r="X271" s="155">
        <f ca="1"/>
        <v>0</v>
      </c>
      <c r="Y271" s="155">
        <f ca="1"/>
        <v>3.6339802094637053E-3</v>
      </c>
      <c r="Z271" s="155">
        <f ca="1"/>
        <v>0</v>
      </c>
      <c r="AA271" s="155">
        <f ca="1"/>
        <v>2.2706281434219155E-2</v>
      </c>
      <c r="AB271" s="155">
        <f ca="1"/>
        <v>0</v>
      </c>
      <c r="AC271" s="155">
        <f ca="1"/>
        <v>6.2210929294213457E-2</v>
      </c>
      <c r="AD271" s="155">
        <f ca="1"/>
        <v>9.6016037551009292E-2</v>
      </c>
      <c r="AE271" s="138">
        <f ca="1"/>
        <v>0.15510068375821529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4" t="s">
        <v>87</v>
      </c>
      <c r="G272" s="154">
        <v>2E-3</v>
      </c>
      <c r="H272" s="154" t="s">
        <v>87</v>
      </c>
      <c r="I272" s="154">
        <v>3.5000000000000001E-3</v>
      </c>
      <c r="J272" s="154" t="s">
        <v>87</v>
      </c>
      <c r="K272" s="154">
        <v>5.0000000000000001E-3</v>
      </c>
      <c r="L272" s="154">
        <v>6.7999999999999996E-3</v>
      </c>
      <c r="M272" s="154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55">
        <f ca="1"/>
        <v>0</v>
      </c>
      <c r="P272" s="155">
        <f ca="1"/>
        <v>3.5331561876147388E-3</v>
      </c>
      <c r="Q272" s="155">
        <f ca="1"/>
        <v>0</v>
      </c>
      <c r="R272" s="155">
        <f ca="1"/>
        <v>1.7986605596824967E-2</v>
      </c>
      <c r="S272" s="155">
        <f ca="1"/>
        <v>0</v>
      </c>
      <c r="T272" s="155">
        <f ca="1"/>
        <v>4.2858316391797824E-2</v>
      </c>
      <c r="U272" s="155">
        <f ca="1"/>
        <v>8.2147546312060227E-2</v>
      </c>
      <c r="V272" s="138">
        <f ca="1"/>
        <v>0.14924674049070208</v>
      </c>
      <c r="W272" s="137">
        <f ca="1"/>
        <v>0</v>
      </c>
      <c r="X272" s="155">
        <f ca="1"/>
        <v>0</v>
      </c>
      <c r="Y272" s="155">
        <f ca="1"/>
        <v>3.69922015586166E-3</v>
      </c>
      <c r="Z272" s="155">
        <f ca="1"/>
        <v>0</v>
      </c>
      <c r="AA272" s="155">
        <f ca="1"/>
        <v>1.8477489562816363E-2</v>
      </c>
      <c r="AB272" s="155">
        <f ca="1"/>
        <v>0</v>
      </c>
      <c r="AC272" s="155">
        <f ca="1"/>
        <v>4.3655602212871902E-2</v>
      </c>
      <c r="AD272" s="155">
        <f ca="1"/>
        <v>8.3217749767943272E-2</v>
      </c>
      <c r="AE272" s="138">
        <f ca="1"/>
        <v>0.15073171698012755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4" t="s">
        <v>87</v>
      </c>
      <c r="G273" s="154">
        <v>2.1810000000000002E-3</v>
      </c>
      <c r="H273" s="154" t="s">
        <v>87</v>
      </c>
      <c r="I273" s="154">
        <v>3.9830000000000004E-3</v>
      </c>
      <c r="J273" s="154" t="s">
        <v>87</v>
      </c>
      <c r="K273" s="154">
        <v>5.4999999999999997E-3</v>
      </c>
      <c r="L273" s="154">
        <v>6.0689999999999997E-3</v>
      </c>
      <c r="M273" s="154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55">
        <f ca="1"/>
        <v>0</v>
      </c>
      <c r="P273" s="155">
        <f ca="1"/>
        <v>3.8522951098965974E-3</v>
      </c>
      <c r="Q273" s="155">
        <f ca="1"/>
        <v>0</v>
      </c>
      <c r="R273" s="155">
        <f ca="1"/>
        <v>2.0460789811607261E-2</v>
      </c>
      <c r="S273" s="155">
        <f ca="1"/>
        <v>0</v>
      </c>
      <c r="T273" s="155">
        <f ca="1"/>
        <v>4.6988961243319749E-2</v>
      </c>
      <c r="U273" s="155">
        <f ca="1"/>
        <v>7.1786294106969128E-2</v>
      </c>
      <c r="V273" s="138">
        <f ca="1"/>
        <v>0.11792823775345718</v>
      </c>
      <c r="W273" s="137">
        <f ca="1"/>
        <v>0</v>
      </c>
      <c r="X273" s="155">
        <f ca="1"/>
        <v>0</v>
      </c>
      <c r="Y273" s="155">
        <f ca="1"/>
        <v>4.0183058927610871E-3</v>
      </c>
      <c r="Z273" s="155">
        <f ca="1"/>
        <v>0</v>
      </c>
      <c r="AA273" s="155">
        <f ca="1"/>
        <v>2.0950436994717547E-2</v>
      </c>
      <c r="AB273" s="155">
        <f ca="1"/>
        <v>0</v>
      </c>
      <c r="AC273" s="155">
        <f ca="1"/>
        <v>4.7782806294205615E-2</v>
      </c>
      <c r="AD273" s="155">
        <f ca="1"/>
        <v>7.2890970368260088E-2</v>
      </c>
      <c r="AE273" s="138">
        <f ca="1"/>
        <v>0.11944184520868739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4">
        <v>1E-3</v>
      </c>
      <c r="G274" s="154">
        <v>1.6000000000000001E-3</v>
      </c>
      <c r="H274" s="154">
        <v>2.3999999999999998E-3</v>
      </c>
      <c r="I274" s="154">
        <v>3.0999999999999999E-3</v>
      </c>
      <c r="J274" s="154" t="s">
        <v>87</v>
      </c>
      <c r="K274" s="154">
        <v>5.1999999999999998E-3</v>
      </c>
      <c r="L274" s="154">
        <v>6.3E-3</v>
      </c>
      <c r="M274" s="154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55">
        <f ca="1"/>
        <v>9.2989371787344233E-4</v>
      </c>
      <c r="P274" s="155">
        <f ca="1"/>
        <v>2.8435178916559334E-3</v>
      </c>
      <c r="Q274" s="155">
        <f ca="1"/>
        <v>8.3202093886309836E-3</v>
      </c>
      <c r="R274" s="155">
        <f ca="1"/>
        <v>1.5986747660227341E-2</v>
      </c>
      <c r="S274" s="155">
        <f ca="1"/>
        <v>0</v>
      </c>
      <c r="T274" s="155">
        <f ca="1"/>
        <v>4.4420291511269028E-2</v>
      </c>
      <c r="U274" s="155">
        <f ca="1"/>
        <v>7.4415712127248068E-2</v>
      </c>
      <c r="V274" s="138">
        <f ca="1"/>
        <v>0.11907411790997691</v>
      </c>
      <c r="W274" s="137">
        <f ca="1"/>
        <v>0</v>
      </c>
      <c r="X274" s="155">
        <f ca="1"/>
        <v>1.0228340424542903E-3</v>
      </c>
      <c r="Y274" s="155">
        <f ca="1"/>
        <v>3.0096967900550275E-3</v>
      </c>
      <c r="Z274" s="155">
        <f ca="1"/>
        <v>8.6507142316519792E-3</v>
      </c>
      <c r="AA274" s="155">
        <f ca="1"/>
        <v>1.6478631305257951E-2</v>
      </c>
      <c r="AB274" s="155">
        <f ca="1"/>
        <v>0</v>
      </c>
      <c r="AC274" s="155">
        <f ca="1"/>
        <v>4.5236125406236782E-2</v>
      </c>
      <c r="AD274" s="155">
        <f ca="1"/>
        <v>7.5522300172308321E-2</v>
      </c>
      <c r="AE274" s="138">
        <f ca="1"/>
        <v>0.12058796881259626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4" t="s">
        <v>87</v>
      </c>
      <c r="G275" s="154">
        <v>5.0000000000000001E-3</v>
      </c>
      <c r="H275" s="154" t="s">
        <v>87</v>
      </c>
      <c r="I275" s="154">
        <v>0.01</v>
      </c>
      <c r="J275" s="154" t="s">
        <v>87</v>
      </c>
      <c r="K275" s="154">
        <v>0.02</v>
      </c>
      <c r="L275" s="154">
        <v>2.3E-2</v>
      </c>
      <c r="M275" s="154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55">
        <f ca="1"/>
        <v>0</v>
      </c>
      <c r="P275" s="155">
        <f ca="1"/>
        <v>6.6145127270081927E-3</v>
      </c>
      <c r="Q275" s="155">
        <f ca="1"/>
        <v>0</v>
      </c>
      <c r="R275" s="155">
        <f ca="1"/>
        <v>3.829609854283067E-2</v>
      </c>
      <c r="S275" s="155">
        <f ca="1"/>
        <v>0</v>
      </c>
      <c r="T275" s="155">
        <f ca="1"/>
        <v>0.12702032280407316</v>
      </c>
      <c r="U275" s="155">
        <f ca="1"/>
        <v>0.19729443536897806</v>
      </c>
      <c r="V275" s="138">
        <f ca="1"/>
        <v>0.29425815296832625</v>
      </c>
      <c r="W275" s="137">
        <f ca="1"/>
        <v>0</v>
      </c>
      <c r="X275" s="155">
        <f ca="1"/>
        <v>0</v>
      </c>
      <c r="Y275" s="155">
        <f ca="1"/>
        <v>6.7386781524091388E-3</v>
      </c>
      <c r="Z275" s="155">
        <f ca="1"/>
        <v>0</v>
      </c>
      <c r="AA275" s="155">
        <f ca="1"/>
        <v>3.8656669894490681E-2</v>
      </c>
      <c r="AB275" s="155">
        <f ca="1"/>
        <v>0</v>
      </c>
      <c r="AC275" s="155">
        <f ca="1"/>
        <v>0.12759255953190118</v>
      </c>
      <c r="AD275" s="155">
        <f ca="1"/>
        <v>0.19803266966883704</v>
      </c>
      <c r="AE275" s="138">
        <f ca="1"/>
        <v>0.29519023824614476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4">
        <v>1.8749999999999999E-2</v>
      </c>
      <c r="G276" s="154">
        <v>1.8749999999999999E-2</v>
      </c>
      <c r="H276" s="154">
        <v>1.7250000000000001E-2</v>
      </c>
      <c r="I276" s="154">
        <v>1.6500000000000001E-2</v>
      </c>
      <c r="J276" s="154" t="s">
        <v>87</v>
      </c>
      <c r="K276" s="154">
        <v>1.4999999999999999E-2</v>
      </c>
      <c r="L276" s="154">
        <v>1.4999999999999999E-2</v>
      </c>
      <c r="M276" s="154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55">
        <f ca="1"/>
        <v>1.7292762023018549E-2</v>
      </c>
      <c r="P276" s="155">
        <f ca="1"/>
        <v>3.269782806602417E-2</v>
      </c>
      <c r="Q276" s="155">
        <f ca="1"/>
        <v>5.7714516510323444E-2</v>
      </c>
      <c r="R276" s="155">
        <f ca="1"/>
        <v>8.0940256442748937E-2</v>
      </c>
      <c r="S276" s="155">
        <f ca="1"/>
        <v>0</v>
      </c>
      <c r="T276" s="155">
        <f ca="1"/>
        <v>0.11861445602351672</v>
      </c>
      <c r="U276" s="155">
        <f ca="1"/>
        <v>0.16202404076373245</v>
      </c>
      <c r="V276" s="138">
        <f ca="1"/>
        <v>0.22318728774951535</v>
      </c>
      <c r="W276" s="137">
        <f ca="1"/>
        <v>0</v>
      </c>
      <c r="X276" s="155">
        <f ca="1"/>
        <v>1.7374650880770504E-2</v>
      </c>
      <c r="Y276" s="155">
        <f ca="1"/>
        <v>3.2859031660665394E-2</v>
      </c>
      <c r="Z276" s="155">
        <f ca="1"/>
        <v>5.8028559328090479E-2</v>
      </c>
      <c r="AA276" s="155">
        <f ca="1"/>
        <v>8.1399671451202416E-2</v>
      </c>
      <c r="AB276" s="155">
        <f ca="1"/>
        <v>0</v>
      </c>
      <c r="AC276" s="155">
        <f ca="1"/>
        <v>0.11934863802514217</v>
      </c>
      <c r="AD276" s="155">
        <f ca="1"/>
        <v>0.1630011093153505</v>
      </c>
      <c r="AE276" s="138">
        <f ca="1"/>
        <v>0.22450284644197105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4">
        <v>8.6E-3</v>
      </c>
      <c r="G277" s="154">
        <v>8.6E-3</v>
      </c>
      <c r="H277" s="154">
        <v>8.6E-3</v>
      </c>
      <c r="I277" s="154">
        <v>8.8800000000000007E-3</v>
      </c>
      <c r="J277" s="154" t="s">
        <v>87</v>
      </c>
      <c r="K277" s="154">
        <v>9.4999999999999998E-3</v>
      </c>
      <c r="L277" s="154">
        <v>9.4999999999999998E-3</v>
      </c>
      <c r="M277" s="154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55">
        <f ca="1"/>
        <v>7.9689208374039699E-3</v>
      </c>
      <c r="P277" s="155">
        <f ca="1"/>
        <v>1.5132397863609426E-2</v>
      </c>
      <c r="Q277" s="155">
        <f ca="1"/>
        <v>2.9282027774209407E-2</v>
      </c>
      <c r="R277" s="155">
        <f ca="1"/>
        <v>4.4668918794547596E-2</v>
      </c>
      <c r="S277" s="155">
        <f ca="1"/>
        <v>0</v>
      </c>
      <c r="T277" s="155">
        <f ca="1"/>
        <v>7.80602419781804E-2</v>
      </c>
      <c r="U277" s="155">
        <f ca="1"/>
        <v>0.10707865061725985</v>
      </c>
      <c r="V277" s="138">
        <f ca="1"/>
        <v>0.1489328401073805</v>
      </c>
      <c r="W277" s="137">
        <f ca="1"/>
        <v>0</v>
      </c>
      <c r="X277" s="155">
        <f ca="1"/>
        <v>8.0610713713750171E-3</v>
      </c>
      <c r="Y277" s="155">
        <f ca="1"/>
        <v>1.5296528786001184E-2</v>
      </c>
      <c r="Z277" s="155">
        <f ca="1"/>
        <v>2.9605546508822633E-2</v>
      </c>
      <c r="AA277" s="155">
        <f ca="1"/>
        <v>4.5146464938682795E-2</v>
      </c>
      <c r="AB277" s="155">
        <f ca="1"/>
        <v>0</v>
      </c>
      <c r="AC277" s="155">
        <f ca="1"/>
        <v>7.8828205080811342E-2</v>
      </c>
      <c r="AD277" s="155">
        <f ca="1"/>
        <v>0.10811978474518946</v>
      </c>
      <c r="AE277" s="138">
        <f ca="1"/>
        <v>0.15037966305881423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4" t="s">
        <v>87</v>
      </c>
      <c r="G278" s="154">
        <v>2.643E-3</v>
      </c>
      <c r="H278" s="154" t="s">
        <v>87</v>
      </c>
      <c r="I278" s="154">
        <v>3.9979999999999998E-3</v>
      </c>
      <c r="J278" s="154" t="s">
        <v>87</v>
      </c>
      <c r="K278" s="154">
        <v>5.1500000000000001E-3</v>
      </c>
      <c r="L278" s="154">
        <v>5.7600000000000004E-3</v>
      </c>
      <c r="M278" s="154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55">
        <f ca="1"/>
        <v>0</v>
      </c>
      <c r="P278" s="155">
        <f ca="1"/>
        <v>4.6664335410994129E-3</v>
      </c>
      <c r="Q278" s="155">
        <f ca="1"/>
        <v>0</v>
      </c>
      <c r="R278" s="155">
        <f ca="1"/>
        <v>2.047363945351055E-2</v>
      </c>
      <c r="S278" s="155">
        <f ca="1"/>
        <v>0</v>
      </c>
      <c r="T278" s="155">
        <f ca="1"/>
        <v>4.3802814189418227E-2</v>
      </c>
      <c r="U278" s="155">
        <f ca="1"/>
        <v>6.8101665290430047E-2</v>
      </c>
      <c r="V278" s="138">
        <f ca="1"/>
        <v>0.11040518239618224</v>
      </c>
      <c r="W278" s="137">
        <f ca="1"/>
        <v>0</v>
      </c>
      <c r="X278" s="155">
        <f ca="1"/>
        <v>0</v>
      </c>
      <c r="Y278" s="155">
        <f ca="1"/>
        <v>4.8323086455172026E-3</v>
      </c>
      <c r="Z278" s="155">
        <f ca="1"/>
        <v>0</v>
      </c>
      <c r="AA278" s="155">
        <f ca="1"/>
        <v>2.0963280213428526E-2</v>
      </c>
      <c r="AB278" s="155">
        <f ca="1"/>
        <v>0</v>
      </c>
      <c r="AC278" s="155">
        <f ca="1"/>
        <v>4.45993132568544E-2</v>
      </c>
      <c r="AD278" s="155">
        <f ca="1"/>
        <v>6.9188246052196534E-2</v>
      </c>
      <c r="AE278" s="138">
        <f ca="1"/>
        <v>0.11193236071366042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4">
        <v>1.1999999999999999E-3</v>
      </c>
      <c r="G279" s="154">
        <v>1.6999999999999999E-3</v>
      </c>
      <c r="H279" s="154">
        <v>2.8E-3</v>
      </c>
      <c r="I279" s="154">
        <v>3.5000000000000001E-3</v>
      </c>
      <c r="J279" s="154" t="s">
        <v>87</v>
      </c>
      <c r="K279" s="154">
        <v>4.4999999999999997E-3</v>
      </c>
      <c r="L279" s="154">
        <v>5.1999999999999998E-3</v>
      </c>
      <c r="M279" s="154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55">
        <f ca="1"/>
        <v>1.1157686840057579E-3</v>
      </c>
      <c r="P279" s="155">
        <f ca="1"/>
        <v>3.0185630785608542E-3</v>
      </c>
      <c r="Q279" s="155">
        <f ca="1"/>
        <v>9.7084371942723902E-3</v>
      </c>
      <c r="R279" s="155">
        <f ca="1"/>
        <v>1.8028805953119842E-2</v>
      </c>
      <c r="S279" s="155">
        <f ca="1"/>
        <v>0</v>
      </c>
      <c r="T279" s="155">
        <f ca="1"/>
        <v>3.8213687382888772E-2</v>
      </c>
      <c r="U279" s="155">
        <f ca="1"/>
        <v>6.1244881423135888E-2</v>
      </c>
      <c r="V279" s="138">
        <f ca="1"/>
        <v>0.10316454991267021</v>
      </c>
      <c r="W279" s="137">
        <f ca="1"/>
        <v>0</v>
      </c>
      <c r="X279" s="155">
        <f ca="1"/>
        <v>1.2086910806557993E-3</v>
      </c>
      <c r="Y279" s="155">
        <f ca="1"/>
        <v>3.1847128051830653E-3</v>
      </c>
      <c r="Z279" s="155">
        <f ca="1"/>
        <v>1.0038479371780262E-2</v>
      </c>
      <c r="AA279" s="155">
        <f ca="1"/>
        <v>1.8519668824197533E-2</v>
      </c>
      <c r="AB279" s="155">
        <f ca="1"/>
        <v>0</v>
      </c>
      <c r="AC279" s="155">
        <f ca="1"/>
        <v>3.9034546702639616E-2</v>
      </c>
      <c r="AD279" s="155">
        <f ca="1"/>
        <v>6.2364811876679638E-2</v>
      </c>
      <c r="AE279" s="138">
        <f ca="1"/>
        <v>0.1046842671531214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4">
        <v>1.1000000000000001E-3</v>
      </c>
      <c r="G280" s="154">
        <v>1.5E-3</v>
      </c>
      <c r="H280" s="154">
        <v>1.9E-3</v>
      </c>
      <c r="I280" s="154">
        <v>2.5999999999999999E-3</v>
      </c>
      <c r="J280" s="154" t="s">
        <v>87</v>
      </c>
      <c r="K280" s="154">
        <v>3.8E-3</v>
      </c>
      <c r="L280" s="154">
        <v>4.7000000000000002E-3</v>
      </c>
      <c r="M280" s="154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55">
        <f ca="1"/>
        <v>1.0228355227774877E-3</v>
      </c>
      <c r="P280" s="155">
        <f ca="1"/>
        <v>2.6631074892390361E-3</v>
      </c>
      <c r="Q280" s="155">
        <f ca="1"/>
        <v>6.575806954124741E-3</v>
      </c>
      <c r="R280" s="155">
        <f ca="1"/>
        <v>1.3421602970174251E-2</v>
      </c>
      <c r="S280" s="155">
        <f ca="1"/>
        <v>0</v>
      </c>
      <c r="T280" s="155">
        <f ca="1"/>
        <v>3.2478168562836029E-2</v>
      </c>
      <c r="U280" s="155">
        <f ca="1"/>
        <v>5.5851330729520088E-2</v>
      </c>
      <c r="V280" s="138">
        <f ca="1"/>
        <v>9.5686745694948172E-2</v>
      </c>
      <c r="W280" s="137">
        <f ca="1"/>
        <v>0</v>
      </c>
      <c r="X280" s="155">
        <f ca="1"/>
        <v>1.1157668979256963E-3</v>
      </c>
      <c r="Y280" s="155">
        <f ca="1"/>
        <v>2.8293164535180271E-3</v>
      </c>
      <c r="Z280" s="155">
        <f ca="1"/>
        <v>6.9068931677103151E-3</v>
      </c>
      <c r="AA280" s="155">
        <f ca="1"/>
        <v>1.3914768866949867E-2</v>
      </c>
      <c r="AB280" s="155">
        <f ca="1"/>
        <v>0</v>
      </c>
      <c r="AC280" s="155">
        <f ca="1"/>
        <v>3.3304401318842491E-2</v>
      </c>
      <c r="AD280" s="155">
        <f ca="1"/>
        <v>5.6978954358280043E-2</v>
      </c>
      <c r="AE280" s="138">
        <f ca="1"/>
        <v>9.7222559200771497E-2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4">
        <v>1.1000000000000001E-3</v>
      </c>
      <c r="G281" s="154">
        <v>1.6000000000000001E-3</v>
      </c>
      <c r="H281" s="154">
        <v>2E-3</v>
      </c>
      <c r="I281" s="154">
        <v>2.8E-3</v>
      </c>
      <c r="J281" s="154" t="s">
        <v>87</v>
      </c>
      <c r="K281" s="154">
        <v>3.8999999999999998E-3</v>
      </c>
      <c r="L281" s="154">
        <v>4.5999999999999999E-3</v>
      </c>
      <c r="M281" s="154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55">
        <f ca="1"/>
        <v>1.0228355227774877E-3</v>
      </c>
      <c r="P281" s="155">
        <f ca="1"/>
        <v>2.8417371980472561E-3</v>
      </c>
      <c r="Q281" s="155">
        <f ca="1"/>
        <v>6.9210130096538647E-3</v>
      </c>
      <c r="R281" s="155">
        <f ca="1"/>
        <v>1.4455453235439508E-2</v>
      </c>
      <c r="S281" s="155">
        <f ca="1"/>
        <v>0</v>
      </c>
      <c r="T281" s="155">
        <f ca="1"/>
        <v>3.3282729067457661E-2</v>
      </c>
      <c r="U281" s="155">
        <f ca="1"/>
        <v>5.4501497525214604E-2</v>
      </c>
      <c r="V281" s="138">
        <f ca="1"/>
        <v>9.3909925584951592E-2</v>
      </c>
      <c r="W281" s="137">
        <f ca="1"/>
        <v>0</v>
      </c>
      <c r="X281" s="155">
        <f ca="1"/>
        <v>1.1157668979256963E-3</v>
      </c>
      <c r="Y281" s="155">
        <f ca="1"/>
        <v>3.0079163931993058E-3</v>
      </c>
      <c r="Z281" s="155">
        <f ca="1"/>
        <v>7.2519841737347379E-3</v>
      </c>
      <c r="AA281" s="155">
        <f ca="1"/>
        <v>1.4948102336290292E-2</v>
      </c>
      <c r="AB281" s="155">
        <f ca="1"/>
        <v>0</v>
      </c>
      <c r="AC281" s="155">
        <f ca="1"/>
        <v>3.4108186618431069E-2</v>
      </c>
      <c r="AD281" s="155">
        <f ca="1"/>
        <v>5.5630048572611557E-2</v>
      </c>
      <c r="AE281" s="138">
        <f ca="1"/>
        <v>9.5447921386707657E-2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4" t="s">
        <v>87</v>
      </c>
      <c r="G282" s="154">
        <v>9.3400000000000004E-4</v>
      </c>
      <c r="H282" s="154" t="s">
        <v>87</v>
      </c>
      <c r="I282" s="154">
        <v>2.264E-3</v>
      </c>
      <c r="J282" s="154" t="s">
        <v>87</v>
      </c>
      <c r="K282" s="154">
        <v>3.5500000000000002E-3</v>
      </c>
      <c r="L282" s="154">
        <v>4.4759999999999999E-3</v>
      </c>
      <c r="M282" s="154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55">
        <f ca="1"/>
        <v>0</v>
      </c>
      <c r="P282" s="155">
        <f ca="1"/>
        <v>1.6515284563772825E-3</v>
      </c>
      <c r="Q282" s="155">
        <f ca="1"/>
        <v>0</v>
      </c>
      <c r="R282" s="155">
        <f ca="1"/>
        <v>1.1713515437439592E-2</v>
      </c>
      <c r="S282" s="155">
        <f ca="1"/>
        <v>0</v>
      </c>
      <c r="T282" s="155">
        <f ca="1"/>
        <v>3.0768466925170879E-2</v>
      </c>
      <c r="U282" s="155">
        <f ca="1"/>
        <v>5.4402750772818198E-2</v>
      </c>
      <c r="V282" s="138">
        <f ca="1"/>
        <v>9.25896382759821E-2</v>
      </c>
      <c r="W282" s="137">
        <f ca="1"/>
        <v>0</v>
      </c>
      <c r="X282" s="155">
        <f ca="1"/>
        <v>0</v>
      </c>
      <c r="Y282" s="155">
        <f ca="1"/>
        <v>1.8179060031034977E-3</v>
      </c>
      <c r="Z282" s="155">
        <f ca="1"/>
        <v>0</v>
      </c>
      <c r="AA282" s="155">
        <f ca="1"/>
        <v>1.2207535164516892E-2</v>
      </c>
      <c r="AB282" s="155">
        <f ca="1"/>
        <v>0</v>
      </c>
      <c r="AC282" s="155">
        <f ca="1"/>
        <v>3.1575823424100147E-2</v>
      </c>
      <c r="AD282" s="155">
        <f ca="1"/>
        <v>5.5530104129166036E-2</v>
      </c>
      <c r="AE282" s="138">
        <f ca="1"/>
        <v>9.4100729286539342E-2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4">
        <v>8.0000000000000004E-4</v>
      </c>
      <c r="G283" s="154">
        <v>1E-3</v>
      </c>
      <c r="H283" s="154">
        <v>1.9E-3</v>
      </c>
      <c r="I283" s="154">
        <v>2.3999999999999998E-3</v>
      </c>
      <c r="J283" s="154" t="s">
        <v>87</v>
      </c>
      <c r="K283" s="154">
        <v>3.8E-3</v>
      </c>
      <c r="L283" s="154">
        <v>4.4999999999999997E-3</v>
      </c>
      <c r="M283" s="154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55">
        <f ca="1"/>
        <v>7.4398417212018231E-4</v>
      </c>
      <c r="P283" s="155">
        <f ca="1"/>
        <v>1.7749275068706938E-3</v>
      </c>
      <c r="Q283" s="155">
        <f ca="1"/>
        <v>6.6026113077128912E-3</v>
      </c>
      <c r="R283" s="155">
        <f ca="1"/>
        <v>1.2399726377339215E-2</v>
      </c>
      <c r="S283" s="155">
        <f ca="1"/>
        <v>0</v>
      </c>
      <c r="T283" s="155">
        <f ca="1"/>
        <v>3.2555101365710382E-2</v>
      </c>
      <c r="U283" s="155">
        <f ca="1"/>
        <v>5.3471431924260293E-2</v>
      </c>
      <c r="V283" s="138">
        <f ca="1"/>
        <v>9.0693038903939871E-2</v>
      </c>
      <c r="W283" s="137">
        <f ca="1"/>
        <v>0</v>
      </c>
      <c r="X283" s="155">
        <f ca="1"/>
        <v>8.3694231015207787E-4</v>
      </c>
      <c r="Y283" s="155">
        <f ca="1"/>
        <v>1.9412844888236913E-3</v>
      </c>
      <c r="Z283" s="155">
        <f ca="1"/>
        <v>6.9336885879874854E-3</v>
      </c>
      <c r="AA283" s="155">
        <f ca="1"/>
        <v>1.2893403084678789E-2</v>
      </c>
      <c r="AB283" s="155">
        <f ca="1"/>
        <v>0</v>
      </c>
      <c r="AC283" s="155">
        <f ca="1"/>
        <v>3.3381479359115396E-2</v>
      </c>
      <c r="AD283" s="155">
        <f ca="1"/>
        <v>5.4601847763098399E-2</v>
      </c>
      <c r="AE283" s="138">
        <f ca="1"/>
        <v>9.2237654524721546E-2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4">
        <v>1E-3</v>
      </c>
      <c r="G284" s="154">
        <v>1.2999999999999999E-3</v>
      </c>
      <c r="H284" s="154">
        <v>1.6000000000000001E-3</v>
      </c>
      <c r="I284" s="154">
        <v>2.3E-3</v>
      </c>
      <c r="J284" s="154">
        <v>2.8E-3</v>
      </c>
      <c r="K284" s="154">
        <v>3.3E-3</v>
      </c>
      <c r="L284" s="154">
        <v>4.4000000000000003E-3</v>
      </c>
      <c r="M284" s="154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3.7936796104987014E-4</v>
      </c>
      <c r="O284" s="155">
        <f ca="1"/>
        <v>6.9625243807136528E-4</v>
      </c>
      <c r="P284" s="155">
        <f ca="1"/>
        <v>1.7291249070967574E-3</v>
      </c>
      <c r="Q284" s="155">
        <f ca="1"/>
        <v>4.1531515916930495E-3</v>
      </c>
      <c r="R284" s="155">
        <f ca="1"/>
        <v>8.9617080552361061E-3</v>
      </c>
      <c r="S284" s="155">
        <f ca="1"/>
        <v>1.4545846258605333E-2</v>
      </c>
      <c r="T284" s="155">
        <f ca="1"/>
        <v>2.1496622574532664E-2</v>
      </c>
      <c r="U284" s="155">
        <f ca="1"/>
        <v>4.0500081862449466E-2</v>
      </c>
      <c r="V284" s="138">
        <f ca="1"/>
        <v>7.1144902226422002E-2</v>
      </c>
      <c r="W284" s="137">
        <f ca="1"/>
        <v>4.1729666554035649E-4</v>
      </c>
      <c r="X284" s="155">
        <f ca="1"/>
        <v>7.6585086973102179E-4</v>
      </c>
      <c r="Y284" s="155">
        <f ca="1"/>
        <v>1.8539009678184559E-3</v>
      </c>
      <c r="Z284" s="155">
        <f ca="1"/>
        <v>4.40208218618654E-3</v>
      </c>
      <c r="AA284" s="155">
        <f ca="1"/>
        <v>9.3332777410524148E-3</v>
      </c>
      <c r="AB284" s="155">
        <f ca="1"/>
        <v>1.5038450174218343E-2</v>
      </c>
      <c r="AC284" s="155">
        <f ca="1"/>
        <v>2.2107996111304096E-2</v>
      </c>
      <c r="AD284" s="155">
        <f ca="1"/>
        <v>4.1357091715929051E-2</v>
      </c>
      <c r="AE284" s="138">
        <f ca="1"/>
        <v>7.2305245732887213E-2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4" t="s">
        <v>87</v>
      </c>
      <c r="G285" s="154">
        <v>8.6899999999999998E-4</v>
      </c>
      <c r="H285" s="154" t="s">
        <v>87</v>
      </c>
      <c r="I285" s="154">
        <v>2.2699999999999999E-3</v>
      </c>
      <c r="J285" s="154" t="s">
        <v>87</v>
      </c>
      <c r="K285" s="154">
        <v>3.2499999999999999E-3</v>
      </c>
      <c r="L285" s="154">
        <v>4.2300000000000003E-3</v>
      </c>
      <c r="M285" s="154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55">
        <f ca="1"/>
        <v>0</v>
      </c>
      <c r="P285" s="155">
        <f ca="1"/>
        <v>1.5366811032384575E-3</v>
      </c>
      <c r="Q285" s="155">
        <f ca="1"/>
        <v>0</v>
      </c>
      <c r="R285" s="155">
        <f ca="1"/>
        <v>1.1753372469429091E-2</v>
      </c>
      <c r="S285" s="155">
        <f ca="1"/>
        <v>0</v>
      </c>
      <c r="T285" s="155">
        <f ca="1"/>
        <v>2.8079664397773207E-2</v>
      </c>
      <c r="U285" s="155">
        <f ca="1"/>
        <v>5.1508982454533059E-2</v>
      </c>
      <c r="V285" s="138">
        <f ca="1"/>
        <v>9.1688476970684163E-2</v>
      </c>
      <c r="W285" s="137">
        <f ca="1"/>
        <v>0</v>
      </c>
      <c r="X285" s="155">
        <f ca="1"/>
        <v>0</v>
      </c>
      <c r="Y285" s="155">
        <f ca="1"/>
        <v>1.7030777895948868E-3</v>
      </c>
      <c r="Z285" s="155">
        <f ca="1"/>
        <v>0</v>
      </c>
      <c r="AA285" s="155">
        <f ca="1"/>
        <v>1.2247372272915391E-2</v>
      </c>
      <c r="AB285" s="155">
        <f ca="1"/>
        <v>0</v>
      </c>
      <c r="AC285" s="155">
        <f ca="1"/>
        <v>2.8889260632168012E-2</v>
      </c>
      <c r="AD285" s="155">
        <f ca="1"/>
        <v>5.2639432394528063E-2</v>
      </c>
      <c r="AE285" s="138">
        <f ca="1"/>
        <v>9.3248116113557433E-2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4">
        <v>5.9999999999999995E-4</v>
      </c>
      <c r="G286" s="154">
        <v>8.0000000000000004E-4</v>
      </c>
      <c r="H286" s="154">
        <v>1.2999999999999999E-3</v>
      </c>
      <c r="I286" s="154">
        <v>1.9E-3</v>
      </c>
      <c r="J286" s="154" t="s">
        <v>87</v>
      </c>
      <c r="K286" s="154">
        <v>3.0999999999999999E-3</v>
      </c>
      <c r="L286" s="154">
        <v>4.0000000000000001E-3</v>
      </c>
      <c r="M286" s="154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55">
        <f ca="1"/>
        <v>5.5804003710946404E-4</v>
      </c>
      <c r="P286" s="155">
        <f ca="1"/>
        <v>1.4208535207560491E-3</v>
      </c>
      <c r="Q286" s="155">
        <f ca="1"/>
        <v>4.5153195104638E-3</v>
      </c>
      <c r="R286" s="155">
        <f ca="1"/>
        <v>9.8469446669855465E-3</v>
      </c>
      <c r="S286" s="155">
        <f ca="1"/>
        <v>0</v>
      </c>
      <c r="T286" s="155">
        <f ca="1"/>
        <v>2.6656912098242835E-2</v>
      </c>
      <c r="U286" s="155">
        <f ca="1"/>
        <v>4.7893743411154599E-2</v>
      </c>
      <c r="V286" s="138">
        <f ca="1"/>
        <v>8.4749626013131407E-2</v>
      </c>
      <c r="W286" s="137">
        <f ca="1"/>
        <v>0</v>
      </c>
      <c r="X286" s="155">
        <f ca="1"/>
        <v>6.5101587709581743E-4</v>
      </c>
      <c r="Y286" s="155">
        <f ca="1"/>
        <v>1.5872695101263323E-3</v>
      </c>
      <c r="Z286" s="155">
        <f ca="1"/>
        <v>4.8470924387247205E-3</v>
      </c>
      <c r="AA286" s="155">
        <f ca="1"/>
        <v>1.0341897446128456E-2</v>
      </c>
      <c r="AB286" s="155">
        <f ca="1"/>
        <v>0</v>
      </c>
      <c r="AC286" s="155">
        <f ca="1"/>
        <v>2.7488440859734231E-2</v>
      </c>
      <c r="AD286" s="155">
        <f ca="1"/>
        <v>4.903133968639084E-2</v>
      </c>
      <c r="AE286" s="138">
        <f ca="1"/>
        <v>8.6306584162311739E-2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4">
        <v>5.0000000000000001E-4</v>
      </c>
      <c r="G287" s="154">
        <v>6.9999999999999999E-4</v>
      </c>
      <c r="H287" s="154">
        <v>1.2999999999999999E-3</v>
      </c>
      <c r="I287" s="154">
        <v>1.6999999999999999E-3</v>
      </c>
      <c r="J287" s="154" t="s">
        <v>87</v>
      </c>
      <c r="K287" s="154">
        <v>2.8999999999999998E-3</v>
      </c>
      <c r="L287" s="154">
        <v>3.8999999999999998E-3</v>
      </c>
      <c r="M287" s="154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55">
        <f ca="1"/>
        <v>4.6505499562699004E-4</v>
      </c>
      <c r="P287" s="155">
        <f ca="1"/>
        <v>1.2437694058637927E-3</v>
      </c>
      <c r="Q287" s="155">
        <f ca="1"/>
        <v>4.521221577604706E-3</v>
      </c>
      <c r="R287" s="155">
        <f ca="1"/>
        <v>8.8013731321676669E-3</v>
      </c>
      <c r="S287" s="155">
        <f ca="1"/>
        <v>0</v>
      </c>
      <c r="T287" s="155">
        <f ca="1"/>
        <v>2.4964090710081432E-2</v>
      </c>
      <c r="U287" s="155">
        <f ca="1"/>
        <v>4.6820371741600586E-2</v>
      </c>
      <c r="V287" s="138">
        <f ca="1"/>
        <v>8.3247426870290964E-2</v>
      </c>
      <c r="W287" s="137">
        <f ca="1"/>
        <v>0</v>
      </c>
      <c r="X287" s="155">
        <f ca="1"/>
        <v>5.5803964578249321E-4</v>
      </c>
      <c r="Y287" s="155">
        <f ca="1"/>
        <v>1.4102149067779512E-3</v>
      </c>
      <c r="Z287" s="155">
        <f ca="1"/>
        <v>4.8529925388567374E-3</v>
      </c>
      <c r="AA287" s="155">
        <f ca="1"/>
        <v>9.2968485664145506E-3</v>
      </c>
      <c r="AB287" s="155">
        <f ca="1"/>
        <v>0</v>
      </c>
      <c r="AC287" s="155">
        <f ca="1"/>
        <v>2.5797007375811143E-2</v>
      </c>
      <c r="AD287" s="155">
        <f ca="1"/>
        <v>4.7959501801794202E-2</v>
      </c>
      <c r="AE287" s="138">
        <f ca="1"/>
        <v>8.4807691507419403E-2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4">
        <v>6.9999999999999999E-4</v>
      </c>
      <c r="G288" s="154">
        <v>8.0000000000000004E-4</v>
      </c>
      <c r="H288" s="154">
        <v>1.2999999999999999E-3</v>
      </c>
      <c r="I288" s="154">
        <v>2E-3</v>
      </c>
      <c r="J288" s="154" t="s">
        <v>87</v>
      </c>
      <c r="K288" s="154">
        <v>3.3E-3</v>
      </c>
      <c r="L288" s="154">
        <v>4.0000000000000001E-3</v>
      </c>
      <c r="M288" s="154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55">
        <f ca="1"/>
        <v>6.5101642887865907E-4</v>
      </c>
      <c r="P288" s="155">
        <f ca="1"/>
        <v>1.4191382420905008E-3</v>
      </c>
      <c r="Q288" s="155">
        <f ca="1"/>
        <v>4.5135659951300866E-3</v>
      </c>
      <c r="R288" s="155">
        <f ca="1"/>
        <v>1.0370796209966837E-2</v>
      </c>
      <c r="S288" s="155">
        <f ca="1"/>
        <v>0</v>
      </c>
      <c r="T288" s="155">
        <f ca="1"/>
        <v>2.8375336834487119E-2</v>
      </c>
      <c r="U288" s="155">
        <f ca="1"/>
        <v>4.7759700751546785E-2</v>
      </c>
      <c r="V288" s="138">
        <f ca="1"/>
        <v>8.2836390508035818E-2</v>
      </c>
      <c r="W288" s="137">
        <f ca="1"/>
        <v>0</v>
      </c>
      <c r="X288" s="155">
        <f ca="1"/>
        <v>7.4398343160742009E-4</v>
      </c>
      <c r="Y288" s="155">
        <f ca="1"/>
        <v>1.58555451730924E-3</v>
      </c>
      <c r="Z288" s="155">
        <f ca="1"/>
        <v>4.8453395078115191E-3</v>
      </c>
      <c r="AA288" s="155">
        <f ca="1"/>
        <v>1.0865487128816631E-2</v>
      </c>
      <c r="AB288" s="155">
        <f ca="1"/>
        <v>0</v>
      </c>
      <c r="AC288" s="155">
        <f ca="1"/>
        <v>2.9205517723868812E-2</v>
      </c>
      <c r="AD288" s="155">
        <f ca="1"/>
        <v>4.8897086271367907E-2</v>
      </c>
      <c r="AE288" s="138">
        <f ca="1"/>
        <v>8.4395912180539989E-2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4" t="s">
        <v>87</v>
      </c>
      <c r="G289" s="154">
        <v>5.5000000000000003E-4</v>
      </c>
      <c r="H289" s="154" t="s">
        <v>87</v>
      </c>
      <c r="I289" s="154">
        <v>1.6999999999999999E-3</v>
      </c>
      <c r="J289" s="154" t="s">
        <v>87</v>
      </c>
      <c r="K289" s="154">
        <v>2.7499999999999998E-3</v>
      </c>
      <c r="L289" s="154">
        <v>3.8999999999999998E-3</v>
      </c>
      <c r="M289" s="154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55">
        <f ca="1"/>
        <v>0</v>
      </c>
      <c r="P289" s="155">
        <f ca="1"/>
        <v>9.7285550999515191E-4</v>
      </c>
      <c r="Q289" s="155">
        <f ca="1"/>
        <v>0</v>
      </c>
      <c r="R289" s="155">
        <f ca="1"/>
        <v>8.8252007694622492E-3</v>
      </c>
      <c r="S289" s="155">
        <f ca="1"/>
        <v>0</v>
      </c>
      <c r="T289" s="155">
        <f ca="1"/>
        <v>2.3947229521821156E-2</v>
      </c>
      <c r="U289" s="155">
        <f ca="1"/>
        <v>4.8087428276361366E-2</v>
      </c>
      <c r="V289" s="138">
        <f ca="1"/>
        <v>8.8196300322705645E-2</v>
      </c>
      <c r="W289" s="137">
        <f ca="1"/>
        <v>0</v>
      </c>
      <c r="X289" s="155">
        <f ca="1"/>
        <v>0</v>
      </c>
      <c r="Y289" s="155">
        <f ca="1"/>
        <v>1.1393461594748633E-3</v>
      </c>
      <c r="Z289" s="155">
        <f ca="1"/>
        <v>0</v>
      </c>
      <c r="AA289" s="155">
        <f ca="1"/>
        <v>9.3206642928377326E-3</v>
      </c>
      <c r="AB289" s="155">
        <f ca="1"/>
        <v>0</v>
      </c>
      <c r="AC289" s="155">
        <f ca="1"/>
        <v>2.476026801744613E-2</v>
      </c>
      <c r="AD289" s="155">
        <f ca="1"/>
        <v>4.9222713606396296E-2</v>
      </c>
      <c r="AE289" s="138">
        <f ca="1"/>
        <v>8.9763838010572972E-2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4">
        <v>6.9999999999999999E-4</v>
      </c>
      <c r="G290" s="154">
        <v>8.9999999999999998E-4</v>
      </c>
      <c r="H290" s="154">
        <v>1.2999999999999999E-3</v>
      </c>
      <c r="I290" s="154">
        <v>1.8E-3</v>
      </c>
      <c r="J290" s="154" t="s">
        <v>87</v>
      </c>
      <c r="K290" s="154">
        <v>2.8999999999999998E-3</v>
      </c>
      <c r="L290" s="154">
        <v>3.5999999999999999E-3</v>
      </c>
      <c r="M290" s="154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55">
        <f ca="1"/>
        <v>6.5101642887865907E-4</v>
      </c>
      <c r="P290" s="155">
        <f ca="1"/>
        <v>1.5979062190856208E-3</v>
      </c>
      <c r="Q290" s="155">
        <f ca="1"/>
        <v>4.5094182902363222E-3</v>
      </c>
      <c r="R290" s="155">
        <f ca="1"/>
        <v>9.3151614986946019E-3</v>
      </c>
      <c r="S290" s="155">
        <f ca="1"/>
        <v>0</v>
      </c>
      <c r="T290" s="155">
        <f ca="1"/>
        <v>2.4928588479043223E-2</v>
      </c>
      <c r="U290" s="155">
        <f ca="1"/>
        <v>4.3073167950879898E-2</v>
      </c>
      <c r="V290" s="138">
        <f ca="1"/>
        <v>7.4624481679075316E-2</v>
      </c>
      <c r="W290" s="137">
        <f ca="1"/>
        <v>0</v>
      </c>
      <c r="X290" s="155">
        <f ca="1"/>
        <v>7.4398343160742009E-4</v>
      </c>
      <c r="Y290" s="155">
        <f ca="1"/>
        <v>1.7642927021199739E-3</v>
      </c>
      <c r="Z290" s="155">
        <f ca="1"/>
        <v>4.8411931852367918E-3</v>
      </c>
      <c r="AA290" s="155">
        <f ca="1"/>
        <v>9.8103801029819637E-3</v>
      </c>
      <c r="AB290" s="155">
        <f ca="1"/>
        <v>0</v>
      </c>
      <c r="AC290" s="155">
        <f ca="1"/>
        <v>2.576141231089335E-2</v>
      </c>
      <c r="AD290" s="155">
        <f ca="1"/>
        <v>4.4215703644047366E-2</v>
      </c>
      <c r="AE290" s="138">
        <f ca="1"/>
        <v>7.6198516494382473E-2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4">
        <v>5.9999999999999995E-4</v>
      </c>
      <c r="G291" s="154">
        <v>6.9999999999999999E-4</v>
      </c>
      <c r="H291" s="154">
        <v>1.1999999999999999E-3</v>
      </c>
      <c r="I291" s="154">
        <v>1.8E-3</v>
      </c>
      <c r="J291" s="154" t="s">
        <v>87</v>
      </c>
      <c r="K291" s="154">
        <v>2.8E-3</v>
      </c>
      <c r="L291" s="154">
        <v>3.5000000000000001E-3</v>
      </c>
      <c r="M291" s="154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55">
        <f ca="1"/>
        <v>5.5804003710946404E-4</v>
      </c>
      <c r="P291" s="155">
        <f ca="1"/>
        <v>1.2420622443276574E-3</v>
      </c>
      <c r="Q291" s="155">
        <f ca="1"/>
        <v>4.1693301398034732E-3</v>
      </c>
      <c r="R291" s="155">
        <f ca="1"/>
        <v>9.3354664940147325E-3</v>
      </c>
      <c r="S291" s="155">
        <f ca="1"/>
        <v>0</v>
      </c>
      <c r="T291" s="155">
        <f ca="1"/>
        <v>2.4076882081163098E-2</v>
      </c>
      <c r="U291" s="155">
        <f ca="1"/>
        <v>4.1910082673322191E-2</v>
      </c>
      <c r="V291" s="138">
        <f ca="1"/>
        <v>7.4805750079061761E-2</v>
      </c>
      <c r="W291" s="137">
        <f ca="1"/>
        <v>0</v>
      </c>
      <c r="X291" s="155">
        <f ca="1"/>
        <v>6.5101587709581743E-4</v>
      </c>
      <c r="Y291" s="155">
        <f ca="1"/>
        <v>1.4085080297483454E-3</v>
      </c>
      <c r="Z291" s="155">
        <f ca="1"/>
        <v>4.5012183786501403E-3</v>
      </c>
      <c r="AA291" s="155">
        <f ca="1"/>
        <v>9.8306749483537681E-3</v>
      </c>
      <c r="AB291" s="155">
        <f ca="1"/>
        <v>0</v>
      </c>
      <c r="AC291" s="155">
        <f ca="1"/>
        <v>2.4910442878768091E-2</v>
      </c>
      <c r="AD291" s="155">
        <f ca="1"/>
        <v>4.3053947953669791E-2</v>
      </c>
      <c r="AE291" s="138">
        <f ca="1"/>
        <v>7.6379726089058186E-2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4" t="s">
        <v>87</v>
      </c>
      <c r="G292" s="154">
        <v>3.1260000000000003E-2</v>
      </c>
      <c r="H292" s="154" t="s">
        <v>87</v>
      </c>
      <c r="I292" s="154">
        <v>2.2712E-2</v>
      </c>
      <c r="J292" s="154" t="s">
        <v>87</v>
      </c>
      <c r="K292" s="154">
        <v>1.9E-2</v>
      </c>
      <c r="L292" s="154">
        <v>1.7339E-2</v>
      </c>
      <c r="M292" s="154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55">
        <f ca="1"/>
        <v>0</v>
      </c>
      <c r="P292" s="155">
        <f ca="1"/>
        <v>5.381656546001079E-2</v>
      </c>
      <c r="Q292" s="155">
        <f ca="1"/>
        <v>0</v>
      </c>
      <c r="R292" s="155">
        <f ca="1"/>
        <v>0.10810634464253865</v>
      </c>
      <c r="S292" s="155">
        <f ca="1"/>
        <v>0</v>
      </c>
      <c r="T292" s="155">
        <f ca="1"/>
        <v>0.143818512358316</v>
      </c>
      <c r="U292" s="155">
        <f ca="1"/>
        <v>0.1772923295976383</v>
      </c>
      <c r="V292" s="138">
        <f ca="1"/>
        <v>0.2294946309736704</v>
      </c>
      <c r="W292" s="137">
        <f ca="1"/>
        <v>0</v>
      </c>
      <c r="X292" s="155">
        <f ca="1"/>
        <v>0</v>
      </c>
      <c r="Y292" s="155">
        <f ca="1"/>
        <v>5.3974249558374265E-2</v>
      </c>
      <c r="Z292" s="155">
        <f ca="1"/>
        <v>0</v>
      </c>
      <c r="AA292" s="155">
        <f ca="1"/>
        <v>0.10855218000210853</v>
      </c>
      <c r="AB292" s="155">
        <f ca="1"/>
        <v>0</v>
      </c>
      <c r="AC292" s="155">
        <f ca="1"/>
        <v>0.14453169972864155</v>
      </c>
      <c r="AD292" s="155">
        <f ca="1"/>
        <v>0.17825159553253411</v>
      </c>
      <c r="AE292" s="138">
        <f ca="1"/>
        <v>0.23077773703663118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4">
        <v>4.5500000000000002E-3</v>
      </c>
      <c r="G293" s="154">
        <v>5.6800000000000002E-3</v>
      </c>
      <c r="H293" s="154">
        <v>7.9500000000000005E-3</v>
      </c>
      <c r="I293" s="154">
        <v>9.8200000000000006E-3</v>
      </c>
      <c r="J293" s="154" t="s">
        <v>87</v>
      </c>
      <c r="K293" s="154">
        <v>1.2500000000000001E-2</v>
      </c>
      <c r="L293" s="154">
        <v>1.2999999999999999E-2</v>
      </c>
      <c r="M293" s="154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55">
        <f ca="1"/>
        <v>4.224042842203235E-3</v>
      </c>
      <c r="P293" s="155">
        <f ca="1"/>
        <v>1.0044118708167571E-2</v>
      </c>
      <c r="Q293" s="155">
        <f ca="1"/>
        <v>2.7302951404295506E-2</v>
      </c>
      <c r="R293" s="155">
        <f ca="1"/>
        <v>4.9850603029470086E-2</v>
      </c>
      <c r="S293" s="155">
        <f ca="1"/>
        <v>0</v>
      </c>
      <c r="T293" s="155">
        <f ca="1"/>
        <v>0.10313906043737686</v>
      </c>
      <c r="U293" s="155">
        <f ca="1"/>
        <v>0.1459088826406385</v>
      </c>
      <c r="V293" s="138">
        <f ca="1"/>
        <v>0.20832121364478173</v>
      </c>
      <c r="W293" s="137">
        <f ca="1"/>
        <v>0</v>
      </c>
      <c r="X293" s="155">
        <f ca="1"/>
        <v>4.3166450610373497E-3</v>
      </c>
      <c r="Y293" s="155">
        <f ca="1"/>
        <v>1.0209097606428963E-2</v>
      </c>
      <c r="Z293" s="155">
        <f ca="1"/>
        <v>2.7627129721113253E-2</v>
      </c>
      <c r="AA293" s="155">
        <f ca="1"/>
        <v>5.0325558979058882E-2</v>
      </c>
      <c r="AB293" s="155">
        <f ca="1"/>
        <v>0</v>
      </c>
      <c r="AC293" s="155">
        <f ca="1"/>
        <v>0.10391248442443923</v>
      </c>
      <c r="AD293" s="155">
        <f ca="1"/>
        <v>0.14690474124707864</v>
      </c>
      <c r="AE293" s="138">
        <f ca="1"/>
        <v>0.20968137580808366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4">
        <v>1.3500000000000001E-3</v>
      </c>
      <c r="G294" s="154">
        <v>2.32E-3</v>
      </c>
      <c r="H294" s="154">
        <v>3.8500000000000001E-3</v>
      </c>
      <c r="I294" s="154">
        <v>5.3400000000000001E-3</v>
      </c>
      <c r="J294" s="154" t="s">
        <v>87</v>
      </c>
      <c r="K294" s="154">
        <v>7.1999999999999998E-3</v>
      </c>
      <c r="L294" s="154">
        <v>8.0000000000000002E-3</v>
      </c>
      <c r="M294" s="154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55">
        <f ca="1"/>
        <v>9.4151191622848796E-4</v>
      </c>
      <c r="P294" s="155">
        <f ca="1"/>
        <v>3.0933617290558324E-3</v>
      </c>
      <c r="Q294" s="155">
        <f ca="1"/>
        <v>1.0015477156326447E-2</v>
      </c>
      <c r="R294" s="155">
        <f ca="1"/>
        <v>2.0661614392923466E-2</v>
      </c>
      <c r="S294" s="155">
        <f ca="1"/>
        <v>0</v>
      </c>
      <c r="T294" s="155">
        <f ca="1"/>
        <v>4.5846605775049398E-2</v>
      </c>
      <c r="U294" s="155">
        <f ca="1"/>
        <v>7.0340900947127083E-2</v>
      </c>
      <c r="V294" s="138">
        <f ca="1"/>
        <v>0.10400480779954602</v>
      </c>
      <c r="W294" s="137">
        <f ca="1"/>
        <v>0</v>
      </c>
      <c r="X294" s="155">
        <f ca="1"/>
        <v>1.011216826012018E-3</v>
      </c>
      <c r="Y294" s="155">
        <f ca="1"/>
        <v>3.2179672708401164E-3</v>
      </c>
      <c r="Z294" s="155">
        <f ca="1"/>
        <v>1.0262942352583959E-2</v>
      </c>
      <c r="AA294" s="155">
        <f ca="1"/>
        <v>2.1028797436386304E-2</v>
      </c>
      <c r="AB294" s="155">
        <f ca="1"/>
        <v>0</v>
      </c>
      <c r="AC294" s="155">
        <f ca="1"/>
        <v>4.6456619590526826E-2</v>
      </c>
      <c r="AD294" s="155">
        <f ca="1"/>
        <v>7.1172256545094847E-2</v>
      </c>
      <c r="AE294" s="138">
        <f ca="1"/>
        <v>0.10514071113016676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4">
        <v>5.6999999999999998E-4</v>
      </c>
      <c r="G295" s="154">
        <v>1.24E-3</v>
      </c>
      <c r="H295" s="154">
        <v>1.9499999999999999E-3</v>
      </c>
      <c r="I295" s="154">
        <v>2.6700000000000001E-3</v>
      </c>
      <c r="J295" s="154" t="s">
        <v>87</v>
      </c>
      <c r="K295" s="154">
        <v>4.0000000000000001E-3</v>
      </c>
      <c r="L295" s="154">
        <v>4.9100000000000003E-3</v>
      </c>
      <c r="M295" s="154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55">
        <f ca="1"/>
        <v>5.3014543294949146E-4</v>
      </c>
      <c r="P295" s="155">
        <f ca="1"/>
        <v>2.2078818473938444E-3</v>
      </c>
      <c r="Q295" s="155">
        <f ca="1"/>
        <v>6.7712909600571303E-3</v>
      </c>
      <c r="R295" s="155">
        <f ca="1"/>
        <v>1.3804868301789175E-2</v>
      </c>
      <c r="S295" s="155">
        <f ca="1"/>
        <v>0</v>
      </c>
      <c r="T295" s="155">
        <f ca="1"/>
        <v>3.4214831874682217E-2</v>
      </c>
      <c r="U295" s="155">
        <f ca="1"/>
        <v>5.8317494291081129E-2</v>
      </c>
      <c r="V295" s="138">
        <f ca="1"/>
        <v>0.10569271779234302</v>
      </c>
      <c r="W295" s="137">
        <f ca="1"/>
        <v>0</v>
      </c>
      <c r="X295" s="155">
        <f ca="1"/>
        <v>6.2312391878127649E-4</v>
      </c>
      <c r="Y295" s="155">
        <f ca="1"/>
        <v>2.3741666762936431E-3</v>
      </c>
      <c r="Z295" s="155">
        <f ca="1"/>
        <v>7.102312023150037E-3</v>
      </c>
      <c r="AA295" s="155">
        <f ca="1"/>
        <v>1.4297842613771317E-2</v>
      </c>
      <c r="AB295" s="155">
        <f ca="1"/>
        <v>0</v>
      </c>
      <c r="AC295" s="155">
        <f ca="1"/>
        <v>3.5039758176980129E-2</v>
      </c>
      <c r="AD295" s="155">
        <f ca="1"/>
        <v>5.9442474471535611E-2</v>
      </c>
      <c r="AE295" s="138">
        <f ca="1"/>
        <v>0.10723162821398569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4" t="s">
        <v>87</v>
      </c>
      <c r="G296" s="154">
        <v>6.4400000000000004E-4</v>
      </c>
      <c r="H296" s="154" t="s">
        <v>87</v>
      </c>
      <c r="I296" s="154">
        <v>2.428E-3</v>
      </c>
      <c r="J296" s="154" t="s">
        <v>87</v>
      </c>
      <c r="K296" s="154">
        <v>3.3500000000000001E-3</v>
      </c>
      <c r="L296" s="154">
        <v>4.3699999999999998E-3</v>
      </c>
      <c r="M296" s="154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55">
        <f ca="1"/>
        <v>0</v>
      </c>
      <c r="P296" s="155">
        <f ca="1"/>
        <v>1.1390313093205817E-3</v>
      </c>
      <c r="Q296" s="155">
        <f ca="1"/>
        <v>0</v>
      </c>
      <c r="R296" s="155">
        <f ca="1"/>
        <v>1.260559988129839E-2</v>
      </c>
      <c r="S296" s="155">
        <f ca="1"/>
        <v>0</v>
      </c>
      <c r="T296" s="155">
        <f ca="1"/>
        <v>2.891808243958105E-2</v>
      </c>
      <c r="U296" s="155">
        <f ca="1"/>
        <v>5.317666844153679E-2</v>
      </c>
      <c r="V296" s="138">
        <f ca="1"/>
        <v>9.2759771617573317E-2</v>
      </c>
      <c r="W296" s="137">
        <f ca="1"/>
        <v>0</v>
      </c>
      <c r="X296" s="155">
        <f ca="1"/>
        <v>0</v>
      </c>
      <c r="Y296" s="155">
        <f ca="1"/>
        <v>1.3054942651321566E-3</v>
      </c>
      <c r="Z296" s="155">
        <f ca="1"/>
        <v>0</v>
      </c>
      <c r="AA296" s="155">
        <f ca="1"/>
        <v>1.3099173677601383E-2</v>
      </c>
      <c r="AB296" s="155">
        <f ca="1"/>
        <v>0</v>
      </c>
      <c r="AC296" s="155">
        <f ca="1"/>
        <v>2.972698028328824E-2</v>
      </c>
      <c r="AD296" s="155">
        <f ca="1"/>
        <v>5.4305032954182431E-2</v>
      </c>
      <c r="AE296" s="138">
        <f ca="1"/>
        <v>9.4317174644833357E-2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4" t="s">
        <v>87</v>
      </c>
      <c r="G297" s="154">
        <v>6.2399999999999999E-4</v>
      </c>
      <c r="H297" s="154" t="s">
        <v>87</v>
      </c>
      <c r="I297" s="154">
        <v>2.0999999999999999E-3</v>
      </c>
      <c r="J297" s="154" t="s">
        <v>87</v>
      </c>
      <c r="K297" s="154">
        <v>2.5999999999999999E-3</v>
      </c>
      <c r="L297" s="154">
        <v>3.5999999999999999E-3</v>
      </c>
      <c r="M297" s="154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55">
        <f ca="1"/>
        <v>0</v>
      </c>
      <c r="P297" s="155">
        <f ca="1"/>
        <v>1.1036770543758623E-3</v>
      </c>
      <c r="Q297" s="155">
        <f ca="1"/>
        <v>0</v>
      </c>
      <c r="R297" s="155">
        <f ca="1"/>
        <v>1.0900593065487074E-2</v>
      </c>
      <c r="S297" s="155">
        <f ca="1"/>
        <v>0</v>
      </c>
      <c r="T297" s="155">
        <f ca="1"/>
        <v>2.236088614752596E-2</v>
      </c>
      <c r="U297" s="155">
        <f ca="1"/>
        <v>4.4056087200933569E-2</v>
      </c>
      <c r="V297" s="138">
        <f ca="1"/>
        <v>8.0933860112893274E-2</v>
      </c>
      <c r="W297" s="137">
        <f ca="1"/>
        <v>0</v>
      </c>
      <c r="X297" s="155">
        <f ca="1"/>
        <v>0</v>
      </c>
      <c r="Y297" s="155">
        <f ca="1"/>
        <v>1.2701459020951766E-3</v>
      </c>
      <c r="Z297" s="155">
        <f ca="1"/>
        <v>0</v>
      </c>
      <c r="AA297" s="155">
        <f ca="1"/>
        <v>1.1395019152143804E-2</v>
      </c>
      <c r="AB297" s="155">
        <f ca="1"/>
        <v>0</v>
      </c>
      <c r="AC297" s="155">
        <f ca="1"/>
        <v>2.3175246045339382E-2</v>
      </c>
      <c r="AD297" s="155">
        <f ca="1"/>
        <v>4.5195077665062366E-2</v>
      </c>
      <c r="AE297" s="138">
        <f ca="1"/>
        <v>8.2464361240848993E-2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4" t="s">
        <v>87</v>
      </c>
      <c r="G298" s="154">
        <v>1.1999999999999999E-3</v>
      </c>
      <c r="H298" s="154" t="s">
        <v>87</v>
      </c>
      <c r="I298" s="154">
        <v>2E-3</v>
      </c>
      <c r="J298" s="154" t="s">
        <v>87</v>
      </c>
      <c r="K298" s="154">
        <v>3.0000000000000001E-3</v>
      </c>
      <c r="L298" s="154">
        <v>4.0000000000000001E-3</v>
      </c>
      <c r="M298" s="154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55">
        <f ca="1"/>
        <v>0</v>
      </c>
      <c r="P298" s="155">
        <f ca="1"/>
        <v>2.1213825879108361E-3</v>
      </c>
      <c r="Q298" s="155">
        <f ca="1"/>
        <v>0</v>
      </c>
      <c r="R298" s="155">
        <f ca="1"/>
        <v>1.0303829793561148E-2</v>
      </c>
      <c r="S298" s="155">
        <f ca="1"/>
        <v>0</v>
      </c>
      <c r="T298" s="155">
        <f ca="1"/>
        <v>2.5941042388508584E-2</v>
      </c>
      <c r="U298" s="155">
        <f ca="1"/>
        <v>4.8869211399791834E-2</v>
      </c>
      <c r="V298" s="138">
        <f ca="1"/>
        <v>9.7205483402653226E-2</v>
      </c>
      <c r="W298" s="137">
        <f ca="1"/>
        <v>0</v>
      </c>
      <c r="X298" s="155">
        <f ca="1"/>
        <v>0</v>
      </c>
      <c r="Y298" s="155">
        <f ca="1"/>
        <v>2.2876818321652115E-3</v>
      </c>
      <c r="Z298" s="155">
        <f ca="1"/>
        <v>0</v>
      </c>
      <c r="AA298" s="155">
        <f ca="1"/>
        <v>1.0798554187243514E-2</v>
      </c>
      <c r="AB298" s="155">
        <f ca="1"/>
        <v>0</v>
      </c>
      <c r="AC298" s="155">
        <f ca="1"/>
        <v>2.6752420065531468E-2</v>
      </c>
      <c r="AD298" s="155">
        <f ca="1"/>
        <v>5.0002873375013079E-2</v>
      </c>
      <c r="AE298" s="138">
        <f ca="1"/>
        <v>9.8761705142591083E-2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4" t="s">
        <v>87</v>
      </c>
      <c r="G299" s="154">
        <v>1.1999999999999999E-3</v>
      </c>
      <c r="H299" s="154" t="s">
        <v>87</v>
      </c>
      <c r="I299" s="154">
        <v>2E-3</v>
      </c>
      <c r="J299" s="154" t="s">
        <v>87</v>
      </c>
      <c r="K299" s="154">
        <v>3.0000000000000001E-3</v>
      </c>
      <c r="L299" s="154">
        <v>4.0000000000000001E-3</v>
      </c>
      <c r="M299" s="154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55">
        <f ca="1"/>
        <v>0</v>
      </c>
      <c r="P299" s="155">
        <f ca="1"/>
        <v>2.1213825879108361E-3</v>
      </c>
      <c r="Q299" s="155">
        <f ca="1"/>
        <v>0</v>
      </c>
      <c r="R299" s="155">
        <f ca="1"/>
        <v>1.0303829793561148E-2</v>
      </c>
      <c r="S299" s="155">
        <f ca="1"/>
        <v>0</v>
      </c>
      <c r="T299" s="155">
        <f ca="1"/>
        <v>2.5941042388508584E-2</v>
      </c>
      <c r="U299" s="155">
        <f ca="1"/>
        <v>4.8869211399791834E-2</v>
      </c>
      <c r="V299" s="138">
        <f ca="1"/>
        <v>9.7205483402653226E-2</v>
      </c>
      <c r="W299" s="137">
        <f ca="1"/>
        <v>0</v>
      </c>
      <c r="X299" s="155">
        <f ca="1"/>
        <v>0</v>
      </c>
      <c r="Y299" s="155">
        <f ca="1"/>
        <v>2.2876818321652115E-3</v>
      </c>
      <c r="Z299" s="155">
        <f ca="1"/>
        <v>0</v>
      </c>
      <c r="AA299" s="155">
        <f ca="1"/>
        <v>1.0798554187243514E-2</v>
      </c>
      <c r="AB299" s="155">
        <f ca="1"/>
        <v>0</v>
      </c>
      <c r="AC299" s="155">
        <f ca="1"/>
        <v>2.6752420065531468E-2</v>
      </c>
      <c r="AD299" s="155">
        <f ca="1"/>
        <v>5.0002873375013079E-2</v>
      </c>
      <c r="AE299" s="138">
        <f ca="1"/>
        <v>9.8761705142591083E-2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4" t="s">
        <v>87</v>
      </c>
      <c r="G300" s="154">
        <v>4.8799999999999999E-4</v>
      </c>
      <c r="H300" s="154" t="s">
        <v>87</v>
      </c>
      <c r="I300" s="154">
        <v>1.9499999999999999E-3</v>
      </c>
      <c r="J300" s="154" t="s">
        <v>87</v>
      </c>
      <c r="K300" s="154">
        <v>2.65E-3</v>
      </c>
      <c r="L300" s="154">
        <v>3.5500000000000002E-3</v>
      </c>
      <c r="M300" s="154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55">
        <f ca="1"/>
        <v>0</v>
      </c>
      <c r="P300" s="155">
        <f ca="1"/>
        <v>8.6323517513620107E-4</v>
      </c>
      <c r="Q300" s="155">
        <f ca="1"/>
        <v>0</v>
      </c>
      <c r="R300" s="155">
        <f ca="1"/>
        <v>1.013689632222059E-2</v>
      </c>
      <c r="S300" s="155">
        <f ca="1"/>
        <v>0</v>
      </c>
      <c r="T300" s="155">
        <f ca="1"/>
        <v>2.2913684692162484E-2</v>
      </c>
      <c r="U300" s="155">
        <f ca="1"/>
        <v>4.3447369534357461E-2</v>
      </c>
      <c r="V300" s="138">
        <f ca="1"/>
        <v>8.0108895664561142E-2</v>
      </c>
      <c r="W300" s="137">
        <f ca="1"/>
        <v>0</v>
      </c>
      <c r="X300" s="155">
        <f ca="1"/>
        <v>0</v>
      </c>
      <c r="Y300" s="155">
        <f ca="1"/>
        <v>1.0297440931393842E-3</v>
      </c>
      <c r="Z300" s="155">
        <f ca="1"/>
        <v>0</v>
      </c>
      <c r="AA300" s="155">
        <f ca="1"/>
        <v>1.0631704161825573E-2</v>
      </c>
      <c r="AB300" s="155">
        <f ca="1"/>
        <v>0</v>
      </c>
      <c r="AC300" s="155">
        <f ca="1"/>
        <v>2.3727584116386202E-2</v>
      </c>
      <c r="AD300" s="155">
        <f ca="1"/>
        <v>4.4587497507200258E-2</v>
      </c>
      <c r="AE300" s="138">
        <f ca="1"/>
        <v>8.164077058810093E-2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4" t="s">
        <v>87</v>
      </c>
      <c r="G301" s="154">
        <v>7.2199999999999999E-4</v>
      </c>
      <c r="H301" s="154" t="s">
        <v>87</v>
      </c>
      <c r="I301" s="154">
        <v>1.7849999999999999E-3</v>
      </c>
      <c r="J301" s="154" t="s">
        <v>87</v>
      </c>
      <c r="K301" s="154">
        <v>2.5500000000000002E-3</v>
      </c>
      <c r="L301" s="154">
        <v>3.4719999999999998E-3</v>
      </c>
      <c r="M301" s="154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55">
        <f ca="1"/>
        <v>0</v>
      </c>
      <c r="P301" s="155">
        <f ca="1"/>
        <v>1.2769010356791233E-3</v>
      </c>
      <c r="Q301" s="155">
        <f ca="1"/>
        <v>0</v>
      </c>
      <c r="R301" s="155">
        <f ca="1"/>
        <v>9.2460589830412054E-3</v>
      </c>
      <c r="S301" s="155">
        <f ca="1"/>
        <v>0</v>
      </c>
      <c r="T301" s="155">
        <f ca="1"/>
        <v>2.2073841671315209E-2</v>
      </c>
      <c r="U301" s="155">
        <f ca="1"/>
        <v>4.2588191362901151E-2</v>
      </c>
      <c r="V301" s="138">
        <f ca="1"/>
        <v>7.6314167103339381E-2</v>
      </c>
      <c r="W301" s="137">
        <f ca="1"/>
        <v>0</v>
      </c>
      <c r="X301" s="155">
        <f ca="1"/>
        <v>0</v>
      </c>
      <c r="Y301" s="155">
        <f ca="1"/>
        <v>1.4433410151181159E-3</v>
      </c>
      <c r="Z301" s="155">
        <f ca="1"/>
        <v>0</v>
      </c>
      <c r="AA301" s="155">
        <f ca="1"/>
        <v>9.7413121299648742E-3</v>
      </c>
      <c r="AB301" s="155">
        <f ca="1"/>
        <v>0</v>
      </c>
      <c r="AC301" s="155">
        <f ca="1"/>
        <v>2.2888440673170418E-2</v>
      </c>
      <c r="AD301" s="155">
        <f ca="1"/>
        <v>4.3729426784822056E-2</v>
      </c>
      <c r="AE301" s="138">
        <f ca="1"/>
        <v>7.7878107828733611E-2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4">
        <v>5.9999999999999995E-4</v>
      </c>
      <c r="G302" s="154">
        <v>5.9999999999999995E-4</v>
      </c>
      <c r="H302" s="154">
        <v>1.1999999999999999E-3</v>
      </c>
      <c r="I302" s="154">
        <v>1.8E-3</v>
      </c>
      <c r="J302" s="154" t="s">
        <v>87</v>
      </c>
      <c r="K302" s="154">
        <v>2.8999999999999998E-3</v>
      </c>
      <c r="L302" s="154">
        <v>3.5000000000000001E-3</v>
      </c>
      <c r="M302" s="154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55">
        <f ca="1"/>
        <v>5.5804003710946404E-4</v>
      </c>
      <c r="P302" s="155">
        <f ca="1"/>
        <v>1.0632559145480336E-3</v>
      </c>
      <c r="Q302" s="155">
        <f ca="1"/>
        <v>4.173456185380009E-3</v>
      </c>
      <c r="R302" s="155">
        <f ca="1"/>
        <v>9.3397154316026132E-3</v>
      </c>
      <c r="S302" s="155">
        <f ca="1"/>
        <v>0</v>
      </c>
      <c r="T302" s="155">
        <f ca="1"/>
        <v>2.4954414041776674E-2</v>
      </c>
      <c r="U302" s="155">
        <f ca="1"/>
        <v>4.1861928239815049E-2</v>
      </c>
      <c r="V302" s="138">
        <f ca="1"/>
        <v>7.6539996554242373E-2</v>
      </c>
      <c r="W302" s="137">
        <f ca="1"/>
        <v>0</v>
      </c>
      <c r="X302" s="155">
        <f ca="1"/>
        <v>6.5101587709581743E-4</v>
      </c>
      <c r="Y302" s="155">
        <f ca="1"/>
        <v>1.2297314985548757E-3</v>
      </c>
      <c r="Z302" s="155">
        <f ca="1"/>
        <v>4.5053430491142077E-3</v>
      </c>
      <c r="AA302" s="155">
        <f ca="1"/>
        <v>9.8349217619961848E-3</v>
      </c>
      <c r="AB302" s="155">
        <f ca="1"/>
        <v>0</v>
      </c>
      <c r="AC302" s="155">
        <f ca="1"/>
        <v>2.5787361126156427E-2</v>
      </c>
      <c r="AD302" s="155">
        <f ca="1"/>
        <v>4.3005728432348622E-2</v>
      </c>
      <c r="AE302" s="138">
        <f ca="1"/>
        <v>7.8110735288046795E-2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4" t="s">
        <v>87</v>
      </c>
      <c r="G303" s="154">
        <v>6.5200000000000002E-4</v>
      </c>
      <c r="H303" s="154" t="s">
        <v>87</v>
      </c>
      <c r="I303" s="154">
        <v>1.8649999999999999E-3</v>
      </c>
      <c r="J303" s="154" t="s">
        <v>87</v>
      </c>
      <c r="K303" s="154">
        <v>2.7000000000000001E-3</v>
      </c>
      <c r="L303" s="154">
        <v>3.3869999999999998E-3</v>
      </c>
      <c r="M303" s="154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55">
        <f ca="1"/>
        <v>0</v>
      </c>
      <c r="P303" s="155">
        <f ca="1"/>
        <v>1.1531726634717021E-3</v>
      </c>
      <c r="Q303" s="155">
        <f ca="1"/>
        <v>0</v>
      </c>
      <c r="R303" s="155">
        <f ca="1"/>
        <v>9.672302197242244E-3</v>
      </c>
      <c r="S303" s="155">
        <f ca="1"/>
        <v>0</v>
      </c>
      <c r="T303" s="155">
        <f ca="1"/>
        <v>2.3390089252058655E-2</v>
      </c>
      <c r="U303" s="155">
        <f ca="1"/>
        <v>4.1269885471260093E-2</v>
      </c>
      <c r="V303" s="138">
        <f ca="1"/>
        <v>7.0091166948723638E-2</v>
      </c>
      <c r="W303" s="137">
        <f ca="1"/>
        <v>0</v>
      </c>
      <c r="X303" s="155">
        <f ca="1"/>
        <v>0</v>
      </c>
      <c r="Y303" s="155">
        <f ca="1"/>
        <v>1.3196332626037588E-3</v>
      </c>
      <c r="Z303" s="155">
        <f ca="1"/>
        <v>0</v>
      </c>
      <c r="AA303" s="155">
        <f ca="1"/>
        <v>1.0167342275792191E-2</v>
      </c>
      <c r="AB303" s="155">
        <f ca="1"/>
        <v>0</v>
      </c>
      <c r="AC303" s="155">
        <f ca="1"/>
        <v>2.4203591837851368E-2</v>
      </c>
      <c r="AD303" s="155">
        <f ca="1"/>
        <v>4.2412529451669401E-2</v>
      </c>
      <c r="AE303" s="138">
        <f ca="1"/>
        <v>7.1666369350667725E-2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4">
        <v>5.0000000000000001E-4</v>
      </c>
      <c r="G304" s="154">
        <v>5.0000000000000001E-4</v>
      </c>
      <c r="H304" s="154">
        <v>1E-3</v>
      </c>
      <c r="I304" s="154">
        <v>1.5E-3</v>
      </c>
      <c r="J304" s="154" t="s">
        <v>87</v>
      </c>
      <c r="K304" s="154">
        <v>2.5999999999999999E-3</v>
      </c>
      <c r="L304" s="154">
        <v>3.3E-3</v>
      </c>
      <c r="M304" s="154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55">
        <f ca="1"/>
        <v>4.6505499562699004E-4</v>
      </c>
      <c r="P304" s="155">
        <f ca="1"/>
        <v>8.861251903584666E-4</v>
      </c>
      <c r="Q304" s="155">
        <f ca="1"/>
        <v>3.4787715587528689E-3</v>
      </c>
      <c r="R304" s="155">
        <f ca="1"/>
        <v>7.7872828408175332E-3</v>
      </c>
      <c r="S304" s="155">
        <f ca="1"/>
        <v>0</v>
      </c>
      <c r="T304" s="155">
        <f ca="1"/>
        <v>2.2428759582483582E-2</v>
      </c>
      <c r="U304" s="155">
        <f ca="1"/>
        <v>3.963882963553822E-2</v>
      </c>
      <c r="V304" s="138">
        <f ca="1"/>
        <v>6.8076498981748057E-2</v>
      </c>
      <c r="W304" s="137">
        <f ca="1"/>
        <v>0</v>
      </c>
      <c r="X304" s="155">
        <f ca="1"/>
        <v>5.5803964578249321E-4</v>
      </c>
      <c r="Y304" s="155">
        <f ca="1"/>
        <v>1.0526302936837428E-3</v>
      </c>
      <c r="Z304" s="155">
        <f ca="1"/>
        <v>3.8108899454333267E-3</v>
      </c>
      <c r="AA304" s="155">
        <f ca="1"/>
        <v>8.2832651934726664E-3</v>
      </c>
      <c r="AB304" s="155">
        <f ca="1"/>
        <v>0</v>
      </c>
      <c r="AC304" s="155">
        <f ca="1"/>
        <v>2.3263866945558487E-2</v>
      </c>
      <c r="AD304" s="155">
        <f ca="1"/>
        <v>4.0785645914718116E-2</v>
      </c>
      <c r="AE304" s="138">
        <f ca="1"/>
        <v>6.9662329021351943E-2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4">
        <v>4.0000000000000002E-4</v>
      </c>
      <c r="G305" s="154">
        <v>5.9999999999999995E-4</v>
      </c>
      <c r="H305" s="154">
        <v>1.1000000000000001E-3</v>
      </c>
      <c r="I305" s="154">
        <v>1.4E-3</v>
      </c>
      <c r="J305" s="154" t="s">
        <v>87</v>
      </c>
      <c r="K305" s="154">
        <v>2.3999999999999998E-3</v>
      </c>
      <c r="L305" s="154">
        <v>3.2000000000000002E-3</v>
      </c>
      <c r="M305" s="154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55">
        <f ca="1"/>
        <v>3.7206130320088793E-4</v>
      </c>
      <c r="P305" s="155">
        <f ca="1"/>
        <v>1.0666538687098548E-3</v>
      </c>
      <c r="Q305" s="155">
        <f ca="1"/>
        <v>3.8267133109989304E-3</v>
      </c>
      <c r="R305" s="155">
        <f ca="1"/>
        <v>7.2487424370544229E-3</v>
      </c>
      <c r="S305" s="155">
        <f ca="1"/>
        <v>0</v>
      </c>
      <c r="T305" s="155">
        <f ca="1"/>
        <v>2.0688841020566229E-2</v>
      </c>
      <c r="U305" s="155">
        <f ca="1"/>
        <v>3.8512002157575553E-2</v>
      </c>
      <c r="V305" s="138">
        <f ca="1"/>
        <v>7.0086629841653258E-2</v>
      </c>
      <c r="W305" s="137">
        <f ca="1"/>
        <v>0</v>
      </c>
      <c r="X305" s="155">
        <f ca="1"/>
        <v>4.6505473678803977E-4</v>
      </c>
      <c r="Y305" s="155">
        <f ca="1"/>
        <v>1.2331288864307899E-3</v>
      </c>
      <c r="Z305" s="155">
        <f ca="1"/>
        <v>4.1587157364167959E-3</v>
      </c>
      <c r="AA305" s="155">
        <f ca="1"/>
        <v>7.7449939925885447E-3</v>
      </c>
      <c r="AB305" s="155">
        <f ca="1"/>
        <v>0</v>
      </c>
      <c r="AC305" s="155">
        <f ca="1"/>
        <v>2.1525175208548242E-2</v>
      </c>
      <c r="AD305" s="155">
        <f ca="1"/>
        <v>3.9660193717238057E-2</v>
      </c>
      <c r="AE305" s="138">
        <f ca="1"/>
        <v>7.1669793956006811E-2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4" t="s">
        <v>87</v>
      </c>
      <c r="G306" s="154">
        <v>3.8699999999999997E-4</v>
      </c>
      <c r="H306" s="154" t="s">
        <v>87</v>
      </c>
      <c r="I306" s="154">
        <v>1.2999999999999999E-3</v>
      </c>
      <c r="J306" s="154" t="s">
        <v>87</v>
      </c>
      <c r="K306" s="154">
        <v>2E-3</v>
      </c>
      <c r="L306" s="154">
        <v>3.0999999999999999E-3</v>
      </c>
      <c r="M306" s="154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55">
        <f ca="1"/>
        <v>0</v>
      </c>
      <c r="P306" s="155">
        <f ca="1"/>
        <v>6.8463454104694677E-4</v>
      </c>
      <c r="Q306" s="155">
        <f ca="1"/>
        <v>0</v>
      </c>
      <c r="R306" s="155">
        <f ca="1"/>
        <v>6.7582326122218594E-3</v>
      </c>
      <c r="S306" s="155">
        <f ca="1"/>
        <v>0</v>
      </c>
      <c r="T306" s="155">
        <f ca="1"/>
        <v>1.7422205592084516E-2</v>
      </c>
      <c r="U306" s="155">
        <f ca="1"/>
        <v>3.8580561505994759E-2</v>
      </c>
      <c r="V306" s="138">
        <f ca="1"/>
        <v>6.3393703432245596E-2</v>
      </c>
      <c r="W306" s="137">
        <f ca="1"/>
        <v>0</v>
      </c>
      <c r="X306" s="155">
        <f ca="1"/>
        <v>0</v>
      </c>
      <c r="Y306" s="155">
        <f ca="1"/>
        <v>8.5117322333194689E-4</v>
      </c>
      <c r="Z306" s="155">
        <f ca="1"/>
        <v>0</v>
      </c>
      <c r="AA306" s="155">
        <f ca="1"/>
        <v>7.2547293613595132E-3</v>
      </c>
      <c r="AB306" s="155">
        <f ca="1"/>
        <v>0</v>
      </c>
      <c r="AC306" s="155">
        <f ca="1"/>
        <v>1.8240679342643284E-2</v>
      </c>
      <c r="AD306" s="155">
        <f ca="1"/>
        <v>3.9727131048201025E-2</v>
      </c>
      <c r="AE306" s="138">
        <f ca="1"/>
        <v>6.4984067693823921E-2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4">
        <v>4.0000000000000002E-4</v>
      </c>
      <c r="G307" s="154">
        <v>8.9999999999999998E-4</v>
      </c>
      <c r="H307" s="154">
        <v>1.4E-3</v>
      </c>
      <c r="I307" s="154">
        <v>1.6999999999999999E-3</v>
      </c>
      <c r="J307" s="154" t="s">
        <v>87</v>
      </c>
      <c r="K307" s="154">
        <v>2.5000000000000001E-3</v>
      </c>
      <c r="L307" s="154">
        <v>2.8999999999999998E-3</v>
      </c>
      <c r="M307" s="154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55">
        <f ca="1"/>
        <v>3.7206130320088793E-4</v>
      </c>
      <c r="P307" s="155">
        <f ca="1"/>
        <v>1.6030771977488811E-3</v>
      </c>
      <c r="Q307" s="155">
        <f ca="1"/>
        <v>4.8647287890087876E-3</v>
      </c>
      <c r="R307" s="155">
        <f ca="1"/>
        <v>8.7847450422715578E-3</v>
      </c>
      <c r="S307" s="155">
        <f ca="1"/>
        <v>0</v>
      </c>
      <c r="T307" s="155">
        <f ca="1"/>
        <v>2.1452464614187705E-2</v>
      </c>
      <c r="U307" s="155">
        <f ca="1"/>
        <v>3.4622944339471551E-2</v>
      </c>
      <c r="V307" s="138">
        <f ca="1"/>
        <v>5.7667098019783647E-2</v>
      </c>
      <c r="W307" s="137">
        <f ca="1"/>
        <v>0</v>
      </c>
      <c r="X307" s="155">
        <f ca="1"/>
        <v>4.6505473678803977E-4</v>
      </c>
      <c r="Y307" s="155">
        <f ca="1"/>
        <v>1.7694628190280115E-3</v>
      </c>
      <c r="Z307" s="155">
        <f ca="1"/>
        <v>5.1963852669225652E-3</v>
      </c>
      <c r="AA307" s="155">
        <f ca="1"/>
        <v>9.2802287884720114E-3</v>
      </c>
      <c r="AB307" s="155">
        <f ca="1"/>
        <v>0</v>
      </c>
      <c r="AC307" s="155">
        <f ca="1"/>
        <v>2.2287800982086381E-2</v>
      </c>
      <c r="AD307" s="155">
        <f ca="1"/>
        <v>3.5773845959844786E-2</v>
      </c>
      <c r="AE307" s="138">
        <f ca="1"/>
        <v>5.9268342870375856E-2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4">
        <v>5.0000000000000001E-4</v>
      </c>
      <c r="G308" s="154">
        <v>6.9999999999999999E-4</v>
      </c>
      <c r="H308" s="154">
        <v>1.1000000000000001E-3</v>
      </c>
      <c r="I308" s="154">
        <v>1.6000000000000001E-3</v>
      </c>
      <c r="J308" s="154" t="s">
        <v>87</v>
      </c>
      <c r="K308" s="154">
        <v>2.3E-3</v>
      </c>
      <c r="L308" s="154">
        <v>2.8999999999999998E-3</v>
      </c>
      <c r="M308" s="154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55">
        <f ca="1"/>
        <v>4.6505499562699004E-4</v>
      </c>
      <c r="P308" s="155">
        <f ca="1"/>
        <v>1.2437694058637927E-3</v>
      </c>
      <c r="Q308" s="155">
        <f ca="1"/>
        <v>3.8208714895480167E-3</v>
      </c>
      <c r="R308" s="155">
        <f ca="1"/>
        <v>8.2952265556373028E-3</v>
      </c>
      <c r="S308" s="155">
        <f ca="1"/>
        <v>0</v>
      </c>
      <c r="T308" s="155">
        <f ca="1"/>
        <v>1.9763372215437891E-2</v>
      </c>
      <c r="U308" s="155">
        <f ca="1"/>
        <v>3.4786073715067922E-2</v>
      </c>
      <c r="V308" s="138">
        <f ca="1"/>
        <v>6.3222304132099949E-2</v>
      </c>
      <c r="W308" s="137">
        <f ca="1"/>
        <v>0</v>
      </c>
      <c r="X308" s="155">
        <f ca="1"/>
        <v>5.5803964578249321E-4</v>
      </c>
      <c r="Y308" s="155">
        <f ca="1"/>
        <v>1.4102149067779512E-3</v>
      </c>
      <c r="Z308" s="155">
        <f ca="1"/>
        <v>4.1528758618992745E-3</v>
      </c>
      <c r="AA308" s="155">
        <f ca="1"/>
        <v>8.7909549999354297E-3</v>
      </c>
      <c r="AB308" s="155">
        <f ca="1"/>
        <v>0</v>
      </c>
      <c r="AC308" s="155">
        <f ca="1"/>
        <v>2.0600172265770489E-2</v>
      </c>
      <c r="AD308" s="155">
        <f ca="1"/>
        <v>3.5937517791274964E-2</v>
      </c>
      <c r="AE308" s="138">
        <f ca="1"/>
        <v>6.4816118055428418E-2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4">
        <v>4.0000000000000002E-4</v>
      </c>
      <c r="G309" s="154">
        <v>5.0000000000000001E-4</v>
      </c>
      <c r="H309" s="154">
        <v>8.9999999999999998E-4</v>
      </c>
      <c r="I309" s="154">
        <v>1.4E-3</v>
      </c>
      <c r="J309" s="154" t="s">
        <v>87</v>
      </c>
      <c r="K309" s="154">
        <v>2.0999999999999999E-3</v>
      </c>
      <c r="L309" s="154">
        <v>2.8E-3</v>
      </c>
      <c r="M309" s="154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55">
        <f ca="1"/>
        <v>3.7206130320088793E-4</v>
      </c>
      <c r="P309" s="155">
        <f ca="1"/>
        <v>8.8781598165987852E-4</v>
      </c>
      <c r="Q309" s="155">
        <f ca="1"/>
        <v>3.1301268310327535E-3</v>
      </c>
      <c r="R309" s="155">
        <f ca="1"/>
        <v>7.2724826580529145E-3</v>
      </c>
      <c r="S309" s="155">
        <f ca="1"/>
        <v>0</v>
      </c>
      <c r="T309" s="155">
        <f ca="1"/>
        <v>1.808710280114223E-2</v>
      </c>
      <c r="U309" s="155">
        <f ca="1"/>
        <v>3.3721573407367256E-2</v>
      </c>
      <c r="V309" s="138">
        <f ca="1"/>
        <v>5.8113411354725586E-2</v>
      </c>
      <c r="W309" s="137">
        <f ca="1"/>
        <v>0</v>
      </c>
      <c r="X309" s="155">
        <f ca="1"/>
        <v>4.6505473678803977E-4</v>
      </c>
      <c r="Y309" s="155">
        <f ca="1"/>
        <v>1.0543208032058882E-3</v>
      </c>
      <c r="Z309" s="155">
        <f ca="1"/>
        <v>3.4623614132652802E-3</v>
      </c>
      <c r="AA309" s="155">
        <f ca="1"/>
        <v>7.7687223464607547E-3</v>
      </c>
      <c r="AB309" s="155">
        <f ca="1"/>
        <v>0</v>
      </c>
      <c r="AC309" s="155">
        <f ca="1"/>
        <v>1.8925381118487183E-2</v>
      </c>
      <c r="AD309" s="155">
        <f ca="1"/>
        <v>3.4874733367778576E-2</v>
      </c>
      <c r="AE309" s="138">
        <f ca="1"/>
        <v>5.9716054639715632E-2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4">
        <v>5.0000000000000001E-4</v>
      </c>
      <c r="G310" s="154">
        <v>5.9999999999999995E-4</v>
      </c>
      <c r="H310" s="154">
        <v>1.1999999999999999E-3</v>
      </c>
      <c r="I310" s="154">
        <v>1.6000000000000001E-3</v>
      </c>
      <c r="J310" s="154" t="s">
        <v>87</v>
      </c>
      <c r="K310" s="154">
        <v>2.3E-3</v>
      </c>
      <c r="L310" s="154">
        <v>2.7000000000000001E-3</v>
      </c>
      <c r="M310" s="154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55">
        <f ca="1"/>
        <v>4.6505499562699004E-4</v>
      </c>
      <c r="P310" s="155">
        <f ca="1"/>
        <v>1.0649548260907027E-3</v>
      </c>
      <c r="Q310" s="155">
        <f ca="1"/>
        <v>4.1752021605023781E-3</v>
      </c>
      <c r="R310" s="155">
        <f ca="1"/>
        <v>8.2895278700093611E-3</v>
      </c>
      <c r="S310" s="155">
        <f ca="1"/>
        <v>0</v>
      </c>
      <c r="T310" s="155">
        <f ca="1"/>
        <v>1.9757460155239825E-2</v>
      </c>
      <c r="U310" s="155">
        <f ca="1"/>
        <v>3.2294364936979347E-2</v>
      </c>
      <c r="V310" s="138">
        <f ca="1"/>
        <v>5.6226556329444954E-2</v>
      </c>
      <c r="W310" s="137">
        <f ca="1"/>
        <v>0</v>
      </c>
      <c r="X310" s="155">
        <f ca="1"/>
        <v>5.5803964578249321E-4</v>
      </c>
      <c r="Y310" s="155">
        <f ca="1"/>
        <v>1.2314301269625849E-3</v>
      </c>
      <c r="Z310" s="155">
        <f ca="1"/>
        <v>4.5070884423187296E-3</v>
      </c>
      <c r="AA310" s="155">
        <f ca="1"/>
        <v>8.7852591629286048E-3</v>
      </c>
      <c r="AB310" s="155">
        <f ca="1"/>
        <v>0</v>
      </c>
      <c r="AC310" s="155">
        <f ca="1"/>
        <v>2.0594227062585291E-2</v>
      </c>
      <c r="AD310" s="155">
        <f ca="1"/>
        <v>3.3447969949576883E-2</v>
      </c>
      <c r="AE310" s="138">
        <f ca="1"/>
        <v>5.7830914896271235E-2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4">
        <v>2.9999999999999997E-4</v>
      </c>
      <c r="G311" s="154">
        <v>5.0000000000000001E-4</v>
      </c>
      <c r="H311" s="154">
        <v>8.9999999999999998E-4</v>
      </c>
      <c r="I311" s="154">
        <v>1.2999999999999999E-3</v>
      </c>
      <c r="J311" s="154" t="s">
        <v>87</v>
      </c>
      <c r="K311" s="154">
        <v>2.0999999999999999E-3</v>
      </c>
      <c r="L311" s="154">
        <v>2.7000000000000001E-3</v>
      </c>
      <c r="M311" s="154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55">
        <f ca="1"/>
        <v>2.7905895862256891E-4</v>
      </c>
      <c r="P311" s="155">
        <f ca="1"/>
        <v>8.8950690353517547E-4</v>
      </c>
      <c r="Q311" s="155">
        <f ca="1"/>
        <v>3.1318488539382461E-3</v>
      </c>
      <c r="R311" s="155">
        <f ca="1"/>
        <v>6.7477296865081637E-3</v>
      </c>
      <c r="S311" s="155">
        <f ca="1"/>
        <v>0</v>
      </c>
      <c r="T311" s="155">
        <f ca="1"/>
        <v>1.8110742472247976E-2</v>
      </c>
      <c r="U311" s="155">
        <f ca="1"/>
        <v>3.2501751559077974E-2</v>
      </c>
      <c r="V311" s="138">
        <f ca="1"/>
        <v>5.8238461602633129E-2</v>
      </c>
      <c r="W311" s="137">
        <f ca="1"/>
        <v>0</v>
      </c>
      <c r="X311" s="155">
        <f ca="1"/>
        <v>3.7206114936716439E-4</v>
      </c>
      <c r="Y311" s="155">
        <f ca="1"/>
        <v>1.0560114432898171E-3</v>
      </c>
      <c r="Z311" s="155">
        <f ca="1"/>
        <v>3.4640828622398701E-3</v>
      </c>
      <c r="AA311" s="155">
        <f ca="1"/>
        <v>7.2442316858342126E-3</v>
      </c>
      <c r="AB311" s="155">
        <f ca="1"/>
        <v>0</v>
      </c>
      <c r="AC311" s="155">
        <f ca="1"/>
        <v>1.8949093377563342E-2</v>
      </c>
      <c r="AD311" s="155">
        <f ca="1"/>
        <v>3.3656143872612732E-2</v>
      </c>
      <c r="AE311" s="138">
        <f ca="1"/>
        <v>5.9841058630086263E-2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4">
        <v>9.5600000000000008E-3</v>
      </c>
      <c r="G312" s="154">
        <v>9.5600000000000008E-3</v>
      </c>
      <c r="H312" s="154">
        <v>9.2700000000000005E-3</v>
      </c>
      <c r="I312" s="154">
        <v>9.0799999999999995E-3</v>
      </c>
      <c r="J312" s="154" t="s">
        <v>87</v>
      </c>
      <c r="K312" s="154">
        <v>8.6E-3</v>
      </c>
      <c r="L312" s="154">
        <v>8.6E-3</v>
      </c>
      <c r="M312" s="154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55">
        <f ca="1"/>
        <v>8.8388310322707886E-3</v>
      </c>
      <c r="P312" s="155">
        <f ca="1"/>
        <v>1.6775829591887281E-2</v>
      </c>
      <c r="Q312" s="155">
        <f ca="1"/>
        <v>3.1424842565262345E-2</v>
      </c>
      <c r="R312" s="155">
        <f ca="1"/>
        <v>4.5382213630185464E-2</v>
      </c>
      <c r="S312" s="155">
        <f ca="1"/>
        <v>0</v>
      </c>
      <c r="T312" s="155">
        <f ca="1"/>
        <v>6.9905546882049974E-2</v>
      </c>
      <c r="U312" s="155">
        <f ca="1"/>
        <v>9.6359371732344434E-2</v>
      </c>
      <c r="V312" s="138">
        <f ca="1"/>
        <v>0.13467684828499726</v>
      </c>
      <c r="W312" s="137">
        <f ca="1"/>
        <v>0</v>
      </c>
      <c r="X312" s="155">
        <f ca="1"/>
        <v>8.9306596807289251E-3</v>
      </c>
      <c r="Y312" s="155">
        <f ca="1"/>
        <v>1.6939686631813777E-2</v>
      </c>
      <c r="Z312" s="155">
        <f ca="1"/>
        <v>3.1747647147328584E-2</v>
      </c>
      <c r="AA312" s="155">
        <f ca="1"/>
        <v>4.585940321601889E-2</v>
      </c>
      <c r="AB312" s="155">
        <f ca="1"/>
        <v>0</v>
      </c>
      <c r="AC312" s="155">
        <f ca="1"/>
        <v>7.0680302733196032E-2</v>
      </c>
      <c r="AD312" s="155">
        <f ca="1"/>
        <v>9.7413004393463343E-2</v>
      </c>
      <c r="AE312" s="138">
        <f ca="1"/>
        <v>0.13611785236753748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4">
        <v>2.2499999999999998E-3</v>
      </c>
      <c r="G313" s="154">
        <v>3.0000000000000001E-3</v>
      </c>
      <c r="H313" s="154">
        <v>4.4999999999999997E-3</v>
      </c>
      <c r="I313" s="154">
        <v>5.5900000000000004E-3</v>
      </c>
      <c r="J313" s="154" t="s">
        <v>87</v>
      </c>
      <c r="K313" s="154">
        <v>7.4999999999999997E-3</v>
      </c>
      <c r="L313" s="154">
        <v>8.2000000000000007E-3</v>
      </c>
      <c r="M313" s="154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55">
        <f ca="1"/>
        <v>1.5686941041033187E-3</v>
      </c>
      <c r="P313" s="155">
        <f ca="1"/>
        <v>3.991690657546787E-3</v>
      </c>
      <c r="Q313" s="155">
        <f ca="1"/>
        <v>1.1679294471384272E-2</v>
      </c>
      <c r="R313" s="155">
        <f ca="1"/>
        <v>2.1548425028256823E-2</v>
      </c>
      <c r="S313" s="155">
        <f ca="1"/>
        <v>0</v>
      </c>
      <c r="T313" s="155">
        <f ca="1"/>
        <v>4.7637494068691666E-2</v>
      </c>
      <c r="U313" s="155">
        <f ca="1"/>
        <v>7.1883442232533734E-2</v>
      </c>
      <c r="V313" s="138">
        <f ca="1"/>
        <v>0.10943562550120078</v>
      </c>
      <c r="W313" s="137">
        <f ca="1"/>
        <v>0</v>
      </c>
      <c r="X313" s="155">
        <f ca="1"/>
        <v>1.6383526366819945E-3</v>
      </c>
      <c r="Y313" s="155">
        <f ca="1"/>
        <v>4.1161839152189517E-3</v>
      </c>
      <c r="Z313" s="155">
        <f ca="1"/>
        <v>1.1926343765301328E-2</v>
      </c>
      <c r="AA313" s="155">
        <f ca="1"/>
        <v>2.1915275580075777E-2</v>
      </c>
      <c r="AB313" s="155">
        <f ca="1"/>
        <v>0</v>
      </c>
      <c r="AC313" s="155">
        <f ca="1"/>
        <v>4.8232534665309967E-2</v>
      </c>
      <c r="AD313" s="155">
        <f ca="1"/>
        <v>7.2713942984618196E-2</v>
      </c>
      <c r="AE313" s="138">
        <f ca="1"/>
        <v>0.11056364273952723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4" t="s">
        <v>87</v>
      </c>
      <c r="G314" s="154">
        <v>2E-3</v>
      </c>
      <c r="H314" s="154" t="s">
        <v>87</v>
      </c>
      <c r="I314" s="154">
        <v>3.5000000000000001E-3</v>
      </c>
      <c r="J314" s="154" t="s">
        <v>87</v>
      </c>
      <c r="K314" s="154">
        <v>4.4999999999999997E-3</v>
      </c>
      <c r="L314" s="154">
        <v>5.4999999999999997E-3</v>
      </c>
      <c r="M314" s="154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55">
        <f ca="1"/>
        <v>0</v>
      </c>
      <c r="P314" s="155">
        <f ca="1"/>
        <v>3.5331561876147388E-3</v>
      </c>
      <c r="Q314" s="155">
        <f ca="1"/>
        <v>0</v>
      </c>
      <c r="R314" s="155">
        <f ca="1"/>
        <v>1.7986605596824967E-2</v>
      </c>
      <c r="S314" s="155">
        <f ca="1"/>
        <v>0</v>
      </c>
      <c r="T314" s="155">
        <f ca="1"/>
        <v>3.8400796339108756E-2</v>
      </c>
      <c r="U314" s="155">
        <f ca="1"/>
        <v>6.5844168905297651E-2</v>
      </c>
      <c r="V314" s="138">
        <f ca="1"/>
        <v>0.11067780241428482</v>
      </c>
      <c r="W314" s="137">
        <f ca="1"/>
        <v>0</v>
      </c>
      <c r="X314" s="155">
        <f ca="1"/>
        <v>0</v>
      </c>
      <c r="Y314" s="155">
        <f ca="1"/>
        <v>3.69922015586166E-3</v>
      </c>
      <c r="Z314" s="155">
        <f ca="1"/>
        <v>0</v>
      </c>
      <c r="AA314" s="155">
        <f ca="1"/>
        <v>1.8477489562816363E-2</v>
      </c>
      <c r="AB314" s="155">
        <f ca="1"/>
        <v>0</v>
      </c>
      <c r="AC314" s="155">
        <f ca="1"/>
        <v>3.9201795212966295E-2</v>
      </c>
      <c r="AD314" s="155">
        <f ca="1"/>
        <v>6.6955537358931894E-2</v>
      </c>
      <c r="AE314" s="138">
        <f ca="1"/>
        <v>0.11220554766783497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4">
        <v>1.1999999999999999E-3</v>
      </c>
      <c r="G315" s="154">
        <v>1.6000000000000001E-3</v>
      </c>
      <c r="H315" s="154">
        <v>2E-3</v>
      </c>
      <c r="I315" s="154">
        <v>2.8E-3</v>
      </c>
      <c r="J315" s="154">
        <v>3.3999999999999998E-3</v>
      </c>
      <c r="K315" s="154">
        <v>4.0000000000000001E-3</v>
      </c>
      <c r="L315" s="154">
        <v>5.4000000000000003E-3</v>
      </c>
      <c r="M315" s="154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4.552242007782592E-4</v>
      </c>
      <c r="O315" s="155">
        <f ca="1"/>
        <v>8.3544458725770543E-4</v>
      </c>
      <c r="P315" s="155">
        <f ca="1"/>
        <v>2.1283168625521043E-3</v>
      </c>
      <c r="Q315" s="155">
        <f ca="1"/>
        <v>5.1911423843445936E-3</v>
      </c>
      <c r="R315" s="155">
        <f ca="1"/>
        <v>1.0894740581438467E-2</v>
      </c>
      <c r="S315" s="155">
        <f ca="1"/>
        <v>1.7632782098249256E-2</v>
      </c>
      <c r="T315" s="155">
        <f ca="1"/>
        <v>2.6000106940724077E-2</v>
      </c>
      <c r="U315" s="155">
        <f ca="1"/>
        <v>4.9589480811824349E-2</v>
      </c>
      <c r="V315" s="138">
        <f ca="1"/>
        <v>8.64258597468478E-2</v>
      </c>
      <c r="W315" s="137">
        <f ca="1"/>
        <v>4.9314994870031104E-4</v>
      </c>
      <c r="X315" s="155">
        <f ca="1"/>
        <v>9.0503326303814635E-4</v>
      </c>
      <c r="Y315" s="155">
        <f ca="1"/>
        <v>2.2530430274005919E-3</v>
      </c>
      <c r="Z315" s="155">
        <f ca="1"/>
        <v>5.4398135135439452E-3</v>
      </c>
      <c r="AA315" s="155">
        <f ca="1"/>
        <v>1.1265585515951804E-2</v>
      </c>
      <c r="AB315" s="155">
        <f ca="1"/>
        <v>1.8123842931755951E-2</v>
      </c>
      <c r="AC315" s="155">
        <f ca="1"/>
        <v>2.660866667915629E-2</v>
      </c>
      <c r="AD315" s="155">
        <f ca="1"/>
        <v>5.043783704362248E-2</v>
      </c>
      <c r="AE315" s="138">
        <f ca="1"/>
        <v>8.7601557750686898E-2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4">
        <v>1.3799999999999999E-3</v>
      </c>
      <c r="G316" s="154">
        <v>2.1199999999999999E-3</v>
      </c>
      <c r="H316" s="154">
        <v>3.1199999999999999E-3</v>
      </c>
      <c r="I316" s="154">
        <v>3.9199999999999999E-3</v>
      </c>
      <c r="J316" s="154" t="s">
        <v>87</v>
      </c>
      <c r="K316" s="154">
        <v>5.1000000000000004E-3</v>
      </c>
      <c r="L316" s="154">
        <v>5.8199999999999997E-3</v>
      </c>
      <c r="M316" s="154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55">
        <f ca="1"/>
        <v>9.6242433289062124E-4</v>
      </c>
      <c r="P316" s="155">
        <f ca="1"/>
        <v>2.8250318033532507E-3</v>
      </c>
      <c r="Q316" s="155">
        <f ca="1"/>
        <v>8.1104561126527086E-3</v>
      </c>
      <c r="R316" s="155">
        <f ca="1"/>
        <v>1.5154759154313635E-2</v>
      </c>
      <c r="S316" s="155">
        <f ca="1"/>
        <v>0</v>
      </c>
      <c r="T316" s="155">
        <f ca="1"/>
        <v>3.2562162416930107E-2</v>
      </c>
      <c r="U316" s="155">
        <f ca="1"/>
        <v>5.1584136737255593E-2</v>
      </c>
      <c r="V316" s="138">
        <f ca="1"/>
        <v>8.1322766379264166E-2</v>
      </c>
      <c r="W316" s="137">
        <f ca="1"/>
        <v>0</v>
      </c>
      <c r="X316" s="155">
        <f ca="1"/>
        <v>1.0321277186410294E-3</v>
      </c>
      <c r="Y316" s="155">
        <f ca="1"/>
        <v>2.949670884280442E-3</v>
      </c>
      <c r="Z316" s="155">
        <f ca="1"/>
        <v>8.3583975046767067E-3</v>
      </c>
      <c r="AA316" s="155">
        <f ca="1"/>
        <v>1.5524006881360908E-2</v>
      </c>
      <c r="AB316" s="155">
        <f ca="1"/>
        <v>0</v>
      </c>
      <c r="AC316" s="155">
        <f ca="1"/>
        <v>3.3181173405679609E-2</v>
      </c>
      <c r="AD316" s="155">
        <f ca="1"/>
        <v>5.2432091024916971E-2</v>
      </c>
      <c r="AE316" s="138">
        <f ca="1"/>
        <v>8.2490352196063266E-2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4">
        <v>1.5100000000000001E-3</v>
      </c>
      <c r="G317" s="154">
        <v>2.1299999999999999E-3</v>
      </c>
      <c r="H317" s="154">
        <v>2.9499999999999999E-3</v>
      </c>
      <c r="I317" s="154">
        <v>3.6900000000000001E-3</v>
      </c>
      <c r="J317" s="154" t="s">
        <v>87</v>
      </c>
      <c r="K317" s="154">
        <v>5.0000000000000001E-3</v>
      </c>
      <c r="L317" s="154">
        <v>5.7000000000000002E-3</v>
      </c>
      <c r="M317" s="154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55">
        <f ca="1"/>
        <v>1.053039748218354E-3</v>
      </c>
      <c r="P317" s="155">
        <f ca="1"/>
        <v>2.836693009606539E-3</v>
      </c>
      <c r="Q317" s="155">
        <f ca="1"/>
        <v>7.6629905072199689E-3</v>
      </c>
      <c r="R317" s="155">
        <f ca="1"/>
        <v>1.4262106527315077E-2</v>
      </c>
      <c r="S317" s="155">
        <f ca="1"/>
        <v>0</v>
      </c>
      <c r="T317" s="155">
        <f ca="1"/>
        <v>3.1964195062685108E-2</v>
      </c>
      <c r="U317" s="155">
        <f ca="1"/>
        <v>5.0572234527730631E-2</v>
      </c>
      <c r="V317" s="138">
        <f ca="1"/>
        <v>7.8855435967916443E-2</v>
      </c>
      <c r="W317" s="137">
        <f ca="1"/>
        <v>0</v>
      </c>
      <c r="X317" s="155">
        <f ca="1"/>
        <v>1.122736512781386E-3</v>
      </c>
      <c r="Y317" s="155">
        <f ca="1"/>
        <v>2.9613306329570044E-3</v>
      </c>
      <c r="Z317" s="155">
        <f ca="1"/>
        <v>7.9110437516293208E-3</v>
      </c>
      <c r="AA317" s="155">
        <f ca="1"/>
        <v>1.4631688936354581E-2</v>
      </c>
      <c r="AB317" s="155">
        <f ca="1"/>
        <v>0</v>
      </c>
      <c r="AC317" s="155">
        <f ca="1"/>
        <v>3.2583638500663481E-2</v>
      </c>
      <c r="AD317" s="155">
        <f ca="1"/>
        <v>5.1421221239227766E-2</v>
      </c>
      <c r="AE317" s="138">
        <f ca="1"/>
        <v>8.0026515937278275E-2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4" t="s">
        <v>87</v>
      </c>
      <c r="G318" s="154">
        <v>1.2329999999999999E-3</v>
      </c>
      <c r="H318" s="154" t="s">
        <v>87</v>
      </c>
      <c r="I318" s="154">
        <v>2.516E-3</v>
      </c>
      <c r="J318" s="154" t="s">
        <v>87</v>
      </c>
      <c r="K318" s="154">
        <v>3.65E-3</v>
      </c>
      <c r="L318" s="154">
        <v>3.7980000000000002E-3</v>
      </c>
      <c r="M318" s="154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55">
        <f ca="1"/>
        <v>0</v>
      </c>
      <c r="P318" s="155">
        <f ca="1"/>
        <v>2.1796574615333686E-3</v>
      </c>
      <c r="Q318" s="155">
        <f ca="1"/>
        <v>0</v>
      </c>
      <c r="R318" s="155">
        <f ca="1"/>
        <v>1.2984618522474789E-2</v>
      </c>
      <c r="S318" s="155">
        <f ca="1"/>
        <v>0</v>
      </c>
      <c r="T318" s="155">
        <f ca="1"/>
        <v>3.1479115254186008E-2</v>
      </c>
      <c r="U318" s="155">
        <f ca="1"/>
        <v>4.5209456416744009E-2</v>
      </c>
      <c r="V318" s="138">
        <f ca="1"/>
        <v>6.7186281121101699E-2</v>
      </c>
      <c r="W318" s="137">
        <f ca="1"/>
        <v>0</v>
      </c>
      <c r="X318" s="155">
        <f ca="1"/>
        <v>0</v>
      </c>
      <c r="Y318" s="155">
        <f ca="1"/>
        <v>2.3459469940955158E-3</v>
      </c>
      <c r="Z318" s="155">
        <f ca="1"/>
        <v>0</v>
      </c>
      <c r="AA318" s="155">
        <f ca="1"/>
        <v>1.34780028568523E-2</v>
      </c>
      <c r="AB318" s="155">
        <f ca="1"/>
        <v>0</v>
      </c>
      <c r="AC318" s="155">
        <f ca="1"/>
        <v>3.2285879792922079E-2</v>
      </c>
      <c r="AD318" s="155">
        <f ca="1"/>
        <v>4.6346312675427548E-2</v>
      </c>
      <c r="AE318" s="138">
        <f ca="1"/>
        <v>6.8739675797427457E-2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4">
        <v>1.6000000000000001E-3</v>
      </c>
      <c r="G319" s="154">
        <v>1.9E-3</v>
      </c>
      <c r="H319" s="154">
        <v>2.5000000000000001E-3</v>
      </c>
      <c r="I319" s="154">
        <v>3.0000000000000001E-3</v>
      </c>
      <c r="J319" s="154" t="s">
        <v>87</v>
      </c>
      <c r="K319" s="154">
        <v>3.7000000000000002E-3</v>
      </c>
      <c r="L319" s="154">
        <v>3.8999999999999998E-3</v>
      </c>
      <c r="M319" s="154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55">
        <f ca="1"/>
        <v>1.1137760432816668E-3</v>
      </c>
      <c r="P319" s="155">
        <f ca="1"/>
        <v>2.5238745536843021E-3</v>
      </c>
      <c r="Q319" s="155">
        <f ca="1"/>
        <v>6.4882845396582178E-3</v>
      </c>
      <c r="R319" s="155">
        <f ca="1"/>
        <v>1.160860485568338E-2</v>
      </c>
      <c r="S319" s="155">
        <f ca="1"/>
        <v>0</v>
      </c>
      <c r="T319" s="155">
        <f ca="1"/>
        <v>2.3779303322931433E-2</v>
      </c>
      <c r="U319" s="155">
        <f ca="1"/>
        <v>3.4806064876480969E-2</v>
      </c>
      <c r="V319" s="138">
        <f ca="1"/>
        <v>5.0417350502901637E-2</v>
      </c>
      <c r="W319" s="137">
        <f ca="1"/>
        <v>0</v>
      </c>
      <c r="X319" s="155">
        <f ca="1"/>
        <v>1.1833432252864595E-3</v>
      </c>
      <c r="Y319" s="155">
        <f ca="1"/>
        <v>2.6485512769146569E-3</v>
      </c>
      <c r="Z319" s="155">
        <f ca="1"/>
        <v>6.7366314238509473E-3</v>
      </c>
      <c r="AA319" s="155">
        <f ca="1"/>
        <v>1.1979182141280353E-2</v>
      </c>
      <c r="AB319" s="155">
        <f ca="1"/>
        <v>0</v>
      </c>
      <c r="AC319" s="155">
        <f ca="1"/>
        <v>2.4389250629932024E-2</v>
      </c>
      <c r="AD319" s="155">
        <f ca="1"/>
        <v>3.5650240189166627E-2</v>
      </c>
      <c r="AE319" s="138">
        <f ca="1"/>
        <v>5.1623596665617111E-2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4" t="s">
        <v>87</v>
      </c>
      <c r="G320" s="154" t="s">
        <v>87</v>
      </c>
      <c r="H320" s="154" t="s">
        <v>87</v>
      </c>
      <c r="I320" s="154" t="s">
        <v>87</v>
      </c>
      <c r="J320" s="154" t="s">
        <v>87</v>
      </c>
      <c r="K320" s="154">
        <v>2E-3</v>
      </c>
      <c r="L320" s="154">
        <v>3.6129999999999999E-3</v>
      </c>
      <c r="M320" s="154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55">
        <f ca="1"/>
        <v>0</v>
      </c>
      <c r="P320" s="155">
        <f ca="1"/>
        <v>0</v>
      </c>
      <c r="Q320" s="155">
        <f ca="1"/>
        <v>0</v>
      </c>
      <c r="R320" s="155">
        <f ca="1"/>
        <v>0</v>
      </c>
      <c r="S320" s="155">
        <f ca="1"/>
        <v>0</v>
      </c>
      <c r="T320" s="155">
        <f ca="1"/>
        <v>1.683176716876067E-2</v>
      </c>
      <c r="U320" s="155">
        <f ca="1"/>
        <v>4.4741892042063025E-2</v>
      </c>
      <c r="V320" s="138">
        <f ca="1"/>
        <v>8.7342677734179364E-2</v>
      </c>
      <c r="W320" s="137">
        <f ca="1"/>
        <v>0</v>
      </c>
      <c r="X320" s="155">
        <f ca="1"/>
        <v>0</v>
      </c>
      <c r="Y320" s="155">
        <f ca="1"/>
        <v>0</v>
      </c>
      <c r="Z320" s="155">
        <f ca="1"/>
        <v>0</v>
      </c>
      <c r="AA320" s="155">
        <f ca="1"/>
        <v>0</v>
      </c>
      <c r="AB320" s="155">
        <f ca="1"/>
        <v>0</v>
      </c>
      <c r="AC320" s="155">
        <f ca="1"/>
        <v>1.7650732746463338E-2</v>
      </c>
      <c r="AD320" s="155">
        <f ca="1"/>
        <v>4.5855709981249659E-2</v>
      </c>
      <c r="AE320" s="138">
        <f ca="1"/>
        <v>8.8916111937363151E-2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4">
        <v>1.1900000000000001E-3</v>
      </c>
      <c r="G321" s="154">
        <v>1.4300000000000001E-3</v>
      </c>
      <c r="H321" s="154">
        <v>1.91E-3</v>
      </c>
      <c r="I321" s="154">
        <v>2.32E-3</v>
      </c>
      <c r="J321" s="154" t="s">
        <v>87</v>
      </c>
      <c r="K321" s="154">
        <v>3.0999999999999999E-3</v>
      </c>
      <c r="L321" s="154">
        <v>3.5100000000000001E-3</v>
      </c>
      <c r="M321" s="154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55">
        <f ca="1"/>
        <v>1.1064757568105543E-3</v>
      </c>
      <c r="P321" s="155">
        <f ca="1"/>
        <v>2.5364678481504255E-3</v>
      </c>
      <c r="Q321" s="155">
        <f ca="1"/>
        <v>6.6121366802779358E-3</v>
      </c>
      <c r="R321" s="155">
        <f ca="1"/>
        <v>1.1952924219692296E-2</v>
      </c>
      <c r="S321" s="155">
        <f ca="1"/>
        <v>0</v>
      </c>
      <c r="T321" s="155">
        <f ca="1"/>
        <v>2.6455400604514123E-2</v>
      </c>
      <c r="U321" s="155">
        <f ca="1"/>
        <v>4.1633652317086933E-2</v>
      </c>
      <c r="V321" s="138">
        <f ca="1"/>
        <v>6.5461417120872278E-2</v>
      </c>
      <c r="W321" s="137">
        <f ca="1"/>
        <v>0</v>
      </c>
      <c r="X321" s="155">
        <f ca="1"/>
        <v>1.1993990526423248E-3</v>
      </c>
      <c r="Y321" s="155">
        <f ca="1"/>
        <v>2.702697917293162E-3</v>
      </c>
      <c r="Z321" s="155">
        <f ca="1"/>
        <v>6.9432107859795922E-3</v>
      </c>
      <c r="AA321" s="155">
        <f ca="1"/>
        <v>1.2446824272265178E-2</v>
      </c>
      <c r="AB321" s="155">
        <f ca="1"/>
        <v>0</v>
      </c>
      <c r="AC321" s="155">
        <f ca="1"/>
        <v>2.728627696704311E-2</v>
      </c>
      <c r="AD321" s="155">
        <f ca="1"/>
        <v>4.2776017767478636E-2</v>
      </c>
      <c r="AE321" s="138">
        <f ca="1"/>
        <v>6.7047872001312125E-2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4">
        <v>5.0000000000000001E-4</v>
      </c>
      <c r="G322" s="154">
        <v>8.0000000000000004E-4</v>
      </c>
      <c r="H322" s="154">
        <v>1.1999999999999999E-3</v>
      </c>
      <c r="I322" s="154">
        <v>1.6000000000000001E-3</v>
      </c>
      <c r="J322" s="154" t="s">
        <v>87</v>
      </c>
      <c r="K322" s="154">
        <v>2.5999999999999999E-3</v>
      </c>
      <c r="L322" s="154">
        <v>3.2000000000000002E-3</v>
      </c>
      <c r="M322" s="154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55">
        <f ca="1"/>
        <v>4.6505499562699004E-4</v>
      </c>
      <c r="P322" s="155">
        <f ca="1"/>
        <v>1.4225689316275103E-3</v>
      </c>
      <c r="Q322" s="155">
        <f ca="1"/>
        <v>4.1669498427368001E-3</v>
      </c>
      <c r="R322" s="155">
        <f ca="1"/>
        <v>8.2811186400733039E-3</v>
      </c>
      <c r="S322" s="155">
        <f ca="1"/>
        <v>0</v>
      </c>
      <c r="T322" s="155">
        <f ca="1"/>
        <v>2.2372244806550312E-2</v>
      </c>
      <c r="U322" s="155">
        <f ca="1"/>
        <v>3.8340700108231207E-2</v>
      </c>
      <c r="V322" s="138">
        <f ca="1"/>
        <v>6.0951958318920529E-2</v>
      </c>
      <c r="W322" s="137">
        <f ca="1"/>
        <v>0</v>
      </c>
      <c r="X322" s="155">
        <f ca="1"/>
        <v>5.5803964578249321E-4</v>
      </c>
      <c r="Y322" s="155">
        <f ca="1"/>
        <v>1.5889846351196946E-3</v>
      </c>
      <c r="Z322" s="155">
        <f ca="1"/>
        <v>4.4988388748716801E-3</v>
      </c>
      <c r="AA322" s="155">
        <f ca="1"/>
        <v>8.7768541365541575E-3</v>
      </c>
      <c r="AB322" s="155">
        <f ca="1"/>
        <v>0</v>
      </c>
      <c r="AC322" s="155">
        <f ca="1"/>
        <v>2.3207136303632914E-2</v>
      </c>
      <c r="AD322" s="155">
        <f ca="1"/>
        <v>3.9488385235491585E-2</v>
      </c>
      <c r="AE322" s="138">
        <f ca="1"/>
        <v>6.2548240035105507E-2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4" t="s">
        <v>87</v>
      </c>
      <c r="G323" s="154">
        <v>5.9999999999999995E-4</v>
      </c>
      <c r="H323" s="154" t="s">
        <v>87</v>
      </c>
      <c r="I323" s="154">
        <v>1.1999999999999999E-3</v>
      </c>
      <c r="J323" s="154" t="s">
        <v>87</v>
      </c>
      <c r="K323" s="154">
        <v>2.0999999999999999E-3</v>
      </c>
      <c r="L323" s="154">
        <v>3.0000000000000001E-3</v>
      </c>
      <c r="M323" s="154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55">
        <f ca="1"/>
        <v>0</v>
      </c>
      <c r="P323" s="155">
        <f ca="1"/>
        <v>1.0612503088222036E-3</v>
      </c>
      <c r="Q323" s="155">
        <f ca="1"/>
        <v>0</v>
      </c>
      <c r="R323" s="155">
        <f ca="1"/>
        <v>6.2084733739914411E-3</v>
      </c>
      <c r="S323" s="155">
        <f ca="1"/>
        <v>0</v>
      </c>
      <c r="T323" s="155">
        <f ca="1"/>
        <v>1.8353535802916321E-2</v>
      </c>
      <c r="U323" s="155">
        <f ca="1"/>
        <v>3.7178146484859287E-2</v>
      </c>
      <c r="V323" s="138">
        <f ca="1"/>
        <v>7.3411360212066179E-2</v>
      </c>
      <c r="W323" s="137">
        <f ca="1"/>
        <v>0</v>
      </c>
      <c r="X323" s="155">
        <f ca="1"/>
        <v>0</v>
      </c>
      <c r="Y323" s="155">
        <f ca="1"/>
        <v>1.227726227069903E-3</v>
      </c>
      <c r="Z323" s="155">
        <f ca="1"/>
        <v>0</v>
      </c>
      <c r="AA323" s="155">
        <f ca="1"/>
        <v>6.7052449340427867E-3</v>
      </c>
      <c r="AB323" s="155">
        <f ca="1"/>
        <v>0</v>
      </c>
      <c r="AC323" s="155">
        <f ca="1"/>
        <v>1.9171233768265128E-2</v>
      </c>
      <c r="AD323" s="155">
        <f ca="1"/>
        <v>3.8326428229594978E-2</v>
      </c>
      <c r="AE323" s="138">
        <f ca="1"/>
        <v>7.4980523329691295E-2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4">
        <v>2.9999999999999997E-4</v>
      </c>
      <c r="G324" s="154">
        <v>5.0000000000000001E-4</v>
      </c>
      <c r="H324" s="154">
        <v>1E-3</v>
      </c>
      <c r="I324" s="154">
        <v>1.5E-3</v>
      </c>
      <c r="J324" s="154" t="s">
        <v>87</v>
      </c>
      <c r="K324" s="154">
        <v>2.3E-3</v>
      </c>
      <c r="L324" s="154">
        <v>2.8999999999999998E-3</v>
      </c>
      <c r="M324" s="154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55">
        <f ca="1"/>
        <v>2.7905895862256891E-4</v>
      </c>
      <c r="P324" s="155">
        <f ca="1"/>
        <v>8.8950690353517547E-4</v>
      </c>
      <c r="Q324" s="155">
        <f ca="1"/>
        <v>3.4822317726515006E-3</v>
      </c>
      <c r="R324" s="155">
        <f ca="1"/>
        <v>7.7908179231177543E-3</v>
      </c>
      <c r="S324" s="155">
        <f ca="1"/>
        <v>0</v>
      </c>
      <c r="T324" s="155">
        <f ca="1"/>
        <v>1.9808018129779947E-2</v>
      </c>
      <c r="U324" s="155">
        <f ca="1"/>
        <v>3.4831779959422549E-2</v>
      </c>
      <c r="V324" s="138">
        <f ca="1"/>
        <v>5.7878299220106344E-2</v>
      </c>
      <c r="W324" s="137">
        <f ca="1"/>
        <v>0</v>
      </c>
      <c r="X324" s="155">
        <f ca="1"/>
        <v>3.7206114936716439E-4</v>
      </c>
      <c r="Y324" s="155">
        <f ca="1"/>
        <v>1.0560114432898171E-3</v>
      </c>
      <c r="Z324" s="155">
        <f ca="1"/>
        <v>3.8143490061200991E-3</v>
      </c>
      <c r="AA324" s="155">
        <f ca="1"/>
        <v>8.2867985086747531E-3</v>
      </c>
      <c r="AB324" s="155">
        <f ca="1"/>
        <v>0</v>
      </c>
      <c r="AC324" s="155">
        <f ca="1"/>
        <v>2.0644989649864054E-2</v>
      </c>
      <c r="AD324" s="155">
        <f ca="1"/>
        <v>3.5983437889757219E-2</v>
      </c>
      <c r="AE324" s="138">
        <f ca="1"/>
        <v>5.9480454615014944E-2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4" t="s">
        <v>87</v>
      </c>
      <c r="G325" s="154">
        <v>4.9600000000000002E-4</v>
      </c>
      <c r="H325" s="154" t="s">
        <v>87</v>
      </c>
      <c r="I325" s="154">
        <v>1.2899999999999999E-3</v>
      </c>
      <c r="J325" s="154" t="s">
        <v>87</v>
      </c>
      <c r="K325" s="154">
        <v>2.15E-3</v>
      </c>
      <c r="L325" s="154">
        <v>2.6740000000000002E-3</v>
      </c>
      <c r="M325" s="154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55">
        <f ca="1"/>
        <v>0</v>
      </c>
      <c r="P325" s="155">
        <f ca="1"/>
        <v>8.7738040544427243E-4</v>
      </c>
      <c r="Q325" s="155">
        <f ca="1"/>
        <v>0</v>
      </c>
      <c r="R325" s="155">
        <f ca="1"/>
        <v>6.6919886509649862E-3</v>
      </c>
      <c r="S325" s="155">
        <f ca="1"/>
        <v>0</v>
      </c>
      <c r="T325" s="155">
        <f ca="1"/>
        <v>1.8769266413871999E-2</v>
      </c>
      <c r="U325" s="155">
        <f ca="1"/>
        <v>3.2770631846642972E-2</v>
      </c>
      <c r="V325" s="138">
        <f ca="1"/>
        <v>5.6154722729843787E-2</v>
      </c>
      <c r="W325" s="137">
        <f ca="1"/>
        <v>0</v>
      </c>
      <c r="X325" s="155">
        <f ca="1"/>
        <v>0</v>
      </c>
      <c r="Y325" s="155">
        <f ca="1"/>
        <v>1.0438869661218986E-3</v>
      </c>
      <c r="Z325" s="155">
        <f ca="1"/>
        <v>0</v>
      </c>
      <c r="AA325" s="155">
        <f ca="1"/>
        <v>7.1885185138680363E-3</v>
      </c>
      <c r="AB325" s="155">
        <f ca="1"/>
        <v>0</v>
      </c>
      <c r="AC325" s="155">
        <f ca="1"/>
        <v>1.958661808139095E-2</v>
      </c>
      <c r="AD325" s="155">
        <f ca="1"/>
        <v>3.392337174397686E-2</v>
      </c>
      <c r="AE325" s="138">
        <f ca="1"/>
        <v>5.775536510952195E-2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4">
        <v>5.1000000000000004E-3</v>
      </c>
      <c r="G326" s="154">
        <v>5.1000000000000004E-3</v>
      </c>
      <c r="H326" s="154">
        <v>5.1000000000000004E-3</v>
      </c>
      <c r="I326" s="154">
        <v>5.5700000000000003E-3</v>
      </c>
      <c r="J326" s="154" t="s">
        <v>87</v>
      </c>
      <c r="K326" s="154">
        <v>6.0000000000000001E-3</v>
      </c>
      <c r="L326" s="154">
        <v>6.2100000000000002E-3</v>
      </c>
      <c r="M326" s="154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55">
        <f ca="1"/>
        <v>4.7250064741137798E-3</v>
      </c>
      <c r="P326" s="155">
        <f ca="1"/>
        <v>8.9847555022402048E-3</v>
      </c>
      <c r="Q326" s="155">
        <f ca="1"/>
        <v>1.7430097280952905E-2</v>
      </c>
      <c r="R326" s="155">
        <f ca="1"/>
        <v>2.8280058915632011E-2</v>
      </c>
      <c r="S326" s="155">
        <f ca="1"/>
        <v>0</v>
      </c>
      <c r="T326" s="155">
        <f ca="1"/>
        <v>5.0095338900820852E-2</v>
      </c>
      <c r="U326" s="155">
        <f ca="1"/>
        <v>7.173347829829102E-2</v>
      </c>
      <c r="V326" s="138">
        <f ca="1"/>
        <v>0.10206853165762142</v>
      </c>
      <c r="W326" s="137">
        <f ca="1"/>
        <v>0</v>
      </c>
      <c r="X326" s="155">
        <f ca="1"/>
        <v>4.8173763948285986E-3</v>
      </c>
      <c r="Y326" s="155">
        <f ca="1"/>
        <v>9.1499109463203387E-3</v>
      </c>
      <c r="Z326" s="155">
        <f ca="1"/>
        <v>1.7757566000687897E-2</v>
      </c>
      <c r="AA326" s="155">
        <f ca="1"/>
        <v>2.8765797441442698E-2</v>
      </c>
      <c r="AB326" s="155">
        <f ca="1"/>
        <v>0</v>
      </c>
      <c r="AC326" s="155">
        <f ca="1"/>
        <v>5.088659638201054E-2</v>
      </c>
      <c r="AD326" s="155">
        <f ca="1"/>
        <v>7.2815824415580099E-2</v>
      </c>
      <c r="AE326" s="138">
        <f ca="1"/>
        <v>0.10356383767040656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4" t="s">
        <v>87</v>
      </c>
      <c r="G327" s="154">
        <v>1.225E-3</v>
      </c>
      <c r="H327" s="154" t="s">
        <v>87</v>
      </c>
      <c r="I327" s="154">
        <v>2.4499999999999999E-3</v>
      </c>
      <c r="J327" s="154" t="s">
        <v>87</v>
      </c>
      <c r="K327" s="154">
        <v>4.8999999999999998E-3</v>
      </c>
      <c r="L327" s="154">
        <v>5.6350000000000003E-3</v>
      </c>
      <c r="M327" s="154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55">
        <f ca="1"/>
        <v>0</v>
      </c>
      <c r="P327" s="155">
        <f ca="1"/>
        <v>2.1655305295348315E-3</v>
      </c>
      <c r="Q327" s="155">
        <f ca="1"/>
        <v>0</v>
      </c>
      <c r="R327" s="155">
        <f ca="1"/>
        <v>1.2642494209117117E-2</v>
      </c>
      <c r="S327" s="155">
        <f ca="1"/>
        <v>0</v>
      </c>
      <c r="T327" s="155">
        <f ca="1"/>
        <v>4.2706397069410817E-2</v>
      </c>
      <c r="U327" s="155">
        <f ca="1"/>
        <v>6.7889266660983938E-2</v>
      </c>
      <c r="V327" s="138">
        <f ca="1"/>
        <v>0.10817212843031399</v>
      </c>
      <c r="W327" s="137">
        <f ca="1"/>
        <v>0</v>
      </c>
      <c r="X327" s="155">
        <f ca="1"/>
        <v>0</v>
      </c>
      <c r="Y327" s="155">
        <f ca="1"/>
        <v>2.3318224164156076E-3</v>
      </c>
      <c r="Z327" s="155">
        <f ca="1"/>
        <v>0</v>
      </c>
      <c r="AA327" s="155">
        <f ca="1"/>
        <v>1.3136049562856522E-2</v>
      </c>
      <c r="AB327" s="155">
        <f ca="1"/>
        <v>0</v>
      </c>
      <c r="AC327" s="155">
        <f ca="1"/>
        <v>4.3503809437220764E-2</v>
      </c>
      <c r="AD327" s="155">
        <f ca="1"/>
        <v>6.9001611558539566E-2</v>
      </c>
      <c r="AE327" s="138">
        <f ca="1"/>
        <v>0.10970258337838046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4">
        <v>9.3999999999999997E-4</v>
      </c>
      <c r="G328" s="154">
        <v>1.01E-3</v>
      </c>
      <c r="H328" s="154">
        <v>2.0100000000000001E-3</v>
      </c>
      <c r="I328" s="154">
        <v>3.0100000000000001E-3</v>
      </c>
      <c r="J328" s="154" t="s">
        <v>87</v>
      </c>
      <c r="K328" s="154">
        <v>4.7999999999999996E-3</v>
      </c>
      <c r="L328" s="154">
        <v>5.4999999999999997E-3</v>
      </c>
      <c r="M328" s="154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55">
        <f ca="1"/>
        <v>6.5566502143743488E-4</v>
      </c>
      <c r="P328" s="155">
        <f ca="1"/>
        <v>1.3430717092215438E-3</v>
      </c>
      <c r="Q328" s="155">
        <f ca="1"/>
        <v>5.2415450448183298E-3</v>
      </c>
      <c r="R328" s="155">
        <f ca="1"/>
        <v>1.1704352448100197E-2</v>
      </c>
      <c r="S328" s="155">
        <f ca="1"/>
        <v>0</v>
      </c>
      <c r="T328" s="155">
        <f ca="1"/>
        <v>3.0906219837080862E-2</v>
      </c>
      <c r="U328" s="155">
        <f ca="1"/>
        <v>4.9055925278220225E-2</v>
      </c>
      <c r="V328" s="138">
        <f ca="1"/>
        <v>7.8014568225579728E-2</v>
      </c>
      <c r="W328" s="137">
        <f ca="1"/>
        <v>0</v>
      </c>
      <c r="X328" s="155">
        <f ca="1"/>
        <v>7.2539061511855962E-4</v>
      </c>
      <c r="Y328" s="155">
        <f ca="1"/>
        <v>1.4678960235701144E-3</v>
      </c>
      <c r="Z328" s="155">
        <f ca="1"/>
        <v>5.4902035749526679E-3</v>
      </c>
      <c r="AA328" s="155">
        <f ca="1"/>
        <v>1.2074893835067879E-2</v>
      </c>
      <c r="AB328" s="155">
        <f ca="1"/>
        <v>0</v>
      </c>
      <c r="AC328" s="155">
        <f ca="1"/>
        <v>3.1526853428501034E-2</v>
      </c>
      <c r="AD328" s="155">
        <f ca="1"/>
        <v>4.9907149321311683E-2</v>
      </c>
      <c r="AE328" s="138">
        <f ca="1"/>
        <v>7.9187794143785961E-2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4">
        <v>1.2700000000000001E-3</v>
      </c>
      <c r="G329" s="154">
        <v>1.7899999999999999E-3</v>
      </c>
      <c r="H329" s="154">
        <v>2.5899999999999999E-3</v>
      </c>
      <c r="I329" s="154">
        <v>3.2799999999999999E-3</v>
      </c>
      <c r="J329" s="154" t="s">
        <v>87</v>
      </c>
      <c r="K329" s="154">
        <v>4.5999999999999999E-3</v>
      </c>
      <c r="L329" s="154">
        <v>5.3200000000000001E-3</v>
      </c>
      <c r="M329" s="154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55">
        <f ca="1"/>
        <v>8.8574333218494061E-4</v>
      </c>
      <c r="P329" s="155">
        <f ca="1"/>
        <v>2.3843304794792797E-3</v>
      </c>
      <c r="Q329" s="155">
        <f ca="1"/>
        <v>6.7337709478526575E-3</v>
      </c>
      <c r="R329" s="155">
        <f ca="1"/>
        <v>1.2692369210836163E-2</v>
      </c>
      <c r="S329" s="155">
        <f ca="1"/>
        <v>0</v>
      </c>
      <c r="T329" s="155">
        <f ca="1"/>
        <v>2.9474372554888162E-2</v>
      </c>
      <c r="U329" s="155">
        <f ca="1"/>
        <v>4.7344438002383971E-2</v>
      </c>
      <c r="V329" s="138">
        <f ca="1"/>
        <v>7.4109802438981243E-2</v>
      </c>
      <c r="W329" s="137">
        <f ca="1"/>
        <v>0</v>
      </c>
      <c r="X329" s="155">
        <f ca="1"/>
        <v>9.5545229895976913E-4</v>
      </c>
      <c r="Y329" s="155">
        <f ca="1"/>
        <v>2.5090246446282105E-3</v>
      </c>
      <c r="Z329" s="155">
        <f ca="1"/>
        <v>6.9820564681380981E-3</v>
      </c>
      <c r="AA329" s="155">
        <f ca="1"/>
        <v>1.3062540160981406E-2</v>
      </c>
      <c r="AB329" s="155">
        <f ca="1"/>
        <v>0</v>
      </c>
      <c r="AC329" s="155">
        <f ca="1"/>
        <v>3.009555278509668E-2</v>
      </c>
      <c r="AD329" s="155">
        <f ca="1"/>
        <v>4.8196499811253846E-2</v>
      </c>
      <c r="AE329" s="138">
        <f ca="1"/>
        <v>7.5287676135227022E-2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4">
        <v>9.3999999999999997E-4</v>
      </c>
      <c r="G330" s="154">
        <v>1.66E-3</v>
      </c>
      <c r="H330" s="154">
        <v>2.5699999999999998E-3</v>
      </c>
      <c r="I330" s="154">
        <v>3.4299999999999999E-3</v>
      </c>
      <c r="J330" s="154" t="s">
        <v>87</v>
      </c>
      <c r="K330" s="154">
        <v>4.7999999999999996E-3</v>
      </c>
      <c r="L330" s="154">
        <v>5.5700000000000003E-3</v>
      </c>
      <c r="M330" s="154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55">
        <f ca="1"/>
        <v>6.5566502143743488E-4</v>
      </c>
      <c r="P330" s="155">
        <f ca="1"/>
        <v>2.2144526376741691E-3</v>
      </c>
      <c r="Q330" s="155">
        <f ca="1"/>
        <v>6.6899785385010624E-3</v>
      </c>
      <c r="R330" s="155">
        <f ca="1"/>
        <v>1.3293029003722312E-2</v>
      </c>
      <c r="S330" s="155">
        <f ca="1"/>
        <v>0</v>
      </c>
      <c r="T330" s="155">
        <f ca="1"/>
        <v>3.0763038900609052E-2</v>
      </c>
      <c r="U330" s="155">
        <f ca="1"/>
        <v>4.9557519212230727E-2</v>
      </c>
      <c r="V330" s="138">
        <f ca="1"/>
        <v>7.7813339261013192E-2</v>
      </c>
      <c r="W330" s="137">
        <f ca="1"/>
        <v>0</v>
      </c>
      <c r="X330" s="155">
        <f ca="1"/>
        <v>7.2539061511855962E-4</v>
      </c>
      <c r="Y330" s="155">
        <f ca="1"/>
        <v>2.339168036217365E-3</v>
      </c>
      <c r="Z330" s="155">
        <f ca="1"/>
        <v>6.9382750055261289E-3</v>
      </c>
      <c r="AA330" s="155">
        <f ca="1"/>
        <v>1.3662974748701928E-2</v>
      </c>
      <c r="AB330" s="155">
        <f ca="1"/>
        <v>0</v>
      </c>
      <c r="AC330" s="155">
        <f ca="1"/>
        <v>3.1383463118565769E-2</v>
      </c>
      <c r="AD330" s="155">
        <f ca="1"/>
        <v>5.0407758138026892E-2</v>
      </c>
      <c r="AE330" s="138">
        <f ca="1"/>
        <v>7.8986353565009715E-2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4">
        <v>1.1100000000000001E-3</v>
      </c>
      <c r="G331" s="154">
        <v>1.73E-3</v>
      </c>
      <c r="H331" s="154">
        <v>2.5899999999999999E-3</v>
      </c>
      <c r="I331" s="154">
        <v>3.3500000000000001E-3</v>
      </c>
      <c r="J331" s="154" t="s">
        <v>87</v>
      </c>
      <c r="K331" s="154">
        <v>4.7999999999999996E-3</v>
      </c>
      <c r="L331" s="154">
        <v>5.5799999999999999E-3</v>
      </c>
      <c r="M331" s="154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55">
        <f ca="1"/>
        <v>7.7419682672918988E-4</v>
      </c>
      <c r="P331" s="155">
        <f ca="1"/>
        <v>2.3060332499106329E-3</v>
      </c>
      <c r="Q331" s="155">
        <f ca="1"/>
        <v>6.7378663504154002E-3</v>
      </c>
      <c r="R331" s="155">
        <f ca="1"/>
        <v>1.2972007893417126E-2</v>
      </c>
      <c r="S331" s="155">
        <f ca="1"/>
        <v>0</v>
      </c>
      <c r="T331" s="155">
        <f ca="1"/>
        <v>3.0770777797241577E-2</v>
      </c>
      <c r="U331" s="155">
        <f ca="1"/>
        <v>4.9657752717459869E-2</v>
      </c>
      <c r="V331" s="138">
        <f ca="1"/>
        <v>7.7813344775803595E-2</v>
      </c>
      <c r="W331" s="137">
        <f ca="1"/>
        <v>0</v>
      </c>
      <c r="X331" s="155">
        <f ca="1"/>
        <v>8.4391387662108297E-4</v>
      </c>
      <c r="Y331" s="155">
        <f ca="1"/>
        <v>2.4307372016023621E-3</v>
      </c>
      <c r="Z331" s="155">
        <f ca="1"/>
        <v>6.9861508469827305E-3</v>
      </c>
      <c r="AA331" s="155">
        <f ca="1"/>
        <v>1.3342073998724113E-2</v>
      </c>
      <c r="AB331" s="155">
        <f ca="1"/>
        <v>0</v>
      </c>
      <c r="AC331" s="155">
        <f ca="1"/>
        <v>3.1391176707369128E-2</v>
      </c>
      <c r="AD331" s="155">
        <f ca="1"/>
        <v>5.0507952537543477E-2</v>
      </c>
      <c r="AE331" s="138">
        <f ca="1"/>
        <v>7.8986416450050445E-2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4">
        <v>1.06E-3</v>
      </c>
      <c r="G332" s="154">
        <v>1.5299999999999999E-3</v>
      </c>
      <c r="H332" s="154">
        <v>2.47E-3</v>
      </c>
      <c r="I332" s="154">
        <v>3.29E-3</v>
      </c>
      <c r="J332" s="154" t="s">
        <v>87</v>
      </c>
      <c r="K332" s="154">
        <v>4.7000000000000002E-3</v>
      </c>
      <c r="L332" s="154">
        <v>5.4200000000000003E-3</v>
      </c>
      <c r="M332" s="154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55">
        <f ca="1"/>
        <v>7.393359903289376E-4</v>
      </c>
      <c r="P332" s="155">
        <f ca="1"/>
        <v>2.038635635445929E-3</v>
      </c>
      <c r="Q332" s="155">
        <f ca="1"/>
        <v>6.4303007096775389E-3</v>
      </c>
      <c r="R332" s="155">
        <f ca="1"/>
        <v>1.2752536783737223E-2</v>
      </c>
      <c r="S332" s="155">
        <f ca="1"/>
        <v>0</v>
      </c>
      <c r="T332" s="155">
        <f ca="1"/>
        <v>3.0146678181261488E-2</v>
      </c>
      <c r="U332" s="155">
        <f ca="1"/>
        <v>4.8248600720770529E-2</v>
      </c>
      <c r="V332" s="138">
        <f ca="1"/>
        <v>7.5344460151514081E-2</v>
      </c>
      <c r="W332" s="137">
        <f ca="1"/>
        <v>0</v>
      </c>
      <c r="X332" s="155">
        <f ca="1"/>
        <v>8.0905555784493988E-4</v>
      </c>
      <c r="Y332" s="155">
        <f ca="1"/>
        <v>2.163373009747116E-3</v>
      </c>
      <c r="Z332" s="155">
        <f ca="1"/>
        <v>6.6786620880503467E-3</v>
      </c>
      <c r="AA332" s="155">
        <f ca="1"/>
        <v>1.3122685175268489E-2</v>
      </c>
      <c r="AB332" s="155">
        <f ca="1"/>
        <v>0</v>
      </c>
      <c r="AC332" s="155">
        <f ca="1"/>
        <v>3.0767536416384633E-2</v>
      </c>
      <c r="AD332" s="155">
        <f ca="1"/>
        <v>4.9100021798012095E-2</v>
      </c>
      <c r="AE332" s="138">
        <f ca="1"/>
        <v>7.6520791793253662E-2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4">
        <v>1.15E-3</v>
      </c>
      <c r="G333" s="154">
        <v>1.81E-3</v>
      </c>
      <c r="H333" s="154">
        <v>2.8E-3</v>
      </c>
      <c r="I333" s="154">
        <v>3.5000000000000001E-3</v>
      </c>
      <c r="J333" s="154" t="s">
        <v>87</v>
      </c>
      <c r="K333" s="154">
        <v>4.5999999999999999E-3</v>
      </c>
      <c r="L333" s="154">
        <v>5.1999999999999998E-3</v>
      </c>
      <c r="M333" s="154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55">
        <f ca="1"/>
        <v>1.0693031837868405E-3</v>
      </c>
      <c r="P333" s="155">
        <f ca="1"/>
        <v>3.2159117106301816E-3</v>
      </c>
      <c r="Q333" s="155">
        <f ca="1"/>
        <v>9.7044457131680861E-3</v>
      </c>
      <c r="R333" s="155">
        <f ca="1"/>
        <v>1.8024697668141076E-2</v>
      </c>
      <c r="S333" s="155">
        <f ca="1"/>
        <v>0</v>
      </c>
      <c r="T333" s="155">
        <f ca="1"/>
        <v>3.9074189189502895E-2</v>
      </c>
      <c r="U333" s="155">
        <f ca="1"/>
        <v>6.1183406730358048E-2</v>
      </c>
      <c r="V333" s="138">
        <f ca="1"/>
        <v>9.4330983660937839E-2</v>
      </c>
      <c r="W333" s="137">
        <f ca="1"/>
        <v>0</v>
      </c>
      <c r="X333" s="155">
        <f ca="1"/>
        <v>1.1622300733186153E-3</v>
      </c>
      <c r="Y333" s="155">
        <f ca="1"/>
        <v>3.3820285485609558E-3</v>
      </c>
      <c r="Z333" s="155">
        <f ca="1"/>
        <v>1.0034489220950848E-2</v>
      </c>
      <c r="AA333" s="155">
        <f ca="1"/>
        <v>1.851556259286169E-2</v>
      </c>
      <c r="AB333" s="155">
        <f ca="1"/>
        <v>0</v>
      </c>
      <c r="AC333" s="155">
        <f ca="1"/>
        <v>3.9894333640201451E-2</v>
      </c>
      <c r="AD333" s="155">
        <f ca="1"/>
        <v>6.2303321450526528E-2</v>
      </c>
      <c r="AE333" s="138">
        <f ca="1"/>
        <v>9.586652564636533E-2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4">
        <v>1.6299999999999999E-3</v>
      </c>
      <c r="G334" s="154">
        <v>1.8400000000000001E-3</v>
      </c>
      <c r="H334" s="154">
        <v>2.2399999999999998E-3</v>
      </c>
      <c r="I334" s="154">
        <v>2.8E-3</v>
      </c>
      <c r="J334" s="154" t="s">
        <v>87</v>
      </c>
      <c r="K334" s="154">
        <v>4.5999999999999999E-3</v>
      </c>
      <c r="L334" s="154">
        <v>4.9399999999999999E-3</v>
      </c>
      <c r="M334" s="154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55">
        <f ca="1"/>
        <v>1.1346475103697351E-3</v>
      </c>
      <c r="P334" s="155">
        <f ca="1"/>
        <v>2.4428531113326324E-3</v>
      </c>
      <c r="Q334" s="155">
        <f ca="1"/>
        <v>5.8051987668507055E-3</v>
      </c>
      <c r="R334" s="155">
        <f ca="1"/>
        <v>1.0844584628916687E-2</v>
      </c>
      <c r="S334" s="155">
        <f ca="1"/>
        <v>0</v>
      </c>
      <c r="T334" s="155">
        <f ca="1"/>
        <v>2.9950005492322851E-2</v>
      </c>
      <c r="U334" s="155">
        <f ca="1"/>
        <v>4.4466230000594686E-2</v>
      </c>
      <c r="V334" s="138">
        <f ca="1"/>
        <v>7.0408736030547536E-2</v>
      </c>
      <c r="W334" s="137">
        <f ca="1"/>
        <v>0</v>
      </c>
      <c r="X334" s="155">
        <f ca="1"/>
        <v>1.2042131390685995E-3</v>
      </c>
      <c r="Y334" s="155">
        <f ca="1"/>
        <v>2.567539961605303E-3</v>
      </c>
      <c r="Z334" s="155">
        <f ca="1"/>
        <v>6.0537164011748024E-3</v>
      </c>
      <c r="AA334" s="155">
        <f ca="1"/>
        <v>1.1215448368394498E-2</v>
      </c>
      <c r="AB334" s="155">
        <f ca="1"/>
        <v>0</v>
      </c>
      <c r="AC334" s="155">
        <f ca="1"/>
        <v>3.0556097315503683E-2</v>
      </c>
      <c r="AD334" s="155">
        <f ca="1"/>
        <v>4.5319646676558856E-2</v>
      </c>
      <c r="AE334" s="138">
        <f ca="1"/>
        <v>7.1569999169884935E-2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4" t="s">
        <v>87</v>
      </c>
      <c r="G335" s="154">
        <v>1.75E-3</v>
      </c>
      <c r="H335" s="154" t="s">
        <v>87</v>
      </c>
      <c r="I335" s="154">
        <v>3.2499999999999999E-3</v>
      </c>
      <c r="J335" s="154" t="s">
        <v>87</v>
      </c>
      <c r="K335" s="154">
        <v>4.2500000000000003E-3</v>
      </c>
      <c r="L335" s="154">
        <v>4.6499999999999996E-3</v>
      </c>
      <c r="M335" s="154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55">
        <f ca="1"/>
        <v>0</v>
      </c>
      <c r="P335" s="155">
        <f ca="1"/>
        <v>3.0921898606319775E-3</v>
      </c>
      <c r="Q335" s="155">
        <f ca="1"/>
        <v>0</v>
      </c>
      <c r="R335" s="155">
        <f ca="1"/>
        <v>1.6725507971011355E-2</v>
      </c>
      <c r="S335" s="155">
        <f ca="1"/>
        <v>0</v>
      </c>
      <c r="T335" s="155">
        <f ca="1"/>
        <v>3.6350799916140542E-2</v>
      </c>
      <c r="U335" s="155">
        <f ca="1"/>
        <v>5.5221034145349401E-2</v>
      </c>
      <c r="V335" s="138">
        <f ca="1"/>
        <v>8.2956504628652783E-2</v>
      </c>
      <c r="W335" s="137">
        <f ca="1"/>
        <v>0</v>
      </c>
      <c r="X335" s="155">
        <f ca="1"/>
        <v>0</v>
      </c>
      <c r="Y335" s="155">
        <f ca="1"/>
        <v>3.2583273171491456E-3</v>
      </c>
      <c r="Z335" s="155">
        <f ca="1"/>
        <v>0</v>
      </c>
      <c r="AA335" s="155">
        <f ca="1"/>
        <v>1.7217022328224862E-2</v>
      </c>
      <c r="AB335" s="155">
        <f ca="1"/>
        <v>0</v>
      </c>
      <c r="AC335" s="155">
        <f ca="1"/>
        <v>3.7153506408724501E-2</v>
      </c>
      <c r="AD335" s="155">
        <f ca="1"/>
        <v>5.6345616902035878E-2</v>
      </c>
      <c r="AE335" s="138">
        <f ca="1"/>
        <v>8.4483637490078922E-2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4" t="s">
        <v>87</v>
      </c>
      <c r="G336" s="154">
        <v>1.013E-3</v>
      </c>
      <c r="H336" s="154" t="s">
        <v>87</v>
      </c>
      <c r="I336" s="154">
        <v>2.0270000000000002E-3</v>
      </c>
      <c r="J336" s="154" t="s">
        <v>87</v>
      </c>
      <c r="K336" s="154">
        <v>3.6679999999999998E-3</v>
      </c>
      <c r="L336" s="154">
        <v>4.1850000000000004E-3</v>
      </c>
      <c r="M336" s="154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55">
        <f ca="1"/>
        <v>0</v>
      </c>
      <c r="P336" s="155">
        <f ca="1"/>
        <v>1.3436196649425636E-3</v>
      </c>
      <c r="Q336" s="155">
        <f ca="1"/>
        <v>0</v>
      </c>
      <c r="R336" s="155">
        <f ca="1"/>
        <v>7.8601315140440775E-3</v>
      </c>
      <c r="S336" s="155">
        <f ca="1"/>
        <v>0</v>
      </c>
      <c r="T336" s="155">
        <f ca="1"/>
        <v>2.4029524992996709E-2</v>
      </c>
      <c r="U336" s="155">
        <f ca="1"/>
        <v>3.8119045092461223E-2</v>
      </c>
      <c r="V336" s="138">
        <f ca="1"/>
        <v>6.1202216703949874E-2</v>
      </c>
      <c r="W336" s="137">
        <f ca="1"/>
        <v>0</v>
      </c>
      <c r="X336" s="155">
        <f ca="1"/>
        <v>0</v>
      </c>
      <c r="Y336" s="155">
        <f ca="1"/>
        <v>1.4684439108115788E-3</v>
      </c>
      <c r="Z336" s="155">
        <f ca="1"/>
        <v>0</v>
      </c>
      <c r="AA336" s="155">
        <f ca="1"/>
        <v>8.2321142136437819E-3</v>
      </c>
      <c r="AB336" s="155">
        <f ca="1"/>
        <v>0</v>
      </c>
      <c r="AC336" s="155">
        <f ca="1"/>
        <v>2.4639315960369057E-2</v>
      </c>
      <c r="AD336" s="155">
        <f ca="1"/>
        <v>3.8978602743032886E-2</v>
      </c>
      <c r="AE336" s="138">
        <f ca="1"/>
        <v>6.2374980802783586E-2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4">
        <v>5.0000000000000001E-4</v>
      </c>
      <c r="G337" s="154">
        <v>1E-3</v>
      </c>
      <c r="H337" s="154">
        <v>1.6000000000000001E-3</v>
      </c>
      <c r="I337" s="154">
        <v>2.2000000000000001E-3</v>
      </c>
      <c r="J337" s="154" t="s">
        <v>87</v>
      </c>
      <c r="K337" s="154">
        <v>3.3E-3</v>
      </c>
      <c r="L337" s="154">
        <v>3.8999999999999998E-3</v>
      </c>
      <c r="M337" s="154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55">
        <f ca="1"/>
        <v>3.4881152822985317E-4</v>
      </c>
      <c r="P337" s="155">
        <f ca="1"/>
        <v>1.3353103439676106E-3</v>
      </c>
      <c r="Q337" s="155">
        <f ca="1"/>
        <v>4.171194999109451E-3</v>
      </c>
      <c r="R337" s="155">
        <f ca="1"/>
        <v>8.5484549843606317E-3</v>
      </c>
      <c r="S337" s="155">
        <f ca="1"/>
        <v>0</v>
      </c>
      <c r="T337" s="155">
        <f ca="1"/>
        <v>2.1272782310693183E-2</v>
      </c>
      <c r="U337" s="155">
        <f ca="1"/>
        <v>3.498552199114624E-2</v>
      </c>
      <c r="V337" s="138">
        <f ca="1"/>
        <v>5.7245476960874453E-2</v>
      </c>
      <c r="W337" s="137">
        <f ca="1"/>
        <v>0</v>
      </c>
      <c r="X337" s="155">
        <f ca="1"/>
        <v>4.1855902826515301E-4</v>
      </c>
      <c r="Y337" s="155">
        <f ca="1"/>
        <v>1.4601356284241751E-3</v>
      </c>
      <c r="Z337" s="155">
        <f ca="1"/>
        <v>4.4201210833212379E-3</v>
      </c>
      <c r="AA337" s="155">
        <f ca="1"/>
        <v>8.9201796110165432E-3</v>
      </c>
      <c r="AB337" s="155">
        <f ca="1"/>
        <v>0</v>
      </c>
      <c r="AC337" s="155">
        <f ca="1"/>
        <v>2.1899408281379262E-2</v>
      </c>
      <c r="AD337" s="155">
        <f ca="1"/>
        <v>3.5848558642761486E-2</v>
      </c>
      <c r="AE337" s="138">
        <f ca="1"/>
        <v>5.8446331078278013E-2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4" t="s">
        <v>87</v>
      </c>
      <c r="G338" s="154">
        <v>1.3649999999999999E-3</v>
      </c>
      <c r="H338" s="154" t="s">
        <v>87</v>
      </c>
      <c r="I338" s="154">
        <v>3.6960000000000001E-3</v>
      </c>
      <c r="J338" s="154" t="s">
        <v>87</v>
      </c>
      <c r="K338" s="154">
        <v>4.3E-3</v>
      </c>
      <c r="L338" s="154">
        <v>4.3499999999999997E-3</v>
      </c>
      <c r="M338" s="154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55">
        <f ca="1"/>
        <v>0</v>
      </c>
      <c r="P338" s="155">
        <f ca="1"/>
        <v>2.4127231949515604E-3</v>
      </c>
      <c r="Q338" s="155">
        <f ca="1"/>
        <v>0</v>
      </c>
      <c r="R338" s="155">
        <f ca="1"/>
        <v>1.9089570258126853E-2</v>
      </c>
      <c r="S338" s="155">
        <f ca="1"/>
        <v>0</v>
      </c>
      <c r="T338" s="155">
        <f ca="1"/>
        <v>3.6589091975827492E-2</v>
      </c>
      <c r="U338" s="155">
        <f ca="1"/>
        <v>5.1040468249840432E-2</v>
      </c>
      <c r="V338" s="138">
        <f ca="1"/>
        <v>7.2598235234348496E-2</v>
      </c>
      <c r="W338" s="137">
        <f ca="1"/>
        <v>0</v>
      </c>
      <c r="X338" s="155">
        <f ca="1"/>
        <v>0</v>
      </c>
      <c r="Y338" s="155">
        <f ca="1"/>
        <v>2.5789738864561151E-3</v>
      </c>
      <c r="Z338" s="155">
        <f ca="1"/>
        <v>0</v>
      </c>
      <c r="AA338" s="155">
        <f ca="1"/>
        <v>1.9579902879599098E-2</v>
      </c>
      <c r="AB338" s="155">
        <f ca="1"/>
        <v>0</v>
      </c>
      <c r="AC338" s="155">
        <f ca="1"/>
        <v>3.7391599974418321E-2</v>
      </c>
      <c r="AD338" s="155">
        <f ca="1"/>
        <v>5.2146942134938645E-2</v>
      </c>
      <c r="AE338" s="138">
        <f ca="1"/>
        <v>7.4142617499533547E-2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4" t="s">
        <v>87</v>
      </c>
      <c r="G339" s="154">
        <v>1.029E-3</v>
      </c>
      <c r="H339" s="154" t="s">
        <v>87</v>
      </c>
      <c r="I339" s="154">
        <v>2.5209999999999998E-3</v>
      </c>
      <c r="J339" s="154" t="s">
        <v>87</v>
      </c>
      <c r="K339" s="154">
        <v>3.5500000000000002E-3</v>
      </c>
      <c r="L339" s="154">
        <v>3.5500000000000002E-3</v>
      </c>
      <c r="M339" s="154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55">
        <f ca="1"/>
        <v>0</v>
      </c>
      <c r="P339" s="155">
        <f ca="1"/>
        <v>1.36482730913845E-3</v>
      </c>
      <c r="Q339" s="155">
        <f ca="1"/>
        <v>0</v>
      </c>
      <c r="R339" s="155">
        <f ca="1"/>
        <v>9.7908348475764795E-3</v>
      </c>
      <c r="S339" s="155">
        <f ca="1"/>
        <v>0</v>
      </c>
      <c r="T339" s="155">
        <f ca="1"/>
        <v>2.3021754219508916E-2</v>
      </c>
      <c r="U339" s="155">
        <f ca="1"/>
        <v>3.1709081832480779E-2</v>
      </c>
      <c r="V339" s="138">
        <f ca="1"/>
        <v>5.0575513226375213E-2</v>
      </c>
      <c r="W339" s="137">
        <f ca="1"/>
        <v>0</v>
      </c>
      <c r="X339" s="155">
        <f ca="1"/>
        <v>0</v>
      </c>
      <c r="Y339" s="155">
        <f ca="1"/>
        <v>1.4896489042307559E-3</v>
      </c>
      <c r="Z339" s="155">
        <f ca="1"/>
        <v>0</v>
      </c>
      <c r="AA339" s="155">
        <f ca="1"/>
        <v>1.0162093669104255E-2</v>
      </c>
      <c r="AB339" s="155">
        <f ca="1"/>
        <v>0</v>
      </c>
      <c r="AC339" s="155">
        <f ca="1"/>
        <v>2.3632174846828669E-2</v>
      </c>
      <c r="AD339" s="155">
        <f ca="1"/>
        <v>3.2572960389564032E-2</v>
      </c>
      <c r="AE339" s="138">
        <f ca="1"/>
        <v>5.1761552405923394E-2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4" t="s">
        <v>87</v>
      </c>
      <c r="G340" s="154">
        <v>6.6299999999999996E-4</v>
      </c>
      <c r="H340" s="154" t="s">
        <v>87</v>
      </c>
      <c r="I340" s="154">
        <v>1.534E-3</v>
      </c>
      <c r="J340" s="154" t="s">
        <v>87</v>
      </c>
      <c r="K340" s="154">
        <v>2.65E-3</v>
      </c>
      <c r="L340" s="154">
        <v>3.4399999999999999E-3</v>
      </c>
      <c r="M340" s="154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55">
        <f ca="1"/>
        <v>0</v>
      </c>
      <c r="P340" s="155">
        <f ca="1"/>
        <v>8.795905797289727E-4</v>
      </c>
      <c r="Q340" s="155">
        <f ca="1"/>
        <v>0</v>
      </c>
      <c r="R340" s="155">
        <f ca="1"/>
        <v>5.9629624497599121E-3</v>
      </c>
      <c r="S340" s="155">
        <f ca="1"/>
        <v>0</v>
      </c>
      <c r="T340" s="155">
        <f ca="1"/>
        <v>1.7377195339218776E-2</v>
      </c>
      <c r="U340" s="155">
        <f ca="1"/>
        <v>3.1772794715050123E-2</v>
      </c>
      <c r="V340" s="138">
        <f ca="1"/>
        <v>5.6770284842330265E-2</v>
      </c>
      <c r="W340" s="137">
        <f ca="1"/>
        <v>0</v>
      </c>
      <c r="X340" s="155">
        <f ca="1"/>
        <v>0</v>
      </c>
      <c r="Y340" s="155">
        <f ca="1"/>
        <v>1.0044728256246582E-3</v>
      </c>
      <c r="Z340" s="155">
        <f ca="1"/>
        <v>0</v>
      </c>
      <c r="AA340" s="155">
        <f ca="1"/>
        <v>6.3356564543661786E-3</v>
      </c>
      <c r="AB340" s="155">
        <f ca="1"/>
        <v>0</v>
      </c>
      <c r="AC340" s="155">
        <f ca="1"/>
        <v>1.7991142713599251E-2</v>
      </c>
      <c r="AD340" s="155">
        <f ca="1"/>
        <v>3.2637993371024354E-2</v>
      </c>
      <c r="AE340" s="138">
        <f ca="1"/>
        <v>5.7968262841347706E-2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4">
        <v>5.0000000000000001E-4</v>
      </c>
      <c r="G341" s="154">
        <v>6.9999999999999999E-4</v>
      </c>
      <c r="H341" s="154">
        <v>1.1000000000000001E-3</v>
      </c>
      <c r="I341" s="154">
        <v>1.6000000000000001E-3</v>
      </c>
      <c r="J341" s="154" t="s">
        <v>87</v>
      </c>
      <c r="K341" s="154">
        <v>2.5999999999999999E-3</v>
      </c>
      <c r="L341" s="154">
        <v>3.3E-3</v>
      </c>
      <c r="M341" s="154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55">
        <f ca="1"/>
        <v>4.6505499562699004E-4</v>
      </c>
      <c r="P341" s="155">
        <f ca="1"/>
        <v>1.2437694058637927E-3</v>
      </c>
      <c r="Q341" s="155">
        <f ca="1"/>
        <v>3.8208714895480167E-3</v>
      </c>
      <c r="R341" s="155">
        <f ca="1"/>
        <v>8.2952265556373028E-3</v>
      </c>
      <c r="S341" s="155">
        <f ca="1"/>
        <v>0</v>
      </c>
      <c r="T341" s="155">
        <f ca="1"/>
        <v>2.2387060739594955E-2</v>
      </c>
      <c r="U341" s="155">
        <f ca="1"/>
        <v>3.9595970177805251E-2</v>
      </c>
      <c r="V341" s="138">
        <f ca="1"/>
        <v>6.9822224532290367E-2</v>
      </c>
      <c r="W341" s="137">
        <f ca="1"/>
        <v>0</v>
      </c>
      <c r="X341" s="155">
        <f ca="1"/>
        <v>5.5803964578249321E-4</v>
      </c>
      <c r="Y341" s="155">
        <f ca="1"/>
        <v>1.4102149067779512E-3</v>
      </c>
      <c r="Z341" s="155">
        <f ca="1"/>
        <v>4.1528758618992745E-3</v>
      </c>
      <c r="AA341" s="155">
        <f ca="1"/>
        <v>8.7909549999354297E-3</v>
      </c>
      <c r="AB341" s="155">
        <f ca="1"/>
        <v>0</v>
      </c>
      <c r="AC341" s="155">
        <f ca="1"/>
        <v>2.3222026778754623E-2</v>
      </c>
      <c r="AD341" s="155">
        <f ca="1"/>
        <v>4.0742586807456238E-2</v>
      </c>
      <c r="AE341" s="138">
        <f ca="1"/>
        <v>7.1405028767055456E-2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4">
        <v>8.0000000000000004E-4</v>
      </c>
      <c r="G342" s="154">
        <v>1.2700000000000001E-3</v>
      </c>
      <c r="H342" s="154">
        <v>1.8699999999999999E-3</v>
      </c>
      <c r="I342" s="154">
        <v>2.3E-3</v>
      </c>
      <c r="J342" s="154" t="s">
        <v>87</v>
      </c>
      <c r="K342" s="154">
        <v>2.8E-3</v>
      </c>
      <c r="L342" s="154">
        <v>3.2000000000000002E-3</v>
      </c>
      <c r="M342" s="154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55">
        <f ca="1"/>
        <v>7.4398417212018231E-4</v>
      </c>
      <c r="P342" s="155">
        <f ca="1"/>
        <v>2.2574629962492931E-3</v>
      </c>
      <c r="Q342" s="155">
        <f ca="1"/>
        <v>6.4861659878150402E-3</v>
      </c>
      <c r="R342" s="155">
        <f ca="1"/>
        <v>1.186617237851717E-2</v>
      </c>
      <c r="S342" s="155">
        <f ca="1"/>
        <v>0</v>
      </c>
      <c r="T342" s="155">
        <f ca="1"/>
        <v>2.3863953168593355E-2</v>
      </c>
      <c r="U342" s="155">
        <f ca="1"/>
        <v>3.7978462057208562E-2</v>
      </c>
      <c r="V342" s="138">
        <f ca="1"/>
        <v>6.2379540275527279E-2</v>
      </c>
      <c r="W342" s="137">
        <f ca="1"/>
        <v>0</v>
      </c>
      <c r="X342" s="155">
        <f ca="1"/>
        <v>8.3694231015207787E-4</v>
      </c>
      <c r="Y342" s="155">
        <f ca="1"/>
        <v>2.4237395623178948E-3</v>
      </c>
      <c r="Z342" s="155">
        <f ca="1"/>
        <v>6.8172820767253839E-3</v>
      </c>
      <c r="AA342" s="155">
        <f ca="1"/>
        <v>1.2360115796163917E-2</v>
      </c>
      <c r="AB342" s="155">
        <f ca="1"/>
        <v>0</v>
      </c>
      <c r="AC342" s="155">
        <f ca="1"/>
        <v>2.4696772890167584E-2</v>
      </c>
      <c r="AD342" s="155">
        <f ca="1"/>
        <v>3.9124699959859455E-2</v>
      </c>
      <c r="AE342" s="138">
        <f ca="1"/>
        <v>6.3971648457865848E-2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4" t="s">
        <v>87</v>
      </c>
      <c r="G343" s="154">
        <v>1.683E-3</v>
      </c>
      <c r="H343" s="154" t="s">
        <v>87</v>
      </c>
      <c r="I343" s="154">
        <v>3.1979999999999999E-3</v>
      </c>
      <c r="J343" s="154" t="s">
        <v>87</v>
      </c>
      <c r="K343" s="154">
        <v>5.0499999999999998E-3</v>
      </c>
      <c r="L343" s="154">
        <v>6.9020000000000001E-3</v>
      </c>
      <c r="M343" s="154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55">
        <f ca="1"/>
        <v>0</v>
      </c>
      <c r="P343" s="155">
        <f ca="1"/>
        <v>2.2313073677624473E-3</v>
      </c>
      <c r="Q343" s="155">
        <f ca="1"/>
        <v>0</v>
      </c>
      <c r="R343" s="155">
        <f ca="1"/>
        <v>1.2369683922719532E-2</v>
      </c>
      <c r="S343" s="155">
        <f ca="1"/>
        <v>0</v>
      </c>
      <c r="T343" s="155">
        <f ca="1"/>
        <v>3.2776058044618028E-2</v>
      </c>
      <c r="U343" s="155">
        <f ca="1"/>
        <v>6.318500375350522E-2</v>
      </c>
      <c r="V343" s="138">
        <f ca="1"/>
        <v>8.7074528353160208E-2</v>
      </c>
      <c r="W343" s="137">
        <f ca="1"/>
        <v>0</v>
      </c>
      <c r="X343" s="155">
        <f ca="1"/>
        <v>0</v>
      </c>
      <c r="Y343" s="155">
        <f ca="1"/>
        <v>2.3560206595953925E-3</v>
      </c>
      <c r="Z343" s="155">
        <f ca="1"/>
        <v>0</v>
      </c>
      <c r="AA343" s="155">
        <f ca="1"/>
        <v>1.2739975857135821E-2</v>
      </c>
      <c r="AB343" s="155">
        <f ca="1"/>
        <v>0</v>
      </c>
      <c r="AC343" s="155">
        <f ca="1"/>
        <v>3.338038413677169E-2</v>
      </c>
      <c r="AD343" s="155">
        <f ca="1"/>
        <v>6.4004358355343682E-2</v>
      </c>
      <c r="AE343" s="138">
        <f ca="1"/>
        <v>8.8236554988770366E-2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4" t="s">
        <v>87</v>
      </c>
      <c r="G344" s="154">
        <v>2.872E-3</v>
      </c>
      <c r="H344" s="154" t="s">
        <v>87</v>
      </c>
      <c r="I344" s="154">
        <v>4.6160000000000003E-3</v>
      </c>
      <c r="J344" s="154" t="s">
        <v>87</v>
      </c>
      <c r="K344" s="154">
        <v>5.9500000000000004E-3</v>
      </c>
      <c r="L344" s="154">
        <v>6.3600000000000002E-3</v>
      </c>
      <c r="M344" s="154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55">
        <f ca="1"/>
        <v>0</v>
      </c>
      <c r="P344" s="155">
        <f ca="1"/>
        <v>3.8046951822795494E-3</v>
      </c>
      <c r="Q344" s="155">
        <f ca="1"/>
        <v>0</v>
      </c>
      <c r="R344" s="155">
        <f ca="1"/>
        <v>1.7768572173839647E-2</v>
      </c>
      <c r="S344" s="155">
        <f ca="1"/>
        <v>0</v>
      </c>
      <c r="T344" s="155">
        <f ca="1"/>
        <v>3.8067039902313193E-2</v>
      </c>
      <c r="U344" s="155">
        <f ca="1"/>
        <v>5.6373703903451755E-2</v>
      </c>
      <c r="V344" s="138">
        <f ca="1"/>
        <v>9.075020780174603E-2</v>
      </c>
      <c r="W344" s="137">
        <f ca="1"/>
        <v>0</v>
      </c>
      <c r="X344" s="155">
        <f ca="1"/>
        <v>0</v>
      </c>
      <c r="Y344" s="155">
        <f ca="1"/>
        <v>3.9292118129424791E-3</v>
      </c>
      <c r="Z344" s="155">
        <f ca="1"/>
        <v>0</v>
      </c>
      <c r="AA344" s="155">
        <f ca="1"/>
        <v>1.8136839904783986E-2</v>
      </c>
      <c r="AB344" s="155">
        <f ca="1"/>
        <v>0</v>
      </c>
      <c r="AC344" s="155">
        <f ca="1"/>
        <v>3.8668060163963736E-2</v>
      </c>
      <c r="AD344" s="155">
        <f ca="1"/>
        <v>5.7199015785937224E-2</v>
      </c>
      <c r="AE344" s="138">
        <f ca="1"/>
        <v>9.1916799223578427E-2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4">
        <v>1.15E-3</v>
      </c>
      <c r="G345" s="154">
        <v>1.66E-3</v>
      </c>
      <c r="H345" s="154">
        <v>2.82E-3</v>
      </c>
      <c r="I345" s="154">
        <v>3.8899999999999998E-3</v>
      </c>
      <c r="J345" s="154" t="s">
        <v>87</v>
      </c>
      <c r="K345" s="154">
        <v>5.4999999999999997E-3</v>
      </c>
      <c r="L345" s="154">
        <v>6.2100000000000002E-3</v>
      </c>
      <c r="M345" s="154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55">
        <f ca="1"/>
        <v>8.0208462035769035E-4</v>
      </c>
      <c r="P345" s="155">
        <f ca="1"/>
        <v>2.2116935589291398E-3</v>
      </c>
      <c r="Q345" s="155">
        <f ca="1"/>
        <v>7.3425301445564362E-3</v>
      </c>
      <c r="R345" s="155">
        <f ca="1"/>
        <v>1.5079550339153092E-2</v>
      </c>
      <c r="S345" s="155">
        <f ca="1"/>
        <v>0</v>
      </c>
      <c r="T345" s="155">
        <f ca="1"/>
        <v>3.5214843152164055E-2</v>
      </c>
      <c r="U345" s="155">
        <f ca="1"/>
        <v>5.5061880600682844E-2</v>
      </c>
      <c r="V345" s="138">
        <f ca="1"/>
        <v>8.248852929784678E-2</v>
      </c>
      <c r="W345" s="137">
        <f ca="1"/>
        <v>0</v>
      </c>
      <c r="X345" s="155">
        <f ca="1"/>
        <v>8.7179965329831077E-4</v>
      </c>
      <c r="Y345" s="155">
        <f ca="1"/>
        <v>2.3364093023453547E-3</v>
      </c>
      <c r="Z345" s="155">
        <f ca="1"/>
        <v>7.590663494042027E-3</v>
      </c>
      <c r="AA345" s="155">
        <f ca="1"/>
        <v>1.5448826264219728E-2</v>
      </c>
      <c r="AB345" s="155">
        <f ca="1"/>
        <v>0</v>
      </c>
      <c r="AC345" s="155">
        <f ca="1"/>
        <v>3.5832355758161571E-2</v>
      </c>
      <c r="AD345" s="155">
        <f ca="1"/>
        <v>5.5907247331071441E-2</v>
      </c>
      <c r="AE345" s="138">
        <f ca="1"/>
        <v>8.3654809636759087E-2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4">
        <v>1.49E-3</v>
      </c>
      <c r="G346" s="154">
        <v>2.1800000000000001E-3</v>
      </c>
      <c r="H346" s="154">
        <v>3.0999999999999999E-3</v>
      </c>
      <c r="I346" s="154">
        <v>3.98E-3</v>
      </c>
      <c r="J346" s="154" t="s">
        <v>87</v>
      </c>
      <c r="K346" s="154">
        <v>5.3E-3</v>
      </c>
      <c r="L346" s="154">
        <v>5.8999999999999999E-3</v>
      </c>
      <c r="M346" s="154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55">
        <f ca="1"/>
        <v>1.0390994499390738E-3</v>
      </c>
      <c r="P346" s="155">
        <f ca="1"/>
        <v>2.9039419326373217E-3</v>
      </c>
      <c r="Q346" s="155">
        <f ca="1"/>
        <v>8.0545841782323491E-3</v>
      </c>
      <c r="R346" s="155">
        <f ca="1"/>
        <v>1.538856414933687E-2</v>
      </c>
      <c r="S346" s="155">
        <f ca="1"/>
        <v>0</v>
      </c>
      <c r="T346" s="155">
        <f ca="1"/>
        <v>3.385076328128811E-2</v>
      </c>
      <c r="U346" s="155">
        <f ca="1"/>
        <v>5.2226078617400029E-2</v>
      </c>
      <c r="V346" s="138">
        <f ca="1"/>
        <v>7.8507483270668144E-2</v>
      </c>
      <c r="W346" s="137">
        <f ca="1"/>
        <v>0</v>
      </c>
      <c r="X346" s="155">
        <f ca="1"/>
        <v>1.1087972349269615E-3</v>
      </c>
      <c r="Y346" s="155">
        <f ca="1"/>
        <v>3.028571150411663E-3</v>
      </c>
      <c r="Z346" s="155">
        <f ca="1"/>
        <v>8.3025395364586529E-3</v>
      </c>
      <c r="AA346" s="155">
        <f ca="1"/>
        <v>1.5757724215934354E-2</v>
      </c>
      <c r="AB346" s="155">
        <f ca="1"/>
        <v>0</v>
      </c>
      <c r="AC346" s="155">
        <f ca="1"/>
        <v>3.4468963494107552E-2</v>
      </c>
      <c r="AD346" s="155">
        <f ca="1"/>
        <v>5.3073435969357541E-2</v>
      </c>
      <c r="AE346" s="138">
        <f ca="1"/>
        <v>7.9678535470872225E-2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4">
        <v>1.39E-3</v>
      </c>
      <c r="G347" s="154">
        <v>2.0899999999999998E-3</v>
      </c>
      <c r="H347" s="154">
        <v>3.0500000000000002E-3</v>
      </c>
      <c r="I347" s="154">
        <v>3.8999999999999998E-3</v>
      </c>
      <c r="J347" s="154" t="s">
        <v>87</v>
      </c>
      <c r="K347" s="154">
        <v>5.3E-3</v>
      </c>
      <c r="L347" s="154">
        <v>6.0000000000000001E-3</v>
      </c>
      <c r="M347" s="154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55">
        <f ca="1"/>
        <v>9.6939504119430975E-4</v>
      </c>
      <c r="P347" s="155">
        <f ca="1"/>
        <v>2.7847065339127175E-3</v>
      </c>
      <c r="Q347" s="155">
        <f ca="1"/>
        <v>7.9279291173388611E-3</v>
      </c>
      <c r="R347" s="155">
        <f ca="1"/>
        <v>1.5082627098453205E-2</v>
      </c>
      <c r="S347" s="155">
        <f ca="1"/>
        <v>0</v>
      </c>
      <c r="T347" s="155">
        <f ca="1"/>
        <v>3.3874047355700876E-2</v>
      </c>
      <c r="U347" s="155">
        <f ca="1"/>
        <v>5.3170944268526421E-2</v>
      </c>
      <c r="V347" s="138">
        <f ca="1"/>
        <v>8.2434205465394927E-2</v>
      </c>
      <c r="W347" s="137">
        <f ca="1"/>
        <v>0</v>
      </c>
      <c r="X347" s="155">
        <f ca="1"/>
        <v>1.0390979185826987E-3</v>
      </c>
      <c r="Y347" s="155">
        <f ca="1"/>
        <v>2.9093506551665094E-3</v>
      </c>
      <c r="Z347" s="155">
        <f ca="1"/>
        <v>8.175916135381045E-3</v>
      </c>
      <c r="AA347" s="155">
        <f ca="1"/>
        <v>1.5451901869925511E-2</v>
      </c>
      <c r="AB347" s="155">
        <f ca="1"/>
        <v>0</v>
      </c>
      <c r="AC347" s="155">
        <f ca="1"/>
        <v>3.449226806456851E-2</v>
      </c>
      <c r="AD347" s="155">
        <f ca="1"/>
        <v>5.4017668466856739E-2</v>
      </c>
      <c r="AE347" s="138">
        <f ca="1"/>
        <v>8.3600346263319025E-2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4" t="s">
        <v>87</v>
      </c>
      <c r="G348" s="154">
        <v>2.5000000000000001E-3</v>
      </c>
      <c r="H348" s="154" t="s">
        <v>87</v>
      </c>
      <c r="I348" s="154">
        <v>3.7000000000000002E-3</v>
      </c>
      <c r="J348" s="154" t="s">
        <v>87</v>
      </c>
      <c r="K348" s="154">
        <v>5.0000000000000001E-3</v>
      </c>
      <c r="L348" s="154">
        <v>5.7999999999999996E-3</v>
      </c>
      <c r="M348" s="154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55">
        <f ca="1"/>
        <v>0</v>
      </c>
      <c r="P348" s="155">
        <f ca="1"/>
        <v>4.4145088047529146E-3</v>
      </c>
      <c r="Q348" s="155">
        <f ca="1"/>
        <v>0</v>
      </c>
      <c r="R348" s="155">
        <f ca="1"/>
        <v>1.89527065023255E-2</v>
      </c>
      <c r="S348" s="155">
        <f ca="1"/>
        <v>0</v>
      </c>
      <c r="T348" s="155">
        <f ca="1"/>
        <v>4.2667346982701138E-2</v>
      </c>
      <c r="U348" s="155">
        <f ca="1"/>
        <v>6.8989127792148386E-2</v>
      </c>
      <c r="V348" s="138">
        <f ca="1"/>
        <v>0.11887679129318574</v>
      </c>
      <c r="W348" s="137">
        <f ca="1"/>
        <v>0</v>
      </c>
      <c r="X348" s="155">
        <f ca="1"/>
        <v>0</v>
      </c>
      <c r="Y348" s="155">
        <f ca="1"/>
        <v>4.5804258931253505E-3</v>
      </c>
      <c r="Z348" s="155">
        <f ca="1"/>
        <v>0</v>
      </c>
      <c r="AA348" s="155">
        <f ca="1"/>
        <v>1.9443107538600901E-2</v>
      </c>
      <c r="AB348" s="155">
        <f ca="1"/>
        <v>0</v>
      </c>
      <c r="AC348" s="155">
        <f ca="1"/>
        <v>4.3464791878727427E-2</v>
      </c>
      <c r="AD348" s="155">
        <f ca="1"/>
        <v>7.0096779715659197E-2</v>
      </c>
      <c r="AE348" s="138">
        <f ca="1"/>
        <v>0.12039262238753135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4">
        <v>1.2199999999999999E-3</v>
      </c>
      <c r="G349" s="154">
        <v>1.82E-3</v>
      </c>
      <c r="H349" s="154">
        <v>2.6700000000000001E-3</v>
      </c>
      <c r="I349" s="154">
        <v>3.4399999999999999E-3</v>
      </c>
      <c r="J349" s="154" t="s">
        <v>87</v>
      </c>
      <c r="K349" s="154">
        <v>4.7999999999999996E-3</v>
      </c>
      <c r="L349" s="154">
        <v>5.4999999999999997E-3</v>
      </c>
      <c r="M349" s="154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55">
        <f ca="1"/>
        <v>8.5088638666830363E-4</v>
      </c>
      <c r="P349" s="155">
        <f ca="1"/>
        <v>2.4251920953957118E-3</v>
      </c>
      <c r="Q349" s="155">
        <f ca="1"/>
        <v>6.9432060800724837E-3</v>
      </c>
      <c r="R349" s="155">
        <f ca="1"/>
        <v>1.3315348775520208E-2</v>
      </c>
      <c r="S349" s="155">
        <f ca="1"/>
        <v>0</v>
      </c>
      <c r="T349" s="155">
        <f ca="1"/>
        <v>3.0743525436386809E-2</v>
      </c>
      <c r="U349" s="155">
        <f ca="1"/>
        <v>4.8891138125839562E-2</v>
      </c>
      <c r="V349" s="138">
        <f ca="1"/>
        <v>7.6517230587896057E-2</v>
      </c>
      <c r="W349" s="137">
        <f ca="1"/>
        <v>0</v>
      </c>
      <c r="X349" s="155">
        <f ca="1"/>
        <v>9.2059788383858088E-4</v>
      </c>
      <c r="Y349" s="155">
        <f ca="1"/>
        <v>2.5498811531464716E-3</v>
      </c>
      <c r="Z349" s="155">
        <f ca="1"/>
        <v>7.1914392481027267E-3</v>
      </c>
      <c r="AA349" s="155">
        <f ca="1"/>
        <v>1.3685286152151366E-2</v>
      </c>
      <c r="AB349" s="155">
        <f ca="1"/>
        <v>0</v>
      </c>
      <c r="AC349" s="155">
        <f ca="1"/>
        <v>3.136388992778627E-2</v>
      </c>
      <c r="AD349" s="155">
        <f ca="1"/>
        <v>4.9741809726285724E-2</v>
      </c>
      <c r="AE349" s="138">
        <f ca="1"/>
        <v>7.7691749681117694E-2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4">
        <v>1.42E-3</v>
      </c>
      <c r="G350" s="154">
        <v>1.7700000000000001E-3</v>
      </c>
      <c r="H350" s="154">
        <v>2.66E-3</v>
      </c>
      <c r="I350" s="154">
        <v>3.4199999999999999E-3</v>
      </c>
      <c r="J350" s="154" t="s">
        <v>87</v>
      </c>
      <c r="K350" s="154">
        <v>4.5999999999999999E-3</v>
      </c>
      <c r="L350" s="154">
        <v>5.2399999999999999E-3</v>
      </c>
      <c r="M350" s="154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55">
        <f ca="1"/>
        <v>9.9030687433698805E-4</v>
      </c>
      <c r="P350" s="155">
        <f ca="1"/>
        <v>2.3555512715635052E-3</v>
      </c>
      <c r="Q350" s="155">
        <f ca="1"/>
        <v>6.9158924042043157E-3</v>
      </c>
      <c r="R350" s="155">
        <f ca="1"/>
        <v>1.3236332372331239E-2</v>
      </c>
      <c r="S350" s="155">
        <f ca="1"/>
        <v>0</v>
      </c>
      <c r="T350" s="155">
        <f ca="1"/>
        <v>2.9442521181471726E-2</v>
      </c>
      <c r="U350" s="155">
        <f ca="1"/>
        <v>4.6572448256420595E-2</v>
      </c>
      <c r="V350" s="138">
        <f ca="1"/>
        <v>7.2805873688053246E-2</v>
      </c>
      <c r="W350" s="137">
        <f ca="1"/>
        <v>0</v>
      </c>
      <c r="X350" s="155">
        <f ca="1"/>
        <v>1.0600082257428145E-3</v>
      </c>
      <c r="Y350" s="155">
        <f ca="1"/>
        <v>2.4802490338765582E-3</v>
      </c>
      <c r="Z350" s="155">
        <f ca="1"/>
        <v>7.1641323998238304E-3</v>
      </c>
      <c r="AA350" s="155">
        <f ca="1"/>
        <v>1.3606299374529396E-2</v>
      </c>
      <c r="AB350" s="155">
        <f ca="1"/>
        <v>0</v>
      </c>
      <c r="AC350" s="155">
        <f ca="1"/>
        <v>3.0063676165740572E-2</v>
      </c>
      <c r="AD350" s="155">
        <f ca="1"/>
        <v>4.7424952749908211E-2</v>
      </c>
      <c r="AE350" s="138">
        <f ca="1"/>
        <v>7.3985163160530276E-2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4">
        <v>1.8500000000000001E-3</v>
      </c>
      <c r="G351" s="154">
        <v>2.0699999999999998E-3</v>
      </c>
      <c r="H351" s="154">
        <v>2.81E-3</v>
      </c>
      <c r="I351" s="154">
        <v>3.2599999999999999E-3</v>
      </c>
      <c r="J351" s="154" t="s">
        <v>87</v>
      </c>
      <c r="K351" s="154">
        <v>4.1000000000000003E-3</v>
      </c>
      <c r="L351" s="154">
        <v>4.5999999999999999E-3</v>
      </c>
      <c r="M351" s="154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55">
        <f ca="1"/>
        <v>1.7196236251293406E-3</v>
      </c>
      <c r="P351" s="155">
        <f ca="1"/>
        <v>3.6674543526901138E-3</v>
      </c>
      <c r="Q351" s="155">
        <f ca="1"/>
        <v>9.714584926525327E-3</v>
      </c>
      <c r="R351" s="155">
        <f ca="1"/>
        <v>1.6742668563511254E-2</v>
      </c>
      <c r="S351" s="155">
        <f ca="1"/>
        <v>0</v>
      </c>
      <c r="T351" s="155">
        <f ca="1"/>
        <v>3.4778967411027262E-2</v>
      </c>
      <c r="U351" s="155">
        <f ca="1"/>
        <v>5.4148858605184702E-2</v>
      </c>
      <c r="V351" s="138">
        <f ca="1"/>
        <v>8.2962523419249257E-2</v>
      </c>
      <c r="W351" s="137">
        <f ca="1"/>
        <v>0</v>
      </c>
      <c r="X351" s="155">
        <f ca="1"/>
        <v>1.8124869276887612E-3</v>
      </c>
      <c r="Y351" s="155">
        <f ca="1"/>
        <v>3.8334959397758883E-3</v>
      </c>
      <c r="Z351" s="155">
        <f ca="1"/>
        <v>1.0044625055157907E-2</v>
      </c>
      <c r="AA351" s="155">
        <f ca="1"/>
        <v>1.7234174342552477E-2</v>
      </c>
      <c r="AB351" s="155">
        <f ca="1"/>
        <v>0</v>
      </c>
      <c r="AC351" s="155">
        <f ca="1"/>
        <v>3.5602435028331603E-2</v>
      </c>
      <c r="AD351" s="155">
        <f ca="1"/>
        <v>5.5276300658202993E-2</v>
      </c>
      <c r="AE351" s="138">
        <f ca="1"/>
        <v>8.4517539800237462E-2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4">
        <v>1.41E-3</v>
      </c>
      <c r="G352" s="154">
        <v>2.1900000000000001E-3</v>
      </c>
      <c r="H352" s="154">
        <v>3.2100000000000002E-3</v>
      </c>
      <c r="I352" s="154">
        <v>3.7299999999999998E-3</v>
      </c>
      <c r="J352" s="154" t="s">
        <v>87</v>
      </c>
      <c r="K352" s="154">
        <v>4.4999999999999997E-3</v>
      </c>
      <c r="L352" s="154">
        <v>4.8900000000000002E-3</v>
      </c>
      <c r="M352" s="154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55">
        <f ca="1"/>
        <v>1.3085594739854489E-3</v>
      </c>
      <c r="P352" s="155">
        <f ca="1"/>
        <v>3.8868088620600538E-3</v>
      </c>
      <c r="Q352" s="155">
        <f ca="1"/>
        <v>1.1118572075604183E-2</v>
      </c>
      <c r="R352" s="155">
        <f ca="1"/>
        <v>1.9191433321674389E-2</v>
      </c>
      <c r="S352" s="155">
        <f ca="1"/>
        <v>0</v>
      </c>
      <c r="T352" s="155">
        <f ca="1"/>
        <v>3.8281198491290302E-2</v>
      </c>
      <c r="U352" s="155">
        <f ca="1"/>
        <v>5.7778260301626028E-2</v>
      </c>
      <c r="V352" s="138">
        <f ca="1"/>
        <v>8.8106633988834893E-2</v>
      </c>
      <c r="W352" s="137">
        <f ca="1"/>
        <v>0</v>
      </c>
      <c r="X352" s="155">
        <f ca="1"/>
        <v>1.4012963136370571E-3</v>
      </c>
      <c r="Y352" s="155">
        <f ca="1"/>
        <v>4.0528138931120727E-3</v>
      </c>
      <c r="Z352" s="155">
        <f ca="1"/>
        <v>1.1448144286496986E-2</v>
      </c>
      <c r="AA352" s="155">
        <f ca="1"/>
        <v>1.9681715024358448E-2</v>
      </c>
      <c r="AB352" s="155">
        <f ca="1"/>
        <v>0</v>
      </c>
      <c r="AC352" s="155">
        <f ca="1"/>
        <v>3.908229698845811E-2</v>
      </c>
      <c r="AD352" s="155">
        <f ca="1"/>
        <v>5.8898876665062549E-2</v>
      </c>
      <c r="AE352" s="138">
        <f ca="1"/>
        <v>8.9625190450250303E-2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3" s="79" customFormat="1" ht="10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4">
        <v>1.0200000000000001E-3</v>
      </c>
      <c r="G353" s="154">
        <v>1.5399999999999999E-3</v>
      </c>
      <c r="H353" s="154">
        <v>2.0500000000000002E-3</v>
      </c>
      <c r="I353" s="154">
        <v>2.7599999999999999E-3</v>
      </c>
      <c r="J353" s="154" t="s">
        <v>87</v>
      </c>
      <c r="K353" s="154">
        <v>4.3E-3</v>
      </c>
      <c r="L353" s="154">
        <v>5.0000000000000001E-3</v>
      </c>
      <c r="M353" s="154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55">
        <f ca="1"/>
        <v>9.4848277039671913E-4</v>
      </c>
      <c r="P353" s="155">
        <f ca="1"/>
        <v>2.7359817652823359E-3</v>
      </c>
      <c r="Q353" s="155">
        <f ca="1"/>
        <v>7.0997710291730298E-3</v>
      </c>
      <c r="R353" s="155">
        <f ca="1"/>
        <v>1.4244612578772298E-2</v>
      </c>
      <c r="S353" s="155">
        <f ca="1"/>
        <v>0</v>
      </c>
      <c r="T353" s="155">
        <f ca="1"/>
        <v>3.6761169744343514E-2</v>
      </c>
      <c r="U353" s="155">
        <f ca="1"/>
        <v>5.9194093174838591E-2</v>
      </c>
      <c r="V353" s="138">
        <f ca="1"/>
        <v>8.9728906889813609E-2</v>
      </c>
      <c r="W353" s="137">
        <f ca="1"/>
        <v>0</v>
      </c>
      <c r="X353" s="155">
        <f ca="1"/>
        <v>1.0414213074283474E-3</v>
      </c>
      <c r="Y353" s="155">
        <f ca="1"/>
        <v>2.902178584873405E-3</v>
      </c>
      <c r="Z353" s="155">
        <f ca="1"/>
        <v>7.4306826171577356E-3</v>
      </c>
      <c r="AA353" s="155">
        <f ca="1"/>
        <v>1.473736707359008E-2</v>
      </c>
      <c r="AB353" s="155">
        <f ca="1"/>
        <v>0</v>
      </c>
      <c r="AC353" s="155">
        <f ca="1"/>
        <v>3.7583842891416475E-2</v>
      </c>
      <c r="AD353" s="155">
        <f ca="1"/>
        <v>6.0317727904688256E-2</v>
      </c>
      <c r="AE353" s="138">
        <f ca="1"/>
        <v>9.1274258993771618E-2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3" s="79" customFormat="1" ht="10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4">
        <v>1.65E-3</v>
      </c>
      <c r="G354" s="154">
        <v>2.5300000000000001E-3</v>
      </c>
      <c r="H354" s="154">
        <v>3.2299999999999998E-3</v>
      </c>
      <c r="I354" s="154">
        <v>3.5400000000000002E-3</v>
      </c>
      <c r="J354" s="154" t="s">
        <v>87</v>
      </c>
      <c r="K354" s="154">
        <v>4.1999999999999997E-3</v>
      </c>
      <c r="L354" s="154">
        <v>4.5999999999999999E-3</v>
      </c>
      <c r="M354" s="154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55">
        <f ca="1"/>
        <v>1.5338609761123001E-3</v>
      </c>
      <c r="P354" s="155">
        <f ca="1"/>
        <v>4.4920611665246746E-3</v>
      </c>
      <c r="Q354" s="155">
        <f ca="1"/>
        <v>1.1161877087716654E-2</v>
      </c>
      <c r="R354" s="155">
        <f ca="1"/>
        <v>1.8143825486639065E-2</v>
      </c>
      <c r="S354" s="155">
        <f ca="1"/>
        <v>0</v>
      </c>
      <c r="T354" s="155">
        <f ca="1"/>
        <v>3.5511793296383987E-2</v>
      </c>
      <c r="U354" s="155">
        <f ca="1"/>
        <v>5.3959568804628266E-2</v>
      </c>
      <c r="V354" s="138">
        <f ca="1"/>
        <v>8.2774072892819017E-2</v>
      </c>
      <c r="W354" s="137">
        <f ca="1"/>
        <v>0</v>
      </c>
      <c r="X354" s="155">
        <f ca="1"/>
        <v>1.6267426001351781E-3</v>
      </c>
      <c r="Y354" s="155">
        <f ca="1"/>
        <v>4.6579653305909297E-3</v>
      </c>
      <c r="Z354" s="155">
        <f ca="1"/>
        <v>1.1491434865996464E-2</v>
      </c>
      <c r="AA354" s="155">
        <f ca="1"/>
        <v>1.863463086232231E-2</v>
      </c>
      <c r="AB354" s="155">
        <f ca="1"/>
        <v>0</v>
      </c>
      <c r="AC354" s="155">
        <f ca="1"/>
        <v>3.633424728740553E-2</v>
      </c>
      <c r="AD354" s="155">
        <f ca="1"/>
        <v>5.5086377308666279E-2</v>
      </c>
      <c r="AE354" s="138">
        <f ca="1"/>
        <v>8.4328362916499588E-2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3" s="79" customFormat="1" ht="10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4">
        <v>1.06E-3</v>
      </c>
      <c r="G355" s="154">
        <v>1.6900000000000001E-3</v>
      </c>
      <c r="H355" s="154">
        <v>2.0100000000000001E-3</v>
      </c>
      <c r="I355" s="154">
        <v>2.5400000000000002E-3</v>
      </c>
      <c r="J355" s="154" t="s">
        <v>87</v>
      </c>
      <c r="K355" s="154">
        <v>3.5999999999999999E-3</v>
      </c>
      <c r="L355" s="154">
        <v>4.15E-3</v>
      </c>
      <c r="M355" s="154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55">
        <f ca="1"/>
        <v>9.8565983812348712E-4</v>
      </c>
      <c r="P355" s="155">
        <f ca="1"/>
        <v>3.003206310136064E-3</v>
      </c>
      <c r="Q355" s="155">
        <f ca="1"/>
        <v>6.9528084922467759E-3</v>
      </c>
      <c r="R355" s="155">
        <f ca="1"/>
        <v>1.3087755216451225E-2</v>
      </c>
      <c r="S355" s="155">
        <f ca="1"/>
        <v>0</v>
      </c>
      <c r="T355" s="155">
        <f ca="1"/>
        <v>3.073449063291489E-2</v>
      </c>
      <c r="U355" s="155">
        <f ca="1"/>
        <v>4.9189905968282099E-2</v>
      </c>
      <c r="V355" s="138">
        <f ca="1"/>
        <v>7.6925781660895698E-2</v>
      </c>
      <c r="W355" s="137">
        <f ca="1"/>
        <v>0</v>
      </c>
      <c r="X355" s="155">
        <f ca="1"/>
        <v>1.078594796507959E-3</v>
      </c>
      <c r="Y355" s="155">
        <f ca="1"/>
        <v>3.1693585960101966E-3</v>
      </c>
      <c r="Z355" s="155">
        <f ca="1"/>
        <v>7.2837690595981552E-3</v>
      </c>
      <c r="AA355" s="155">
        <f ca="1"/>
        <v>1.3581087995371721E-2</v>
      </c>
      <c r="AB355" s="155">
        <f ca="1"/>
        <v>0</v>
      </c>
      <c r="AC355" s="155">
        <f ca="1"/>
        <v>3.1561976363364663E-2</v>
      </c>
      <c r="AD355" s="155">
        <f ca="1"/>
        <v>5.0324213489081338E-2</v>
      </c>
      <c r="AE355" s="138">
        <f ca="1"/>
        <v>7.8493031741825203E-2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3" s="79" customFormat="1" ht="10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4">
        <v>1.09E-3</v>
      </c>
      <c r="G356" s="154">
        <v>1.56E-3</v>
      </c>
      <c r="H356" s="154">
        <v>2.1900000000000001E-3</v>
      </c>
      <c r="I356" s="154">
        <v>2.7299999999999998E-3</v>
      </c>
      <c r="J356" s="154" t="s">
        <v>87</v>
      </c>
      <c r="K356" s="154">
        <v>3.5000000000000001E-3</v>
      </c>
      <c r="L356" s="154">
        <v>4.0000000000000001E-3</v>
      </c>
      <c r="M356" s="154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55">
        <f ca="1"/>
        <v>7.6025263808943144E-4</v>
      </c>
      <c r="P356" s="155">
        <f ca="1"/>
        <v>2.0784534589518566E-3</v>
      </c>
      <c r="Q356" s="155">
        <f ca="1"/>
        <v>5.6945172293896285E-3</v>
      </c>
      <c r="R356" s="155">
        <f ca="1"/>
        <v>1.0567614862905583E-2</v>
      </c>
      <c r="S356" s="155">
        <f ca="1"/>
        <v>0</v>
      </c>
      <c r="T356" s="155">
        <f ca="1"/>
        <v>2.2421890202880324E-2</v>
      </c>
      <c r="U356" s="155">
        <f ca="1"/>
        <v>3.567600016833139E-2</v>
      </c>
      <c r="V356" s="138">
        <f ca="1"/>
        <v>5.8275541243493989E-2</v>
      </c>
      <c r="W356" s="137">
        <f ca="1"/>
        <v>0</v>
      </c>
      <c r="X356" s="155">
        <f ca="1"/>
        <v>8.2997069548162994E-4</v>
      </c>
      <c r="Y356" s="155">
        <f ca="1"/>
        <v>2.2031858563366091E-3</v>
      </c>
      <c r="Z356" s="155">
        <f ca="1"/>
        <v>5.9430625306317042E-3</v>
      </c>
      <c r="AA356" s="155">
        <f ca="1"/>
        <v>1.0938582446556988E-2</v>
      </c>
      <c r="AB356" s="155">
        <f ca="1"/>
        <v>0</v>
      </c>
      <c r="AC356" s="155">
        <f ca="1"/>
        <v>2.3047417995532227E-2</v>
      </c>
      <c r="AD356" s="155">
        <f ca="1"/>
        <v>3.6537708339578701E-2</v>
      </c>
      <c r="AE356" s="138">
        <f ca="1"/>
        <v>5.9474172542726578E-2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3" s="79" customFormat="1" ht="10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4">
        <v>1.74E-3</v>
      </c>
      <c r="G357" s="154">
        <v>2.0899999999999998E-3</v>
      </c>
      <c r="H357" s="154">
        <v>2.7799999999999999E-3</v>
      </c>
      <c r="I357" s="154">
        <v>3.3300000000000001E-3</v>
      </c>
      <c r="J357" s="154" t="s">
        <v>87</v>
      </c>
      <c r="K357" s="154">
        <v>4.0000000000000001E-3</v>
      </c>
      <c r="L357" s="154">
        <v>4.45E-3</v>
      </c>
      <c r="M357" s="154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55">
        <f ca="1"/>
        <v>1.6174584429273775E-3</v>
      </c>
      <c r="P357" s="155">
        <f ca="1"/>
        <v>3.7051540314536613E-3</v>
      </c>
      <c r="Q357" s="155">
        <f ca="1"/>
        <v>9.6110986163255863E-3</v>
      </c>
      <c r="R357" s="155">
        <f ca="1"/>
        <v>1.7113361371338454E-2</v>
      </c>
      <c r="S357" s="155">
        <f ca="1"/>
        <v>0</v>
      </c>
      <c r="T357" s="155">
        <f ca="1"/>
        <v>3.3900185881587497E-2</v>
      </c>
      <c r="U357" s="155">
        <f ca="1"/>
        <v>5.2350847267096046E-2</v>
      </c>
      <c r="V357" s="138">
        <f ca="1"/>
        <v>8.3165547395065875E-2</v>
      </c>
      <c r="W357" s="137">
        <f ca="1"/>
        <v>0</v>
      </c>
      <c r="X357" s="155">
        <f ca="1"/>
        <v>1.7103318378942634E-3</v>
      </c>
      <c r="Y357" s="155">
        <f ca="1"/>
        <v>3.8711893357959992E-3</v>
      </c>
      <c r="Z357" s="155">
        <f ca="1"/>
        <v>9.9411732346257331E-3</v>
      </c>
      <c r="AA357" s="155">
        <f ca="1"/>
        <v>1.7604681850296955E-2</v>
      </c>
      <c r="AB357" s="155">
        <f ca="1"/>
        <v>0</v>
      </c>
      <c r="AC357" s="155">
        <f ca="1"/>
        <v>3.4724319840534812E-2</v>
      </c>
      <c r="AD357" s="155">
        <f ca="1"/>
        <v>5.3480043140872735E-2</v>
      </c>
      <c r="AE357" s="138">
        <f ca="1"/>
        <v>8.472022174519378E-2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3" s="79" customFormat="1" ht="10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4">
        <v>1.42E-3</v>
      </c>
      <c r="G358" s="154">
        <v>1.8400000000000001E-3</v>
      </c>
      <c r="H358" s="154">
        <v>2.5500000000000002E-3</v>
      </c>
      <c r="I358" s="154">
        <v>3.3500000000000001E-3</v>
      </c>
      <c r="J358" s="154" t="s">
        <v>87</v>
      </c>
      <c r="K358" s="154">
        <v>4.7999999999999996E-3</v>
      </c>
      <c r="L358" s="154">
        <v>5.4999999999999997E-3</v>
      </c>
      <c r="M358" s="154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55">
        <f ca="1"/>
        <v>9.9030687433698805E-4</v>
      </c>
      <c r="P358" s="155">
        <f ca="1"/>
        <v>2.4493488744117276E-3</v>
      </c>
      <c r="Q358" s="155">
        <f ca="1"/>
        <v>6.6252678563544221E-3</v>
      </c>
      <c r="R358" s="155">
        <f ca="1"/>
        <v>1.2967218898077393E-2</v>
      </c>
      <c r="S358" s="155">
        <f ca="1"/>
        <v>0</v>
      </c>
      <c r="T358" s="155">
        <f ca="1"/>
        <v>3.0765825571168803E-2</v>
      </c>
      <c r="U358" s="155">
        <f ca="1"/>
        <v>4.8913748038597604E-2</v>
      </c>
      <c r="V358" s="138">
        <f ca="1"/>
        <v>7.5207612598447549E-2</v>
      </c>
      <c r="W358" s="137">
        <f ca="1"/>
        <v>0</v>
      </c>
      <c r="X358" s="155">
        <f ca="1"/>
        <v>1.0600082257428145E-3</v>
      </c>
      <c r="Y358" s="155">
        <f ca="1"/>
        <v>2.5740349127694184E-3</v>
      </c>
      <c r="Z358" s="155">
        <f ca="1"/>
        <v>6.8735804990254223E-3</v>
      </c>
      <c r="AA358" s="155">
        <f ca="1"/>
        <v>1.3337286798918213E-2</v>
      </c>
      <c r="AB358" s="155">
        <f ca="1"/>
        <v>0</v>
      </c>
      <c r="AC358" s="155">
        <f ca="1"/>
        <v>3.1386210681269344E-2</v>
      </c>
      <c r="AD358" s="155">
        <f ca="1"/>
        <v>4.9764500340662932E-2</v>
      </c>
      <c r="AE358" s="138">
        <f ca="1"/>
        <v>7.6383931762958657E-2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3" s="79" customFormat="1" ht="10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4" t="s">
        <v>87</v>
      </c>
      <c r="G359" s="154">
        <v>1.4400000000000001E-3</v>
      </c>
      <c r="H359" s="154" t="s">
        <v>87</v>
      </c>
      <c r="I359" s="154">
        <v>2.2910000000000001E-3</v>
      </c>
      <c r="J359" s="154" t="s">
        <v>87</v>
      </c>
      <c r="K359" s="154">
        <v>3.5999999999999999E-3</v>
      </c>
      <c r="L359" s="154">
        <v>4.5820000000000001E-3</v>
      </c>
      <c r="M359" s="154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55">
        <f ca="1"/>
        <v>0</v>
      </c>
      <c r="P359" s="155">
        <f ca="1"/>
        <v>1.9094454896813051E-3</v>
      </c>
      <c r="Q359" s="155">
        <f ca="1"/>
        <v>0</v>
      </c>
      <c r="R359" s="155">
        <f ca="1"/>
        <v>8.8513362458151335E-3</v>
      </c>
      <c r="S359" s="155">
        <f ca="1"/>
        <v>0</v>
      </c>
      <c r="T359" s="155">
        <f ca="1"/>
        <v>2.3415478736040884E-2</v>
      </c>
      <c r="U359" s="155">
        <f ca="1"/>
        <v>4.1948306518603817E-2</v>
      </c>
      <c r="V359" s="138">
        <f ca="1"/>
        <v>7.2367672383204518E-2</v>
      </c>
      <c r="W359" s="137">
        <f ca="1"/>
        <v>0</v>
      </c>
      <c r="X359" s="155">
        <f ca="1"/>
        <v>0</v>
      </c>
      <c r="Y359" s="155">
        <f ca="1"/>
        <v>2.0341990117396236E-3</v>
      </c>
      <c r="Z359" s="155">
        <f ca="1"/>
        <v>0</v>
      </c>
      <c r="AA359" s="155">
        <f ca="1"/>
        <v>9.2229473133100814E-3</v>
      </c>
      <c r="AB359" s="155">
        <f ca="1"/>
        <v>0</v>
      </c>
      <c r="AC359" s="155">
        <f ca="1"/>
        <v>2.4025653362366284E-2</v>
      </c>
      <c r="AD359" s="155">
        <f ca="1"/>
        <v>4.2804064457592883E-2</v>
      </c>
      <c r="AE359" s="138">
        <f ca="1"/>
        <v>7.3526488381786215E-2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3" s="79" customFormat="1" ht="10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4" t="s">
        <v>87</v>
      </c>
      <c r="G360" s="154">
        <v>3.7332999999999998E-2</v>
      </c>
      <c r="H360" s="154" t="s">
        <v>87</v>
      </c>
      <c r="I360" s="154">
        <v>3.1806000000000001E-2</v>
      </c>
      <c r="J360" s="154" t="s">
        <v>87</v>
      </c>
      <c r="K360" s="154">
        <v>2.8000000000000001E-2</v>
      </c>
      <c r="L360" s="154">
        <v>2.4181999999999999E-2</v>
      </c>
      <c r="M360" s="154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55">
        <f ca="1"/>
        <v>0</v>
      </c>
      <c r="P360" s="155">
        <f ca="1"/>
        <v>6.3930447467830054E-2</v>
      </c>
      <c r="Q360" s="155">
        <f ca="1"/>
        <v>0</v>
      </c>
      <c r="R360" s="155">
        <f ca="1"/>
        <v>0.14910351068721728</v>
      </c>
      <c r="S360" s="155">
        <f ca="1"/>
        <v>0</v>
      </c>
      <c r="T360" s="155">
        <f ca="1"/>
        <v>0.20623361080104241</v>
      </c>
      <c r="U360" s="155">
        <f ca="1"/>
        <v>0.23536207937335452</v>
      </c>
      <c r="V360" s="138">
        <f ca="1"/>
        <v>0.27032344488526328</v>
      </c>
      <c r="W360" s="137">
        <f ca="1"/>
        <v>0</v>
      </c>
      <c r="X360" s="155">
        <f ca="1"/>
        <v>0</v>
      </c>
      <c r="Y360" s="155">
        <f ca="1"/>
        <v>6.4086446059674063E-2</v>
      </c>
      <c r="Z360" s="155">
        <f ca="1"/>
        <v>0</v>
      </c>
      <c r="AA360" s="155">
        <f ca="1"/>
        <v>0.14952885258751836</v>
      </c>
      <c r="AB360" s="155">
        <f ca="1"/>
        <v>0</v>
      </c>
      <c r="AC360" s="155">
        <f ca="1"/>
        <v>0.20689480725527976</v>
      </c>
      <c r="AD360" s="155">
        <f ca="1"/>
        <v>0.23622414463214991</v>
      </c>
      <c r="AE360" s="138">
        <f ca="1"/>
        <v>0.27149613201875422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3" s="79" customFormat="1" ht="10.5" customHeight="1" thickBot="1">
      <c r="A361" s="96">
        <f t="shared" ca="1" si="7"/>
        <v>350</v>
      </c>
      <c r="B361" s="68" t="s">
        <v>419</v>
      </c>
      <c r="C361" s="97">
        <v>0.4</v>
      </c>
      <c r="D361" s="69" t="s">
        <v>67</v>
      </c>
      <c r="E361" s="136" t="s">
        <v>87</v>
      </c>
      <c r="F361" s="154" t="s">
        <v>87</v>
      </c>
      <c r="G361" s="154">
        <v>1.75E-3</v>
      </c>
      <c r="H361" s="154" t="s">
        <v>87</v>
      </c>
      <c r="I361" s="154">
        <v>2.7499999999999998E-3</v>
      </c>
      <c r="J361" s="154" t="s">
        <v>87</v>
      </c>
      <c r="K361" s="154">
        <v>3.3999999999999998E-3</v>
      </c>
      <c r="L361" s="154">
        <v>3.4499999999999999E-3</v>
      </c>
      <c r="M361" s="154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55">
        <f ca="1"/>
        <v>0</v>
      </c>
      <c r="P361" s="155">
        <f ca="1"/>
        <v>3.0921898606319775E-3</v>
      </c>
      <c r="Q361" s="155">
        <f ca="1"/>
        <v>0</v>
      </c>
      <c r="R361" s="155">
        <f ca="1"/>
        <v>1.4131131064005209E-2</v>
      </c>
      <c r="S361" s="155">
        <f ca="1"/>
        <v>0</v>
      </c>
      <c r="T361" s="155">
        <f ca="1"/>
        <v>2.9031755283783878E-2</v>
      </c>
      <c r="U361" s="155">
        <f ca="1"/>
        <v>4.0701254729858971E-2</v>
      </c>
      <c r="V361" s="138">
        <f ca="1"/>
        <v>6.019511960514301E-2</v>
      </c>
      <c r="W361" s="137">
        <f ca="1"/>
        <v>0</v>
      </c>
      <c r="X361" s="155">
        <f ca="1"/>
        <v>0</v>
      </c>
      <c r="Y361" s="155">
        <f ca="1"/>
        <v>3.2583273171491456E-3</v>
      </c>
      <c r="Z361" s="155">
        <f ca="1"/>
        <v>0</v>
      </c>
      <c r="AA361" s="155">
        <f ca="1"/>
        <v>1.4623942285371783E-2</v>
      </c>
      <c r="AB361" s="155">
        <f ca="1"/>
        <v>0</v>
      </c>
      <c r="AC361" s="155">
        <f ca="1"/>
        <v>2.9840558439600318E-2</v>
      </c>
      <c r="AD361" s="155">
        <f ca="1"/>
        <v>4.1841883573402905E-2</v>
      </c>
      <c r="AE361" s="138">
        <f ca="1"/>
        <v>6.1760156512767228E-2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  <row r="362" spans="1:53" ht="10.5" customHeight="1">
      <c r="A362" s="94">
        <v>351</v>
      </c>
      <c r="B362" s="62" t="s">
        <v>510</v>
      </c>
      <c r="C362" s="95">
        <v>0.4</v>
      </c>
      <c r="D362" s="63" t="s">
        <v>66</v>
      </c>
      <c r="E362" s="130"/>
      <c r="F362" s="131"/>
      <c r="G362" s="131"/>
      <c r="H362" s="131"/>
      <c r="I362" s="131">
        <v>3.0899999999999999E-3</v>
      </c>
      <c r="J362" s="131"/>
      <c r="K362" s="131">
        <v>4.5950000000000001E-3</v>
      </c>
      <c r="L362" s="131">
        <v>6.3160000000000004E-3</v>
      </c>
      <c r="M362" s="131"/>
      <c r="N362" s="132" cm="1">
        <f t="array" aca="1" ref="N362:AE362" ca="1">IF(OR(B362="",NOT($J$2)),"",GetStripDefaultProbability(A362,B362,Parameter_Date,CDSRollDate,E362:M362,SpreadCurveMaturities,D362,C362,$J$4,$J$6))</f>
        <v>0</v>
      </c>
      <c r="O362" s="133">
        <f ca="1"/>
        <v>0</v>
      </c>
      <c r="P362" s="133">
        <f ca="1"/>
        <v>0</v>
      </c>
      <c r="Q362" s="133">
        <f ca="1"/>
        <v>0</v>
      </c>
      <c r="R362" s="133">
        <f ca="1"/>
        <v>1.5755391917193551E-2</v>
      </c>
      <c r="S362" s="133">
        <f ca="1"/>
        <v>0</v>
      </c>
      <c r="T362" s="133">
        <f ca="1"/>
        <v>3.8999946072503455E-2</v>
      </c>
      <c r="U362" s="133">
        <f ca="1"/>
        <v>7.4774690892253526E-2</v>
      </c>
      <c r="V362" s="134">
        <f ca="1"/>
        <v>0</v>
      </c>
      <c r="W362" s="132">
        <f ca="1"/>
        <v>0</v>
      </c>
      <c r="X362" s="133">
        <f ca="1"/>
        <v>0</v>
      </c>
      <c r="Y362" s="133">
        <f ca="1"/>
        <v>0</v>
      </c>
      <c r="Z362" s="133">
        <f ca="1"/>
        <v>0</v>
      </c>
      <c r="AA362" s="133">
        <f ca="1"/>
        <v>1.624739121114982E-2</v>
      </c>
      <c r="AB362" s="133">
        <f ca="1"/>
        <v>0</v>
      </c>
      <c r="AC362" s="133">
        <f ca="1"/>
        <v>3.9819308025787925E-2</v>
      </c>
      <c r="AD362" s="133">
        <f ca="1"/>
        <v>7.5879241800918318E-2</v>
      </c>
      <c r="AE362" s="134">
        <f ca="1"/>
        <v>0</v>
      </c>
    </row>
    <row r="363" spans="1:53" ht="10.5" customHeight="1">
      <c r="A363" s="96">
        <v>352</v>
      </c>
      <c r="B363" s="68" t="s">
        <v>511</v>
      </c>
      <c r="C363" s="97">
        <v>0.4</v>
      </c>
      <c r="D363" s="69" t="s">
        <v>66</v>
      </c>
      <c r="E363" s="136"/>
      <c r="F363" s="154"/>
      <c r="G363" s="154"/>
      <c r="H363" s="154"/>
      <c r="I363" s="154">
        <v>2.9420000000000002E-3</v>
      </c>
      <c r="J363" s="154"/>
      <c r="K363" s="154">
        <v>4.9529999999999999E-3</v>
      </c>
      <c r="L363" s="154">
        <v>7.0489999999999997E-3</v>
      </c>
      <c r="M363" s="154"/>
      <c r="N363" s="137" cm="1">
        <f t="array" aca="1" ref="N363:AE363" ca="1">IF(OR(B363="",NOT($J$2)),"",GetStripDefaultProbability(A363,B363,Parameter_Date,CDSRollDate,E363:M363,SpreadCurveMaturities,D363,C363,$J$4,$J$6))</f>
        <v>0</v>
      </c>
      <c r="O363" s="155">
        <f ca="1"/>
        <v>0</v>
      </c>
      <c r="P363" s="155">
        <f ca="1"/>
        <v>0</v>
      </c>
      <c r="Q363" s="155">
        <f ca="1"/>
        <v>0</v>
      </c>
      <c r="R363" s="155">
        <f ca="1"/>
        <v>1.5006351103886151E-2</v>
      </c>
      <c r="S363" s="155">
        <f ca="1"/>
        <v>0</v>
      </c>
      <c r="T363" s="155">
        <f ca="1"/>
        <v>4.2158306220117403E-2</v>
      </c>
      <c r="U363" s="155">
        <f ca="1"/>
        <v>8.3539646048702121E-2</v>
      </c>
      <c r="V363" s="138">
        <f ca="1"/>
        <v>0</v>
      </c>
      <c r="W363" s="137">
        <f ca="1"/>
        <v>0</v>
      </c>
      <c r="X363" s="155">
        <f ca="1"/>
        <v>0</v>
      </c>
      <c r="Y363" s="155">
        <f ca="1"/>
        <v>0</v>
      </c>
      <c r="Z363" s="155">
        <f ca="1"/>
        <v>0</v>
      </c>
      <c r="AA363" s="155">
        <f ca="1"/>
        <v>1.5498724824664079E-2</v>
      </c>
      <c r="AB363" s="155">
        <f ca="1"/>
        <v>0</v>
      </c>
      <c r="AC363" s="155">
        <f ca="1"/>
        <v>4.2975067123675492E-2</v>
      </c>
      <c r="AD363" s="155">
        <f ca="1"/>
        <v>8.4633964320239619E-2</v>
      </c>
      <c r="AE363" s="138">
        <f ca="1"/>
        <v>0</v>
      </c>
      <c r="AZ363" s="135"/>
      <c r="BA363" s="135"/>
    </row>
    <row r="364" spans="1:53" ht="10.5" customHeight="1">
      <c r="A364" s="96">
        <v>353</v>
      </c>
      <c r="B364" s="68" t="s">
        <v>529</v>
      </c>
      <c r="C364" s="97">
        <v>0.4</v>
      </c>
      <c r="D364" s="69" t="s">
        <v>66</v>
      </c>
      <c r="E364" s="136"/>
      <c r="F364" s="154"/>
      <c r="G364" s="154"/>
      <c r="H364" s="154"/>
      <c r="I364" s="154">
        <v>3.0409999999999999E-3</v>
      </c>
      <c r="J364" s="154"/>
      <c r="K364" s="154">
        <v>5.1590000000000004E-3</v>
      </c>
      <c r="L364" s="154">
        <v>6.8450000000000004E-3</v>
      </c>
      <c r="M364" s="154"/>
      <c r="N364" s="137" cm="1">
        <f t="array" aca="1" ref="N364:AE364" ca="1">IF(OR(B364="",NOT($J$2)),"",GetStripDefaultProbability(A364,B364,Parameter_Date,CDSRollDate,E364:M364,SpreadCurveMaturities,D364,C364,$J$4,$J$6))</f>
        <v>0</v>
      </c>
      <c r="O364" s="155">
        <f ca="1"/>
        <v>0</v>
      </c>
      <c r="P364" s="155">
        <f ca="1"/>
        <v>0</v>
      </c>
      <c r="Q364" s="155">
        <f ca="1"/>
        <v>0</v>
      </c>
      <c r="R364" s="155">
        <f ca="1"/>
        <v>1.5507460436959164E-2</v>
      </c>
      <c r="S364" s="155">
        <f ca="1"/>
        <v>0</v>
      </c>
      <c r="T364" s="155">
        <f ca="1"/>
        <v>4.3893322367295262E-2</v>
      </c>
      <c r="U364" s="155">
        <f ca="1"/>
        <v>8.0887315271878868E-2</v>
      </c>
      <c r="V364" s="138">
        <f ca="1"/>
        <v>0</v>
      </c>
      <c r="W364" s="137">
        <f ca="1"/>
        <v>0</v>
      </c>
      <c r="X364" s="155">
        <f ca="1"/>
        <v>0</v>
      </c>
      <c r="Y364" s="155">
        <f ca="1"/>
        <v>0</v>
      </c>
      <c r="Z364" s="155">
        <f ca="1"/>
        <v>0</v>
      </c>
      <c r="AA364" s="155">
        <f ca="1"/>
        <v>1.5999583665622485E-2</v>
      </c>
      <c r="AB364" s="155">
        <f ca="1"/>
        <v>0</v>
      </c>
      <c r="AC364" s="155">
        <f ca="1"/>
        <v>4.4708448236536968E-2</v>
      </c>
      <c r="AD364" s="155">
        <f ca="1"/>
        <v>8.1985107160972515E-2</v>
      </c>
      <c r="AE364" s="138">
        <f ca="1"/>
        <v>0</v>
      </c>
      <c r="AI364" s="135" t="s">
        <v>616</v>
      </c>
      <c r="AM364" s="135" t="s">
        <v>620</v>
      </c>
      <c r="AN364" s="135"/>
      <c r="AQ364" s="135" t="s">
        <v>624</v>
      </c>
      <c r="AR364" s="135"/>
      <c r="AU364" s="135" t="s">
        <v>662</v>
      </c>
      <c r="AV364" s="135"/>
    </row>
    <row r="365" spans="1:53" ht="10.5" customHeight="1">
      <c r="A365" s="96">
        <v>354</v>
      </c>
      <c r="B365" s="68" t="s">
        <v>609</v>
      </c>
      <c r="C365" s="97">
        <v>0.4</v>
      </c>
      <c r="D365" s="69" t="s">
        <v>66</v>
      </c>
      <c r="E365" s="136"/>
      <c r="F365" s="154"/>
      <c r="G365" s="154"/>
      <c r="H365" s="154"/>
      <c r="I365" s="154">
        <v>9.8239999999999994E-3</v>
      </c>
      <c r="J365" s="154"/>
      <c r="K365" s="154">
        <v>1.4659E-2</v>
      </c>
      <c r="L365" s="154">
        <v>1.8731999999999999E-2</v>
      </c>
      <c r="M365" s="154"/>
      <c r="N365" s="137" cm="1">
        <f t="array" aca="1" ref="N365:AE365" ca="1">IF(OR(B365="",NOT($J$2)),"",GetStripDefaultProbability(A365,B365,Parameter_Date,CDSRollDate,E365:M365,SpreadCurveMaturities,D365,C365,$J$4,$J$6))</f>
        <v>0</v>
      </c>
      <c r="O365" s="155">
        <f ca="1"/>
        <v>0</v>
      </c>
      <c r="P365" s="155">
        <f ca="1"/>
        <v>0</v>
      </c>
      <c r="Q365" s="155">
        <f ca="1"/>
        <v>0</v>
      </c>
      <c r="R365" s="155">
        <f ca="1"/>
        <v>4.9229404604754667E-2</v>
      </c>
      <c r="S365" s="155">
        <f ca="1"/>
        <v>0</v>
      </c>
      <c r="T365" s="155">
        <f ca="1"/>
        <v>0.12026172037182969</v>
      </c>
      <c r="U365" s="155">
        <f ca="1"/>
        <v>0.20886745022260067</v>
      </c>
      <c r="V365" s="138">
        <f ca="1"/>
        <v>0</v>
      </c>
      <c r="W365" s="137">
        <f ca="1"/>
        <v>0</v>
      </c>
      <c r="X365" s="155">
        <f ca="1"/>
        <v>0</v>
      </c>
      <c r="Y365" s="155">
        <f ca="1"/>
        <v>0</v>
      </c>
      <c r="Z365" s="155">
        <f ca="1"/>
        <v>0</v>
      </c>
      <c r="AA365" s="155">
        <f ca="1"/>
        <v>4.9704671075941564E-2</v>
      </c>
      <c r="AB365" s="155">
        <f ca="1"/>
        <v>0</v>
      </c>
      <c r="AC365" s="155">
        <f ca="1"/>
        <v>0.12102253165522936</v>
      </c>
      <c r="AD365" s="155">
        <f ca="1"/>
        <v>0.2098394760499408</v>
      </c>
      <c r="AE365" s="138">
        <f ca="1"/>
        <v>0</v>
      </c>
      <c r="AG365" s="135"/>
      <c r="AH365" s="135"/>
      <c r="AI365" s="135"/>
      <c r="AJ365" s="135"/>
      <c r="AK365" s="135"/>
      <c r="AM365" s="135" t="s">
        <v>621</v>
      </c>
      <c r="AN365" s="135">
        <f ca="1">0.00359635/AG366</f>
        <v>0.78057033849393798</v>
      </c>
      <c r="AO365" s="135"/>
      <c r="AP365" s="135"/>
      <c r="AQ365" s="135" t="s">
        <v>621</v>
      </c>
      <c r="AR365" s="135">
        <f ca="1">0.00094748/AG366</f>
        <v>0.20564594222370913</v>
      </c>
      <c r="AU365" s="135" t="s">
        <v>621</v>
      </c>
      <c r="AV365" s="565">
        <f ca="1">AX365/AG366</f>
        <v>14.640061764529777</v>
      </c>
      <c r="AX365" s="570">
        <v>6.7451686965780799E-2</v>
      </c>
    </row>
    <row r="366" spans="1:53" ht="10.5" customHeight="1">
      <c r="A366" s="96">
        <v>355</v>
      </c>
      <c r="B366" s="68" t="s">
        <v>512</v>
      </c>
      <c r="C366" s="97">
        <v>0.4</v>
      </c>
      <c r="D366" s="69" t="s">
        <v>66</v>
      </c>
      <c r="E366" s="136"/>
      <c r="F366" s="154"/>
      <c r="G366" s="154"/>
      <c r="H366" s="154"/>
      <c r="I366" s="154">
        <v>4.7670000000000004E-3</v>
      </c>
      <c r="J366" s="154"/>
      <c r="K366" s="154">
        <v>1.0057999999999999E-2</v>
      </c>
      <c r="L366" s="154">
        <v>1.5502E-2</v>
      </c>
      <c r="M366" s="154"/>
      <c r="N366" s="137" cm="1">
        <f t="array" aca="1" ref="N366:AE366" ca="1">IF(OR(B366="",NOT($J$2)),"",GetStripDefaultProbability(A366,B366,Parameter_Date,CDSRollDate,E366:M366,SpreadCurveMaturities,D366,C366,$J$4,$J$6))</f>
        <v>0</v>
      </c>
      <c r="O366" s="155">
        <f ca="1"/>
        <v>0</v>
      </c>
      <c r="P366" s="155">
        <f ca="1"/>
        <v>0</v>
      </c>
      <c r="Q366" s="155">
        <f ca="1"/>
        <v>0</v>
      </c>
      <c r="R366" s="155">
        <f ca="1"/>
        <v>2.4204036523668315E-2</v>
      </c>
      <c r="S366" s="155">
        <f ca="1"/>
        <v>0</v>
      </c>
      <c r="T366" s="155">
        <f ca="1"/>
        <v>8.4866142772503483E-2</v>
      </c>
      <c r="U366" s="155">
        <f ca="1"/>
        <v>0.17917073968651365</v>
      </c>
      <c r="V366" s="138">
        <f ca="1"/>
        <v>0</v>
      </c>
      <c r="W366" s="137">
        <f ca="1"/>
        <v>0</v>
      </c>
      <c r="X366" s="155">
        <f ca="1"/>
        <v>0</v>
      </c>
      <c r="Y366" s="155">
        <f ca="1"/>
        <v>0</v>
      </c>
      <c r="Z366" s="155">
        <f ca="1"/>
        <v>0</v>
      </c>
      <c r="AA366" s="155">
        <f ca="1"/>
        <v>2.4691812551214443E-2</v>
      </c>
      <c r="AB366" s="155">
        <f ca="1"/>
        <v>0</v>
      </c>
      <c r="AC366" s="155">
        <f ca="1"/>
        <v>8.5658095176623261E-2</v>
      </c>
      <c r="AD366" s="155">
        <f ca="1"/>
        <v>0.18018686782323701</v>
      </c>
      <c r="AE366" s="138">
        <f ca="1"/>
        <v>0</v>
      </c>
      <c r="AF366" s="135" t="s">
        <v>617</v>
      </c>
      <c r="AG366" s="135">
        <v>4.6073362292230243E-3</v>
      </c>
      <c r="AK366" s="135"/>
      <c r="AM366" s="135" t="s">
        <v>623</v>
      </c>
      <c r="AN366" s="135">
        <f ca="1">0.00928509/AG367</f>
        <v>1.1634497154520191</v>
      </c>
      <c r="AQ366" s="135" t="s">
        <v>623</v>
      </c>
      <c r="AR366" s="135">
        <f ca="1">0.00224398/AG367</f>
        <v>0.2811774460430671</v>
      </c>
      <c r="AU366" s="135" t="s">
        <v>623</v>
      </c>
      <c r="AV366" s="565">
        <f ca="1">AX366/AG367</f>
        <v>13.956070813439366</v>
      </c>
      <c r="AX366" s="569">
        <v>0.11137857685479124</v>
      </c>
    </row>
    <row r="367" spans="1:53" ht="10.5" customHeight="1">
      <c r="A367" s="96">
        <v>356</v>
      </c>
      <c r="B367" s="68" t="s">
        <v>513</v>
      </c>
      <c r="C367" s="97">
        <v>0.4</v>
      </c>
      <c r="D367" s="69" t="s">
        <v>66</v>
      </c>
      <c r="E367" s="136"/>
      <c r="F367" s="154"/>
      <c r="G367" s="154"/>
      <c r="H367" s="154"/>
      <c r="I367" s="154">
        <v>6.8230000000000001E-3</v>
      </c>
      <c r="J367" s="154"/>
      <c r="K367" s="154">
        <v>1.3924000000000001E-2</v>
      </c>
      <c r="L367" s="154">
        <v>2.0253E-2</v>
      </c>
      <c r="M367" s="154"/>
      <c r="N367" s="137" cm="1">
        <f t="array" aca="1" ref="N367:AE367" ca="1">IF(OR(B367="",NOT($J$2)),"",GetStripDefaultProbability(A367,B367,Parameter_Date,CDSRollDate,E367:M367,SpreadCurveMaturities,D367,C367,$J$4,$J$6))</f>
        <v>0</v>
      </c>
      <c r="O367" s="155">
        <f ca="1"/>
        <v>0</v>
      </c>
      <c r="P367" s="155">
        <f ca="1"/>
        <v>0</v>
      </c>
      <c r="Q367" s="155">
        <f ca="1"/>
        <v>0</v>
      </c>
      <c r="R367" s="155">
        <f ca="1"/>
        <v>3.4465710840594577E-2</v>
      </c>
      <c r="S367" s="155">
        <f ca="1"/>
        <v>0</v>
      </c>
      <c r="T367" s="155">
        <f ca="1"/>
        <v>0.11604165451828896</v>
      </c>
      <c r="U367" s="155">
        <f ca="1"/>
        <v>0.22874763754946503</v>
      </c>
      <c r="V367" s="138">
        <f ca="1"/>
        <v>0</v>
      </c>
      <c r="W367" s="137">
        <f ca="1"/>
        <v>0</v>
      </c>
      <c r="X367" s="155">
        <f ca="1"/>
        <v>0</v>
      </c>
      <c r="Y367" s="155">
        <f ca="1"/>
        <v>0</v>
      </c>
      <c r="Z367" s="155">
        <f ca="1"/>
        <v>0</v>
      </c>
      <c r="AA367" s="155">
        <f ca="1"/>
        <v>3.4948357313454581E-2</v>
      </c>
      <c r="AB367" s="155">
        <f ca="1"/>
        <v>0</v>
      </c>
      <c r="AC367" s="155">
        <f ca="1"/>
        <v>0.11681117601162139</v>
      </c>
      <c r="AD367" s="155">
        <f ca="1"/>
        <v>0.22971261523974051</v>
      </c>
      <c r="AE367" s="138">
        <f ca="1"/>
        <v>0</v>
      </c>
      <c r="AF367" s="135" t="s">
        <v>618</v>
      </c>
      <c r="AG367" s="135">
        <v>7.9806543219554538E-3</v>
      </c>
      <c r="AK367" s="135"/>
      <c r="AM367" s="135" t="s">
        <v>622</v>
      </c>
      <c r="AN367" s="135">
        <f ca="1">0.01555165/AG368</f>
        <v>1.6944089896016694</v>
      </c>
      <c r="AQ367" s="135" t="s">
        <v>622</v>
      </c>
      <c r="AR367" s="135">
        <f ca="1">0.00370112/AG368</f>
        <v>0.4032505232303023</v>
      </c>
      <c r="AU367" s="135" t="s">
        <v>663</v>
      </c>
      <c r="AV367" s="565">
        <f ca="1">AX367/AG368</f>
        <v>17.13745523167152</v>
      </c>
      <c r="AX367" s="568">
        <v>0.15729124862367397</v>
      </c>
    </row>
    <row r="368" spans="1:53" ht="10.5" customHeight="1">
      <c r="A368" s="96">
        <v>357</v>
      </c>
      <c r="B368" s="68" t="s">
        <v>514</v>
      </c>
      <c r="C368" s="97">
        <v>0.4</v>
      </c>
      <c r="D368" s="69" t="s">
        <v>66</v>
      </c>
      <c r="E368" s="136"/>
      <c r="F368" s="154"/>
      <c r="G368" s="154"/>
      <c r="H368" s="154"/>
      <c r="I368" s="154">
        <v>2.196E-3</v>
      </c>
      <c r="J368" s="154"/>
      <c r="K368" s="154">
        <v>3.117E-3</v>
      </c>
      <c r="L368" s="154">
        <v>4.3610000000000003E-3</v>
      </c>
      <c r="M368" s="154"/>
      <c r="N368" s="137" cm="1">
        <f t="array" aca="1" ref="N368:AE368" ca="1">IF(OR(B368="",NOT($J$2)),"",GetStripDefaultProbability(A368,B368,Parameter_Date,CDSRollDate,E368:M368,SpreadCurveMaturities,D368,C368,$J$4,$J$6))</f>
        <v>0</v>
      </c>
      <c r="O368" s="155">
        <f ca="1"/>
        <v>0</v>
      </c>
      <c r="P368" s="155">
        <f ca="1"/>
        <v>0</v>
      </c>
      <c r="Q368" s="155">
        <f ca="1"/>
        <v>0</v>
      </c>
      <c r="R368" s="155">
        <f ca="1"/>
        <v>1.1222271275741158E-2</v>
      </c>
      <c r="S368" s="155">
        <f ca="1"/>
        <v>0</v>
      </c>
      <c r="T368" s="155">
        <f ca="1"/>
        <v>2.6548097827580608E-2</v>
      </c>
      <c r="U368" s="155">
        <f ca="1"/>
        <v>5.2069974968931954E-2</v>
      </c>
      <c r="V368" s="138">
        <f ca="1"/>
        <v>0</v>
      </c>
      <c r="W368" s="137">
        <f ca="1"/>
        <v>0</v>
      </c>
      <c r="X368" s="155">
        <f ca="1"/>
        <v>0</v>
      </c>
      <c r="Y368" s="155">
        <f ca="1"/>
        <v>0</v>
      </c>
      <c r="Z368" s="155">
        <f ca="1"/>
        <v>0</v>
      </c>
      <c r="AA368" s="155">
        <f ca="1"/>
        <v>1.1716536563515567E-2</v>
      </c>
      <c r="AB368" s="155">
        <f ca="1"/>
        <v>0</v>
      </c>
      <c r="AC368" s="155">
        <f ca="1"/>
        <v>2.7378326984608292E-2</v>
      </c>
      <c r="AD368" s="155">
        <f ca="1"/>
        <v>5.3201732664538759E-2</v>
      </c>
      <c r="AE368" s="138">
        <f ca="1"/>
        <v>0</v>
      </c>
      <c r="AF368" s="135" t="s">
        <v>619</v>
      </c>
      <c r="AG368" s="135">
        <v>9.1782149973460448E-3</v>
      </c>
      <c r="AK368" s="135"/>
      <c r="AZ368" s="135"/>
      <c r="BA368" s="135"/>
    </row>
    <row r="369" spans="1:48" ht="10.5" customHeight="1">
      <c r="A369" s="96">
        <v>358</v>
      </c>
      <c r="B369" s="68" t="s">
        <v>515</v>
      </c>
      <c r="C369" s="97">
        <v>0.4</v>
      </c>
      <c r="D369" s="69" t="s">
        <v>66</v>
      </c>
      <c r="E369" s="136"/>
      <c r="F369" s="154"/>
      <c r="G369" s="154"/>
      <c r="H369" s="154"/>
      <c r="I369" s="154">
        <v>2.016E-3</v>
      </c>
      <c r="J369" s="154"/>
      <c r="K369" s="154">
        <v>3.4150000000000001E-3</v>
      </c>
      <c r="L369" s="154">
        <v>5.3829999999999998E-3</v>
      </c>
      <c r="M369" s="154"/>
      <c r="N369" s="137" cm="1">
        <f t="array" aca="1" ref="N369:AE369" ca="1">IF(OR(B369="",NOT($J$2)),"",GetStripDefaultProbability(A369,B369,Parameter_Date,CDSRollDate,E369:M369,SpreadCurveMaturities,D369,C369,$J$4,$J$6))</f>
        <v>0</v>
      </c>
      <c r="O369" s="155">
        <f ca="1"/>
        <v>0</v>
      </c>
      <c r="P369" s="155">
        <f ca="1"/>
        <v>0</v>
      </c>
      <c r="Q369" s="155">
        <f ca="1"/>
        <v>0</v>
      </c>
      <c r="R369" s="155">
        <f ca="1"/>
        <v>1.0307090103269467E-2</v>
      </c>
      <c r="S369" s="155">
        <f ca="1"/>
        <v>0</v>
      </c>
      <c r="T369" s="155">
        <f ca="1"/>
        <v>2.9215088309296866E-2</v>
      </c>
      <c r="U369" s="155">
        <f ca="1"/>
        <v>6.4549101109108054E-2</v>
      </c>
      <c r="V369" s="138">
        <f ca="1"/>
        <v>0</v>
      </c>
      <c r="W369" s="137">
        <f ca="1"/>
        <v>0</v>
      </c>
      <c r="X369" s="155">
        <f ca="1"/>
        <v>0</v>
      </c>
      <c r="Y369" s="155">
        <f ca="1"/>
        <v>0</v>
      </c>
      <c r="Z369" s="155">
        <f ca="1"/>
        <v>0</v>
      </c>
      <c r="AA369" s="155">
        <f ca="1"/>
        <v>1.0801812867214933E-2</v>
      </c>
      <c r="AB369" s="155">
        <f ca="1"/>
        <v>0</v>
      </c>
      <c r="AC369" s="155">
        <f ca="1"/>
        <v>3.0043561366970062E-2</v>
      </c>
      <c r="AD369" s="155">
        <f ca="1"/>
        <v>6.5667454402242642E-2</v>
      </c>
      <c r="AE369" s="138">
        <f ca="1"/>
        <v>0</v>
      </c>
      <c r="AG369" s="135"/>
      <c r="AK369" s="135"/>
    </row>
    <row r="370" spans="1:48" ht="10.5" customHeight="1">
      <c r="A370" s="96">
        <v>359</v>
      </c>
      <c r="B370" s="68" t="s">
        <v>530</v>
      </c>
      <c r="C370" s="97">
        <v>0.4</v>
      </c>
      <c r="D370" s="69" t="s">
        <v>66</v>
      </c>
      <c r="E370" s="136"/>
      <c r="F370" s="154"/>
      <c r="G370" s="154"/>
      <c r="H370" s="154"/>
      <c r="I370" s="154">
        <v>2.222E-3</v>
      </c>
      <c r="J370" s="154"/>
      <c r="K370" s="154">
        <v>4.2570000000000004E-3</v>
      </c>
      <c r="L370" s="154">
        <v>6.2550000000000001E-3</v>
      </c>
      <c r="M370" s="154"/>
      <c r="N370" s="137" cm="1">
        <f t="array" aca="1" ref="N370:AE370" ca="1">IF(OR(B370="",NOT($J$2)),"",GetStripDefaultProbability(A370,B370,Parameter_Date,CDSRollDate,E370:M370,SpreadCurveMaturities,D370,C370,$J$4,$J$6))</f>
        <v>0</v>
      </c>
      <c r="O370" s="155">
        <f ca="1"/>
        <v>0</v>
      </c>
      <c r="P370" s="155">
        <f ca="1"/>
        <v>0</v>
      </c>
      <c r="Q370" s="155">
        <f ca="1"/>
        <v>0</v>
      </c>
      <c r="R370" s="155">
        <f ca="1"/>
        <v>1.1354395465419387E-2</v>
      </c>
      <c r="S370" s="155">
        <f ca="1"/>
        <v>0</v>
      </c>
      <c r="T370" s="155">
        <f ca="1"/>
        <v>3.6444948996965376E-2</v>
      </c>
      <c r="U370" s="155">
        <f ca="1"/>
        <v>7.4633999268456597E-2</v>
      </c>
      <c r="V370" s="138">
        <f ca="1"/>
        <v>0</v>
      </c>
      <c r="W370" s="137">
        <f ca="1"/>
        <v>0</v>
      </c>
      <c r="X370" s="155">
        <f ca="1"/>
        <v>0</v>
      </c>
      <c r="Y370" s="155">
        <f ca="1"/>
        <v>0</v>
      </c>
      <c r="Z370" s="155">
        <f ca="1"/>
        <v>0</v>
      </c>
      <c r="AA370" s="155">
        <f ca="1"/>
        <v>1.1848594707621674E-2</v>
      </c>
      <c r="AB370" s="155">
        <f ca="1"/>
        <v>0</v>
      </c>
      <c r="AC370" s="155">
        <f ca="1"/>
        <v>3.7267309776850444E-2</v>
      </c>
      <c r="AD370" s="155">
        <f ca="1"/>
        <v>7.5740413838545795E-2</v>
      </c>
      <c r="AE370" s="138">
        <f ca="1"/>
        <v>0</v>
      </c>
      <c r="AG370" s="135"/>
      <c r="AK370" s="135"/>
    </row>
    <row r="371" spans="1:48" ht="10.5" customHeight="1">
      <c r="A371" s="96">
        <v>360</v>
      </c>
      <c r="B371" s="68" t="s">
        <v>531</v>
      </c>
      <c r="C371" s="97">
        <v>0.4</v>
      </c>
      <c r="D371" s="69" t="s">
        <v>66</v>
      </c>
      <c r="E371" s="136"/>
      <c r="F371" s="154"/>
      <c r="G371" s="154"/>
      <c r="H371" s="154"/>
      <c r="I371" s="154">
        <v>7.633E-3</v>
      </c>
      <c r="J371" s="154"/>
      <c r="K371" s="154">
        <v>1.1407E-2</v>
      </c>
      <c r="L371" s="154">
        <v>1.4759E-2</v>
      </c>
      <c r="M371" s="154"/>
      <c r="N371" s="137" cm="1">
        <f t="array" aca="1" ref="N371:AE371" ca="1">IF(OR(B371="",NOT($J$2)),"",GetStripDefaultProbability(A371,B371,Parameter_Date,CDSRollDate,E371:M371,SpreadCurveMaturities,D371,C371,$J$4,$J$6))</f>
        <v>0</v>
      </c>
      <c r="O371" s="155">
        <f ca="1"/>
        <v>0</v>
      </c>
      <c r="P371" s="155">
        <f ca="1"/>
        <v>0</v>
      </c>
      <c r="Q371" s="155">
        <f ca="1"/>
        <v>0</v>
      </c>
      <c r="R371" s="155">
        <f ca="1"/>
        <v>3.8479676345931968E-2</v>
      </c>
      <c r="S371" s="155">
        <f ca="1"/>
        <v>0</v>
      </c>
      <c r="T371" s="155">
        <f ca="1"/>
        <v>9.4618876586099909E-2</v>
      </c>
      <c r="U371" s="155">
        <f ca="1"/>
        <v>0.16769011080805518</v>
      </c>
      <c r="V371" s="138">
        <f ca="1"/>
        <v>0</v>
      </c>
      <c r="W371" s="137">
        <f ca="1"/>
        <v>0</v>
      </c>
      <c r="X371" s="155">
        <f ca="1"/>
        <v>0</v>
      </c>
      <c r="Y371" s="155">
        <f ca="1"/>
        <v>0</v>
      </c>
      <c r="Z371" s="155">
        <f ca="1"/>
        <v>0</v>
      </c>
      <c r="AA371" s="155">
        <f ca="1"/>
        <v>3.8960316337769751E-2</v>
      </c>
      <c r="AB371" s="155">
        <f ca="1"/>
        <v>0</v>
      </c>
      <c r="AC371" s="155">
        <f ca="1"/>
        <v>9.5399075584805981E-2</v>
      </c>
      <c r="AD371" s="155">
        <f ca="1"/>
        <v>0.16870538888994624</v>
      </c>
      <c r="AE371" s="138">
        <f ca="1"/>
        <v>0</v>
      </c>
      <c r="AG371" s="135"/>
      <c r="AH371" s="515" t="s">
        <v>55</v>
      </c>
      <c r="AI371" s="515" t="s">
        <v>57</v>
      </c>
      <c r="AJ371" s="515" t="s">
        <v>59</v>
      </c>
      <c r="AK371" s="135"/>
      <c r="AL371" s="515" t="s">
        <v>55</v>
      </c>
      <c r="AM371" s="515" t="s">
        <v>57</v>
      </c>
      <c r="AN371" s="515" t="s">
        <v>59</v>
      </c>
      <c r="AP371" s="515" t="s">
        <v>55</v>
      </c>
      <c r="AQ371" s="515" t="s">
        <v>57</v>
      </c>
      <c r="AR371" s="515" t="s">
        <v>59</v>
      </c>
      <c r="AT371" s="515" t="s">
        <v>55</v>
      </c>
      <c r="AU371" s="515" t="s">
        <v>57</v>
      </c>
      <c r="AV371" s="515" t="s">
        <v>59</v>
      </c>
    </row>
    <row r="372" spans="1:48" ht="10.5" customHeight="1">
      <c r="A372" s="96">
        <v>361</v>
      </c>
      <c r="B372" s="68" t="s">
        <v>532</v>
      </c>
      <c r="C372" s="97">
        <v>0.4</v>
      </c>
      <c r="D372" s="69" t="s">
        <v>66</v>
      </c>
      <c r="E372" s="136"/>
      <c r="F372" s="154"/>
      <c r="G372" s="154"/>
      <c r="H372" s="154"/>
      <c r="I372" s="154">
        <v>2.836E-3</v>
      </c>
      <c r="J372" s="154"/>
      <c r="K372" s="154">
        <v>5.025E-3</v>
      </c>
      <c r="L372" s="154">
        <v>7.2620000000000002E-3</v>
      </c>
      <c r="M372" s="154"/>
      <c r="N372" s="137" cm="1">
        <f t="array" aca="1" ref="N372:AE372" ca="1">IF(OR(B372="",NOT($J$2)),"",GetStripDefaultProbability(A372,B372,Parameter_Date,CDSRollDate,E372:M372,SpreadCurveMaturities,D372,C372,$J$4,$J$6))</f>
        <v>0</v>
      </c>
      <c r="O372" s="155">
        <f ca="1"/>
        <v>0</v>
      </c>
      <c r="P372" s="155">
        <f ca="1"/>
        <v>0</v>
      </c>
      <c r="Q372" s="155">
        <f ca="1"/>
        <v>0</v>
      </c>
      <c r="R372" s="155">
        <f ca="1"/>
        <v>1.4469532958460873E-2</v>
      </c>
      <c r="S372" s="155">
        <f ca="1"/>
        <v>0</v>
      </c>
      <c r="T372" s="155">
        <f ca="1"/>
        <v>4.2826970651886009E-2</v>
      </c>
      <c r="U372" s="155">
        <f ca="1"/>
        <v>8.6130956861888541E-2</v>
      </c>
      <c r="V372" s="138">
        <f ca="1"/>
        <v>0</v>
      </c>
      <c r="W372" s="137">
        <f ca="1"/>
        <v>0</v>
      </c>
      <c r="X372" s="155">
        <f ca="1"/>
        <v>0</v>
      </c>
      <c r="Y372" s="155">
        <f ca="1"/>
        <v>0</v>
      </c>
      <c r="Z372" s="155">
        <f ca="1"/>
        <v>0</v>
      </c>
      <c r="AA372" s="155">
        <f ca="1"/>
        <v>1.496217502125774E-2</v>
      </c>
      <c r="AB372" s="155">
        <f ca="1"/>
        <v>0</v>
      </c>
      <c r="AC372" s="155">
        <f ca="1"/>
        <v>4.3643207067585954E-2</v>
      </c>
      <c r="AD372" s="155">
        <f ca="1"/>
        <v>8.7222216014336773E-2</v>
      </c>
      <c r="AE372" s="138">
        <f ca="1"/>
        <v>0</v>
      </c>
      <c r="AG372" s="135"/>
      <c r="AH372" s="135">
        <v>3.0899999999999999E-3</v>
      </c>
      <c r="AI372" s="135">
        <v>4.5950000000000001E-3</v>
      </c>
      <c r="AJ372" s="135">
        <v>6.3160000000000004E-3</v>
      </c>
      <c r="AK372" s="135"/>
      <c r="AL372" s="135">
        <f t="shared" ref="AL372:AL403" ca="1" si="8">AH372*$AN$365</f>
        <v>2.4119623459462683E-3</v>
      </c>
      <c r="AM372" s="135">
        <f t="shared" ref="AM372:AM403" ca="1" si="9">AI372*$AN$366</f>
        <v>5.3460514425020282E-3</v>
      </c>
      <c r="AN372" s="135">
        <f t="shared" ref="AN372:AN403" ca="1" si="10">AJ372*$AN$367</f>
        <v>1.0701887178324146E-2</v>
      </c>
      <c r="AP372" s="515">
        <f t="shared" ref="AP372:AP403" ca="1" si="11">AH372*$AR$365</f>
        <v>6.3544596147126122E-4</v>
      </c>
      <c r="AQ372" s="515">
        <f t="shared" ref="AQ372:AQ403" ca="1" si="12">AI372*$AR$366</f>
        <v>1.2920103645678934E-3</v>
      </c>
      <c r="AR372" s="515">
        <f t="shared" ref="AR372:AR403" ca="1" si="13">AJ372*$AR$367</f>
        <v>2.5469303047225894E-3</v>
      </c>
      <c r="AT372" s="515">
        <f ca="1">AH372*$AV$365</f>
        <v>4.5237790852397007E-2</v>
      </c>
      <c r="AU372" s="515">
        <f ca="1">AI372*$AV$366</f>
        <v>6.4128145387753882E-2</v>
      </c>
      <c r="AV372" s="515">
        <f ca="1">AJ372*$AV$367</f>
        <v>0.10824016724323733</v>
      </c>
    </row>
    <row r="373" spans="1:48" ht="10.5" customHeight="1">
      <c r="A373" s="96">
        <v>362</v>
      </c>
      <c r="B373" s="68" t="s">
        <v>516</v>
      </c>
      <c r="C373" s="97">
        <v>0.4</v>
      </c>
      <c r="D373" s="69" t="s">
        <v>66</v>
      </c>
      <c r="E373" s="136"/>
      <c r="F373" s="154"/>
      <c r="G373" s="154"/>
      <c r="H373" s="154"/>
      <c r="I373" s="154">
        <v>2.2030000000000001E-3</v>
      </c>
      <c r="J373" s="154"/>
      <c r="K373" s="154">
        <v>3.3639999999999998E-3</v>
      </c>
      <c r="L373" s="154">
        <v>4.9129999999999998E-3</v>
      </c>
      <c r="M373" s="154"/>
      <c r="N373" s="137" cm="1">
        <f t="array" aca="1" ref="N373:AE373" ca="1">IF(OR(B373="",NOT($J$2)),"",GetStripDefaultProbability(A373,B373,Parameter_Date,CDSRollDate,E373:M373,SpreadCurveMaturities,D373,C373,$J$4,$J$6))</f>
        <v>0</v>
      </c>
      <c r="O373" s="155">
        <f ca="1"/>
        <v>0</v>
      </c>
      <c r="P373" s="155">
        <f ca="1"/>
        <v>0</v>
      </c>
      <c r="Q373" s="155">
        <f ca="1"/>
        <v>0</v>
      </c>
      <c r="R373" s="155">
        <f ca="1"/>
        <v>1.1257844876766732E-2</v>
      </c>
      <c r="S373" s="155">
        <f ca="1"/>
        <v>0</v>
      </c>
      <c r="T373" s="155">
        <f ca="1"/>
        <v>2.8695160023747945E-2</v>
      </c>
      <c r="U373" s="155">
        <f ca="1"/>
        <v>5.8722713549100636E-2</v>
      </c>
      <c r="V373" s="138">
        <f ca="1"/>
        <v>0</v>
      </c>
      <c r="W373" s="137">
        <f ca="1"/>
        <v>0</v>
      </c>
      <c r="X373" s="155">
        <f ca="1"/>
        <v>0</v>
      </c>
      <c r="Y373" s="155">
        <f ca="1"/>
        <v>0</v>
      </c>
      <c r="Z373" s="155">
        <f ca="1"/>
        <v>0</v>
      </c>
      <c r="AA373" s="155">
        <f ca="1"/>
        <v>1.1752092382104617E-2</v>
      </c>
      <c r="AB373" s="155">
        <f ca="1"/>
        <v>0</v>
      </c>
      <c r="AC373" s="155">
        <f ca="1"/>
        <v>2.9523781453087428E-2</v>
      </c>
      <c r="AD373" s="155">
        <f ca="1"/>
        <v>5.9847283066669421E-2</v>
      </c>
      <c r="AE373" s="138">
        <f ca="1"/>
        <v>0</v>
      </c>
      <c r="AG373" s="135"/>
      <c r="AH373" s="135">
        <v>2.9420000000000002E-3</v>
      </c>
      <c r="AI373" s="135">
        <v>4.9529999999999999E-3</v>
      </c>
      <c r="AJ373" s="135">
        <v>7.0489999999999997E-3</v>
      </c>
      <c r="AK373" s="135"/>
      <c r="AL373" s="135">
        <f t="shared" ca="1" si="8"/>
        <v>2.2964379358491657E-3</v>
      </c>
      <c r="AM373" s="135">
        <f t="shared" ca="1" si="9"/>
        <v>5.7625664406338508E-3</v>
      </c>
      <c r="AN373" s="135">
        <f t="shared" ca="1" si="10"/>
        <v>1.1943888967702166E-2</v>
      </c>
      <c r="AP373" s="515">
        <f t="shared" ca="1" si="11"/>
        <v>6.0501036202215228E-4</v>
      </c>
      <c r="AQ373" s="515">
        <f t="shared" ca="1" si="12"/>
        <v>1.3926718902513113E-3</v>
      </c>
      <c r="AR373" s="515">
        <f t="shared" ca="1" si="13"/>
        <v>2.8425129382504007E-3</v>
      </c>
      <c r="AT373" s="515">
        <f t="shared" ref="AT373:AT436" ca="1" si="14">AH373*$AV$365</f>
        <v>4.3071061711246611E-2</v>
      </c>
      <c r="AU373" s="515">
        <f t="shared" ref="AU373:AU436" ca="1" si="15">AI373*$AV$366</f>
        <v>6.9124418738965174E-2</v>
      </c>
      <c r="AV373" s="515">
        <f t="shared" ref="AV373:AV436" ca="1" si="16">AJ373*$AV$367</f>
        <v>0.12080192192805254</v>
      </c>
    </row>
    <row r="374" spans="1:48" ht="10.5" customHeight="1">
      <c r="A374" s="96">
        <v>363</v>
      </c>
      <c r="B374" s="68" t="s">
        <v>610</v>
      </c>
      <c r="C374" s="97">
        <v>0.4</v>
      </c>
      <c r="D374" s="69" t="s">
        <v>66</v>
      </c>
      <c r="E374" s="136"/>
      <c r="F374" s="154"/>
      <c r="G374" s="154"/>
      <c r="H374" s="154"/>
      <c r="I374" s="154">
        <v>5.3819999999999996E-3</v>
      </c>
      <c r="J374" s="154"/>
      <c r="K374" s="154">
        <v>8.8269999999999998E-3</v>
      </c>
      <c r="L374" s="154">
        <v>1.2491E-2</v>
      </c>
      <c r="M374" s="154"/>
      <c r="N374" s="137" cm="1">
        <f t="array" aca="1" ref="N374:AE374" ca="1">IF(OR(B374="",NOT($J$2)),"",GetStripDefaultProbability(A374,B374,Parameter_Date,CDSRollDate,E374:M374,SpreadCurveMaturities,D374,C374,$J$4,$J$6))</f>
        <v>0</v>
      </c>
      <c r="O374" s="155">
        <f ca="1"/>
        <v>0</v>
      </c>
      <c r="P374" s="155">
        <f ca="1"/>
        <v>0</v>
      </c>
      <c r="Q374" s="155">
        <f ca="1"/>
        <v>0</v>
      </c>
      <c r="R374" s="155">
        <f ca="1"/>
        <v>2.7284616787490945E-2</v>
      </c>
      <c r="S374" s="155">
        <f ca="1"/>
        <v>0</v>
      </c>
      <c r="T374" s="155">
        <f ca="1"/>
        <v>7.4142986117379572E-2</v>
      </c>
      <c r="U374" s="155">
        <f ca="1"/>
        <v>0.14459611378629522</v>
      </c>
      <c r="V374" s="138">
        <f ca="1"/>
        <v>0</v>
      </c>
      <c r="W374" s="137">
        <f ca="1"/>
        <v>0</v>
      </c>
      <c r="X374" s="155">
        <f ca="1"/>
        <v>0</v>
      </c>
      <c r="Y374" s="155">
        <f ca="1"/>
        <v>0</v>
      </c>
      <c r="Z374" s="155">
        <f ca="1"/>
        <v>0</v>
      </c>
      <c r="AA374" s="155">
        <f ca="1"/>
        <v>2.7770852909921762E-2</v>
      </c>
      <c r="AB374" s="155">
        <f ca="1"/>
        <v>0</v>
      </c>
      <c r="AC374" s="155">
        <f ca="1"/>
        <v>7.4914212240113298E-2</v>
      </c>
      <c r="AD374" s="155">
        <f ca="1"/>
        <v>0.14564229868455492</v>
      </c>
      <c r="AE374" s="138">
        <f ca="1"/>
        <v>0</v>
      </c>
      <c r="AG374" s="135"/>
      <c r="AH374" s="135">
        <v>3.0409999999999999E-3</v>
      </c>
      <c r="AI374" s="135">
        <v>5.1590000000000004E-3</v>
      </c>
      <c r="AJ374" s="135">
        <v>6.8450000000000004E-3</v>
      </c>
      <c r="AK374" s="135"/>
      <c r="AL374" s="135">
        <f t="shared" ca="1" si="8"/>
        <v>2.3737143993600653E-3</v>
      </c>
      <c r="AM374" s="135">
        <f t="shared" ca="1" si="9"/>
        <v>6.0022370820169675E-3</v>
      </c>
      <c r="AN374" s="135">
        <f t="shared" ca="1" si="10"/>
        <v>1.1598229533823428E-2</v>
      </c>
      <c r="AP374" s="515">
        <f t="shared" ca="1" si="11"/>
        <v>6.2536931030229945E-4</v>
      </c>
      <c r="AQ374" s="515">
        <f t="shared" ca="1" si="12"/>
        <v>1.4505944441361833E-3</v>
      </c>
      <c r="AR374" s="515">
        <f t="shared" ca="1" si="13"/>
        <v>2.7602498315114194E-3</v>
      </c>
      <c r="AT374" s="515">
        <f t="shared" ca="1" si="14"/>
        <v>4.4520427825935051E-2</v>
      </c>
      <c r="AU374" s="515">
        <f t="shared" ca="1" si="15"/>
        <v>7.1999369326533696E-2</v>
      </c>
      <c r="AV374" s="515">
        <f t="shared" ca="1" si="16"/>
        <v>0.11730588106079157</v>
      </c>
    </row>
    <row r="375" spans="1:48" ht="10.5" customHeight="1">
      <c r="A375" s="96">
        <v>364</v>
      </c>
      <c r="B375" s="68" t="s">
        <v>517</v>
      </c>
      <c r="C375" s="97">
        <v>0.4</v>
      </c>
      <c r="D375" s="69" t="s">
        <v>66</v>
      </c>
      <c r="E375" s="136"/>
      <c r="F375" s="154"/>
      <c r="G375" s="154"/>
      <c r="H375" s="154"/>
      <c r="I375" s="154">
        <v>2.905E-3</v>
      </c>
      <c r="J375" s="154"/>
      <c r="K375" s="154">
        <v>4.709E-2</v>
      </c>
      <c r="L375" s="154">
        <v>6.6230000000000004E-3</v>
      </c>
      <c r="M375" s="154"/>
      <c r="N375" s="137" cm="1">
        <f t="array" aca="1" ref="N375:AE375" ca="1">IF(OR(B375="",NOT($J$2)),"",GetStripDefaultProbability(A375,B375,Parameter_Date,CDSRollDate,E375:M375,SpreadCurveMaturities,D375,C375,$J$4,$J$6))</f>
        <v>0</v>
      </c>
      <c r="O375" s="155">
        <f ca="1"/>
        <v>0</v>
      </c>
      <c r="P375" s="155">
        <f ca="1"/>
        <v>0</v>
      </c>
      <c r="Q375" s="155">
        <f ca="1"/>
        <v>0</v>
      </c>
      <c r="R375" s="155">
        <f ca="1"/>
        <v>1.4819003721465052E-2</v>
      </c>
      <c r="S375" s="155">
        <f ca="1"/>
        <v>0</v>
      </c>
      <c r="T375" s="155">
        <f ca="1"/>
        <v>0.37975514875128735</v>
      </c>
      <c r="U375" s="155">
        <f ca="1"/>
        <v>5.2757825457795948E-2</v>
      </c>
      <c r="V375" s="138">
        <f ca="1"/>
        <v>0</v>
      </c>
      <c r="W375" s="137">
        <f ca="1"/>
        <v>0</v>
      </c>
      <c r="X375" s="155">
        <f ca="1"/>
        <v>0</v>
      </c>
      <c r="Y375" s="155">
        <f ca="1"/>
        <v>0</v>
      </c>
      <c r="Z375" s="155">
        <f ca="1"/>
        <v>0</v>
      </c>
      <c r="AA375" s="155">
        <f ca="1"/>
        <v>1.531147109252784E-2</v>
      </c>
      <c r="AB375" s="155">
        <f ca="1"/>
        <v>0</v>
      </c>
      <c r="AC375" s="155">
        <f ca="1"/>
        <v>0.38037666866181319</v>
      </c>
      <c r="AD375" s="155">
        <f ca="1"/>
        <v>5.376113722548248E-2</v>
      </c>
      <c r="AE375" s="138">
        <f ca="1"/>
        <v>0</v>
      </c>
      <c r="AG375" s="135"/>
      <c r="AH375" s="135">
        <v>9.8239999999999994E-3</v>
      </c>
      <c r="AI375" s="135">
        <v>1.4659E-2</v>
      </c>
      <c r="AJ375" s="135">
        <v>1.8731999999999999E-2</v>
      </c>
      <c r="AK375" s="135"/>
      <c r="AL375" s="135">
        <f t="shared" ca="1" si="8"/>
        <v>7.6683230053644462E-3</v>
      </c>
      <c r="AM375" s="135">
        <f t="shared" ca="1" si="9"/>
        <v>1.7055009378811149E-2</v>
      </c>
      <c r="AN375" s="135">
        <f t="shared" ca="1" si="10"/>
        <v>3.1739669193218467E-2</v>
      </c>
      <c r="AP375" s="515">
        <f t="shared" ca="1" si="11"/>
        <v>2.0202657364057183E-3</v>
      </c>
      <c r="AQ375" s="515">
        <f t="shared" ca="1" si="12"/>
        <v>4.1217801815453207E-3</v>
      </c>
      <c r="AR375" s="515">
        <f t="shared" ca="1" si="13"/>
        <v>7.5536888011500224E-3</v>
      </c>
      <c r="AT375" s="515">
        <f t="shared" ca="1" si="14"/>
        <v>0.14382396677474052</v>
      </c>
      <c r="AU375" s="515">
        <f t="shared" ca="1" si="15"/>
        <v>0.20458204205420766</v>
      </c>
      <c r="AV375" s="515">
        <f t="shared" ca="1" si="16"/>
        <v>0.32101881139967092</v>
      </c>
    </row>
    <row r="376" spans="1:48" ht="10.5" customHeight="1">
      <c r="A376" s="96">
        <v>365</v>
      </c>
      <c r="B376" s="68" t="s">
        <v>518</v>
      </c>
      <c r="C376" s="97">
        <v>0.4</v>
      </c>
      <c r="D376" s="69" t="s">
        <v>66</v>
      </c>
      <c r="E376" s="136"/>
      <c r="F376" s="154"/>
      <c r="G376" s="154"/>
      <c r="H376" s="154"/>
      <c r="I376" s="154">
        <v>5.1570000000000001E-3</v>
      </c>
      <c r="J376" s="154"/>
      <c r="K376" s="154">
        <v>9.7490000000000007E-3</v>
      </c>
      <c r="L376" s="154">
        <v>1.2806E-2</v>
      </c>
      <c r="M376" s="154"/>
      <c r="N376" s="137" cm="1">
        <f t="array" aca="1" ref="N376:AE376" ca="1">IF(OR(B376="",NOT($J$2)),"",GetStripDefaultProbability(A376,B376,Parameter_Date,CDSRollDate,E376:M376,SpreadCurveMaturities,D376,C376,$J$4,$J$6))</f>
        <v>0</v>
      </c>
      <c r="O376" s="155">
        <f ca="1"/>
        <v>0</v>
      </c>
      <c r="P376" s="155">
        <f ca="1"/>
        <v>0</v>
      </c>
      <c r="Q376" s="155">
        <f ca="1"/>
        <v>0</v>
      </c>
      <c r="R376" s="155">
        <f ca="1"/>
        <v>2.615867510797909E-2</v>
      </c>
      <c r="S376" s="155">
        <f ca="1"/>
        <v>0</v>
      </c>
      <c r="T376" s="155">
        <f ca="1"/>
        <v>8.2046607338636668E-2</v>
      </c>
      <c r="U376" s="155">
        <f ca="1"/>
        <v>0.1477243646091887</v>
      </c>
      <c r="V376" s="138">
        <f ca="1"/>
        <v>0</v>
      </c>
      <c r="W376" s="137">
        <f ca="1"/>
        <v>0</v>
      </c>
      <c r="X376" s="155">
        <f ca="1"/>
        <v>0</v>
      </c>
      <c r="Y376" s="155">
        <f ca="1"/>
        <v>0</v>
      </c>
      <c r="Z376" s="155">
        <f ca="1"/>
        <v>0</v>
      </c>
      <c r="AA376" s="155">
        <f ca="1"/>
        <v>2.6645474060576158E-2</v>
      </c>
      <c r="AB376" s="155">
        <f ca="1"/>
        <v>0</v>
      </c>
      <c r="AC376" s="155">
        <f ca="1"/>
        <v>8.2839355341082666E-2</v>
      </c>
      <c r="AD376" s="155">
        <f ca="1"/>
        <v>0.14876378355392283</v>
      </c>
      <c r="AE376" s="138">
        <f ca="1"/>
        <v>0</v>
      </c>
      <c r="AG376" s="135"/>
      <c r="AH376" s="135">
        <v>4.7670000000000004E-3</v>
      </c>
      <c r="AI376" s="135">
        <v>1.0057999999999999E-2</v>
      </c>
      <c r="AJ376" s="135">
        <v>1.5502E-2</v>
      </c>
      <c r="AK376" s="135"/>
      <c r="AL376" s="135">
        <f t="shared" ca="1" si="8"/>
        <v>3.7209788036006025E-3</v>
      </c>
      <c r="AM376" s="135">
        <f t="shared" ca="1" si="9"/>
        <v>1.1701977238016407E-2</v>
      </c>
      <c r="AN376" s="135">
        <f t="shared" ca="1" si="10"/>
        <v>2.6266728156805079E-2</v>
      </c>
      <c r="AP376" s="515">
        <f t="shared" ca="1" si="11"/>
        <v>9.8031420658042153E-4</v>
      </c>
      <c r="AQ376" s="515">
        <f t="shared" ca="1" si="12"/>
        <v>2.8280827523011688E-3</v>
      </c>
      <c r="AR376" s="515">
        <f t="shared" ca="1" si="13"/>
        <v>6.2511896111161463E-3</v>
      </c>
      <c r="AT376" s="515">
        <f t="shared" ca="1" si="14"/>
        <v>6.9789174431513459E-2</v>
      </c>
      <c r="AU376" s="515">
        <f t="shared" ca="1" si="15"/>
        <v>0.14037016024157314</v>
      </c>
      <c r="AV376" s="515">
        <f t="shared" ca="1" si="16"/>
        <v>0.26566483100137189</v>
      </c>
    </row>
    <row r="377" spans="1:48" ht="10.5" customHeight="1">
      <c r="A377" s="96">
        <v>366</v>
      </c>
      <c r="B377" s="68" t="s">
        <v>533</v>
      </c>
      <c r="C377" s="97">
        <v>0.4</v>
      </c>
      <c r="D377" s="69" t="s">
        <v>66</v>
      </c>
      <c r="E377" s="136"/>
      <c r="F377" s="154"/>
      <c r="G377" s="154"/>
      <c r="H377" s="154"/>
      <c r="I377" s="154">
        <v>5.1190000000000003E-3</v>
      </c>
      <c r="J377" s="154"/>
      <c r="K377" s="154">
        <v>1.0839E-2</v>
      </c>
      <c r="L377" s="154">
        <v>1.6057999999999999E-2</v>
      </c>
      <c r="M377" s="154"/>
      <c r="N377" s="137" cm="1">
        <f t="array" aca="1" ref="N377:AE377" ca="1">IF(OR(B377="",NOT($J$2)),"",GetStripDefaultProbability(A377,B377,Parameter_Date,CDSRollDate,E377:M377,SpreadCurveMaturities,D377,C377,$J$4,$J$6))</f>
        <v>0</v>
      </c>
      <c r="O377" s="155">
        <f ca="1"/>
        <v>0</v>
      </c>
      <c r="P377" s="155">
        <f ca="1"/>
        <v>0</v>
      </c>
      <c r="Q377" s="155">
        <f ca="1"/>
        <v>0</v>
      </c>
      <c r="R377" s="155">
        <f ca="1"/>
        <v>2.5968390911871642E-2</v>
      </c>
      <c r="S377" s="155">
        <f ca="1"/>
        <v>0</v>
      </c>
      <c r="T377" s="155">
        <f ca="1"/>
        <v>9.1259383628063295E-2</v>
      </c>
      <c r="U377" s="155">
        <f ca="1"/>
        <v>0.18473510497981982</v>
      </c>
      <c r="V377" s="138">
        <f ca="1"/>
        <v>0</v>
      </c>
      <c r="W377" s="137">
        <f ca="1"/>
        <v>0</v>
      </c>
      <c r="X377" s="155">
        <f ca="1"/>
        <v>0</v>
      </c>
      <c r="Y377" s="155">
        <f ca="1"/>
        <v>0</v>
      </c>
      <c r="Z377" s="155">
        <f ca="1"/>
        <v>0</v>
      </c>
      <c r="AA377" s="155">
        <f ca="1"/>
        <v>2.6455284982696559E-2</v>
      </c>
      <c r="AB377" s="155">
        <f ca="1"/>
        <v>0</v>
      </c>
      <c r="AC377" s="155">
        <f ca="1"/>
        <v>9.2046877502162783E-2</v>
      </c>
      <c r="AD377" s="155">
        <f ca="1"/>
        <v>0.18574425855636489</v>
      </c>
      <c r="AE377" s="138">
        <f ca="1"/>
        <v>0</v>
      </c>
      <c r="AG377" s="135"/>
      <c r="AH377" s="135">
        <v>6.8230000000000001E-3</v>
      </c>
      <c r="AI377" s="135">
        <v>1.3924000000000001E-2</v>
      </c>
      <c r="AJ377" s="135">
        <v>2.0253E-2</v>
      </c>
      <c r="AK377" s="135"/>
      <c r="AL377" s="135">
        <f t="shared" ca="1" si="8"/>
        <v>5.3258314195441386E-3</v>
      </c>
      <c r="AM377" s="135">
        <f t="shared" ca="1" si="9"/>
        <v>1.6199873837953915E-2</v>
      </c>
      <c r="AN377" s="135">
        <f t="shared" ca="1" si="10"/>
        <v>3.431686526640261E-2</v>
      </c>
      <c r="AP377" s="515">
        <f t="shared" ca="1" si="11"/>
        <v>1.4031222637923674E-3</v>
      </c>
      <c r="AQ377" s="515">
        <f t="shared" ca="1" si="12"/>
        <v>3.9151147587036667E-3</v>
      </c>
      <c r="AR377" s="515">
        <f t="shared" ca="1" si="13"/>
        <v>8.1670328469833128E-3</v>
      </c>
      <c r="AT377" s="515">
        <f t="shared" ca="1" si="14"/>
        <v>9.9889141419386679E-2</v>
      </c>
      <c r="AU377" s="515">
        <f t="shared" ca="1" si="15"/>
        <v>0.19432433000632973</v>
      </c>
      <c r="AV377" s="515">
        <f t="shared" ca="1" si="16"/>
        <v>0.34708488080704331</v>
      </c>
    </row>
    <row r="378" spans="1:48" ht="10.5" customHeight="1">
      <c r="A378" s="96">
        <v>367</v>
      </c>
      <c r="B378" s="68" t="s">
        <v>519</v>
      </c>
      <c r="C378" s="97">
        <v>0.4</v>
      </c>
      <c r="D378" s="69" t="s">
        <v>66</v>
      </c>
      <c r="E378" s="136"/>
      <c r="F378" s="154"/>
      <c r="G378" s="154"/>
      <c r="H378" s="154"/>
      <c r="I378" s="154">
        <v>1.5269999999999999E-3</v>
      </c>
      <c r="J378" s="154"/>
      <c r="K378" s="154">
        <v>2.49E-3</v>
      </c>
      <c r="L378" s="154">
        <v>3.63E-3</v>
      </c>
      <c r="M378" s="154"/>
      <c r="N378" s="137" cm="1">
        <f t="array" aca="1" ref="N378:AE378" ca="1">IF(OR(B378="",NOT($J$2)),"",GetStripDefaultProbability(A378,B378,Parameter_Date,CDSRollDate,E378:M378,SpreadCurveMaturities,D378,C378,$J$4,$J$6))</f>
        <v>0</v>
      </c>
      <c r="O378" s="155">
        <f ca="1"/>
        <v>0</v>
      </c>
      <c r="P378" s="155">
        <f ca="1"/>
        <v>0</v>
      </c>
      <c r="Q378" s="155">
        <f ca="1"/>
        <v>0</v>
      </c>
      <c r="R378" s="155">
        <f ca="1"/>
        <v>7.8166476850183297E-3</v>
      </c>
      <c r="S378" s="155">
        <f ca="1"/>
        <v>0</v>
      </c>
      <c r="T378" s="155">
        <f ca="1"/>
        <v>2.1342326564855796E-2</v>
      </c>
      <c r="U378" s="155">
        <f ca="1"/>
        <v>4.3656950503204728E-2</v>
      </c>
      <c r="V378" s="138">
        <f ca="1"/>
        <v>0</v>
      </c>
      <c r="W378" s="137">
        <f ca="1"/>
        <v>0</v>
      </c>
      <c r="X378" s="155">
        <f ca="1"/>
        <v>0</v>
      </c>
      <c r="Y378" s="155">
        <f ca="1"/>
        <v>0</v>
      </c>
      <c r="Z378" s="155">
        <f ca="1"/>
        <v>0</v>
      </c>
      <c r="AA378" s="155">
        <f ca="1"/>
        <v>8.3126153589082596E-3</v>
      </c>
      <c r="AB378" s="155">
        <f ca="1"/>
        <v>0</v>
      </c>
      <c r="AC378" s="155">
        <f ca="1"/>
        <v>2.2177335768421513E-2</v>
      </c>
      <c r="AD378" s="155">
        <f ca="1"/>
        <v>4.4799165941867836E-2</v>
      </c>
      <c r="AE378" s="138">
        <f ca="1"/>
        <v>0</v>
      </c>
      <c r="AG378" s="135"/>
      <c r="AH378" s="135">
        <v>2.196E-3</v>
      </c>
      <c r="AI378" s="135">
        <v>3.117E-3</v>
      </c>
      <c r="AJ378" s="135">
        <v>4.3610000000000003E-3</v>
      </c>
      <c r="AK378" s="135"/>
      <c r="AL378" s="135">
        <f t="shared" ca="1" si="8"/>
        <v>1.7141324633326879E-3</v>
      </c>
      <c r="AM378" s="135">
        <f t="shared" ca="1" si="9"/>
        <v>3.6264727630639436E-3</v>
      </c>
      <c r="AN378" s="135">
        <f t="shared" ca="1" si="10"/>
        <v>7.3893176036528806E-3</v>
      </c>
      <c r="AP378" s="515">
        <f t="shared" ca="1" si="11"/>
        <v>4.5159848912326527E-4</v>
      </c>
      <c r="AQ378" s="515">
        <f t="shared" ca="1" si="12"/>
        <v>8.7643009931624011E-4</v>
      </c>
      <c r="AR378" s="515">
        <f t="shared" ca="1" si="13"/>
        <v>1.7585755318073484E-3</v>
      </c>
      <c r="AT378" s="515">
        <f t="shared" ca="1" si="14"/>
        <v>3.214957563490739E-2</v>
      </c>
      <c r="AU378" s="515">
        <f t="shared" ca="1" si="15"/>
        <v>4.3501072725490503E-2</v>
      </c>
      <c r="AV378" s="515">
        <f t="shared" ca="1" si="16"/>
        <v>7.4736442265319503E-2</v>
      </c>
    </row>
    <row r="379" spans="1:48" ht="10.5" customHeight="1">
      <c r="A379" s="96">
        <v>368</v>
      </c>
      <c r="B379" s="68" t="s">
        <v>534</v>
      </c>
      <c r="C379" s="97">
        <v>0.4</v>
      </c>
      <c r="D379" s="69" t="s">
        <v>66</v>
      </c>
      <c r="E379" s="136"/>
      <c r="F379" s="154"/>
      <c r="G379" s="154"/>
      <c r="H379" s="154"/>
      <c r="I379" s="154">
        <v>5.0749999999999997E-3</v>
      </c>
      <c r="J379" s="154"/>
      <c r="K379" s="154">
        <v>8.8369999999999994E-3</v>
      </c>
      <c r="L379" s="154">
        <v>1.3018E-2</v>
      </c>
      <c r="M379" s="154"/>
      <c r="N379" s="137" cm="1">
        <f t="array" aca="1" ref="N379:AE379" ca="1">IF(OR(B379="",NOT($J$2)),"",GetStripDefaultProbability(A379,B379,Parameter_Date,CDSRollDate,E379:M379,SpreadCurveMaturities,D379,C379,$J$4,$J$6))</f>
        <v>0</v>
      </c>
      <c r="O379" s="155">
        <f ca="1"/>
        <v>0</v>
      </c>
      <c r="P379" s="155">
        <f ca="1"/>
        <v>0</v>
      </c>
      <c r="Q379" s="155">
        <f ca="1"/>
        <v>0</v>
      </c>
      <c r="R379" s="155">
        <f ca="1"/>
        <v>2.5748016624149161E-2</v>
      </c>
      <c r="S379" s="155">
        <f ca="1"/>
        <v>0</v>
      </c>
      <c r="T379" s="155">
        <f ca="1"/>
        <v>7.4386642481354626E-2</v>
      </c>
      <c r="U379" s="155">
        <f ca="1"/>
        <v>0.15095729156702031</v>
      </c>
      <c r="V379" s="138">
        <f ca="1"/>
        <v>0</v>
      </c>
      <c r="W379" s="137">
        <f ca="1"/>
        <v>0</v>
      </c>
      <c r="X379" s="155">
        <f ca="1"/>
        <v>0</v>
      </c>
      <c r="Y379" s="155">
        <f ca="1"/>
        <v>0</v>
      </c>
      <c r="Z379" s="155">
        <f ca="1"/>
        <v>0</v>
      </c>
      <c r="AA379" s="155">
        <f ca="1"/>
        <v>2.6235020854638247E-2</v>
      </c>
      <c r="AB379" s="155">
        <f ca="1"/>
        <v>0</v>
      </c>
      <c r="AC379" s="155">
        <f ca="1"/>
        <v>7.5157665641713667E-2</v>
      </c>
      <c r="AD379" s="155">
        <f ca="1"/>
        <v>0.15199947081321807</v>
      </c>
      <c r="AE379" s="138">
        <f ca="1"/>
        <v>0</v>
      </c>
      <c r="AG379" s="135"/>
      <c r="AH379" s="135">
        <v>2.016E-3</v>
      </c>
      <c r="AI379" s="135">
        <v>3.4150000000000001E-3</v>
      </c>
      <c r="AJ379" s="135">
        <v>5.3829999999999998E-3</v>
      </c>
      <c r="AK379" s="135"/>
      <c r="AL379" s="135">
        <f t="shared" ca="1" si="8"/>
        <v>1.5736298024037791E-3</v>
      </c>
      <c r="AM379" s="135">
        <f t="shared" ca="1" si="9"/>
        <v>3.9731807782686455E-3</v>
      </c>
      <c r="AN379" s="135">
        <f t="shared" ca="1" si="10"/>
        <v>9.1210035910257864E-3</v>
      </c>
      <c r="AP379" s="515">
        <f t="shared" ca="1" si="11"/>
        <v>4.1458221952299764E-4</v>
      </c>
      <c r="AQ379" s="515">
        <f t="shared" ca="1" si="12"/>
        <v>9.6022097823707415E-4</v>
      </c>
      <c r="AR379" s="515">
        <f t="shared" ca="1" si="13"/>
        <v>2.1706975665487173E-3</v>
      </c>
      <c r="AT379" s="515">
        <f t="shared" ca="1" si="14"/>
        <v>2.951436451729203E-2</v>
      </c>
      <c r="AU379" s="515">
        <f t="shared" ca="1" si="15"/>
        <v>4.7659981827895437E-2</v>
      </c>
      <c r="AV379" s="515">
        <f t="shared" ca="1" si="16"/>
        <v>9.2250921512087788E-2</v>
      </c>
    </row>
    <row r="380" spans="1:48" ht="10.5" customHeight="1">
      <c r="A380" s="96">
        <v>369</v>
      </c>
      <c r="B380" s="68" t="s">
        <v>535</v>
      </c>
      <c r="C380" s="97">
        <v>0.4</v>
      </c>
      <c r="D380" s="69" t="s">
        <v>66</v>
      </c>
      <c r="E380" s="136"/>
      <c r="F380" s="154"/>
      <c r="G380" s="154"/>
      <c r="H380" s="154"/>
      <c r="I380" s="154">
        <v>4.0559999999999997E-3</v>
      </c>
      <c r="J380" s="154"/>
      <c r="K380" s="154">
        <v>7.1669999999999998E-3</v>
      </c>
      <c r="L380" s="154">
        <v>1.0695E-2</v>
      </c>
      <c r="M380" s="154"/>
      <c r="N380" s="137" cm="1">
        <f t="array" aca="1" ref="N380:AE380" ca="1">IF(OR(B380="",NOT($J$2)),"",GetStripDefaultProbability(A380,B380,Parameter_Date,CDSRollDate,E380:M380,SpreadCurveMaturities,D380,C380,$J$4,$J$6))</f>
        <v>0</v>
      </c>
      <c r="O380" s="155">
        <f ca="1"/>
        <v>0</v>
      </c>
      <c r="P380" s="155">
        <f ca="1"/>
        <v>0</v>
      </c>
      <c r="Q380" s="155">
        <f ca="1"/>
        <v>0</v>
      </c>
      <c r="R380" s="155">
        <f ca="1"/>
        <v>2.0630735432289438E-2</v>
      </c>
      <c r="S380" s="155">
        <f ca="1"/>
        <v>0</v>
      </c>
      <c r="T380" s="155">
        <f ca="1"/>
        <v>6.0673159358574869E-2</v>
      </c>
      <c r="U380" s="155">
        <f ca="1"/>
        <v>0.12530922805311462</v>
      </c>
      <c r="V380" s="138">
        <f ca="1"/>
        <v>0</v>
      </c>
      <c r="W380" s="137">
        <f ca="1"/>
        <v>0</v>
      </c>
      <c r="X380" s="155">
        <f ca="1"/>
        <v>0</v>
      </c>
      <c r="Y380" s="155">
        <f ca="1"/>
        <v>0</v>
      </c>
      <c r="Z380" s="155">
        <f ca="1"/>
        <v>0</v>
      </c>
      <c r="AA380" s="155">
        <f ca="1"/>
        <v>2.1120297663804299E-2</v>
      </c>
      <c r="AB380" s="155">
        <f ca="1"/>
        <v>0</v>
      </c>
      <c r="AC380" s="155">
        <f ca="1"/>
        <v>6.145560566123176E-2</v>
      </c>
      <c r="AD380" s="155">
        <f ca="1"/>
        <v>0.12637682392493066</v>
      </c>
      <c r="AE380" s="138">
        <f ca="1"/>
        <v>0</v>
      </c>
      <c r="AG380" s="135"/>
      <c r="AH380" s="135">
        <v>2.222E-3</v>
      </c>
      <c r="AI380" s="135">
        <v>4.2570000000000004E-3</v>
      </c>
      <c r="AJ380" s="135">
        <v>6.2550000000000001E-3</v>
      </c>
      <c r="AK380" s="135"/>
      <c r="AL380" s="135">
        <f t="shared" ca="1" si="8"/>
        <v>1.7344272921335302E-3</v>
      </c>
      <c r="AM380" s="135">
        <f t="shared" ca="1" si="9"/>
        <v>4.9528054386792459E-3</v>
      </c>
      <c r="AN380" s="135">
        <f t="shared" ca="1" si="10"/>
        <v>1.0598528229958442E-2</v>
      </c>
      <c r="AP380" s="515">
        <f t="shared" ca="1" si="11"/>
        <v>4.569452836210817E-4</v>
      </c>
      <c r="AQ380" s="515">
        <f t="shared" ca="1" si="12"/>
        <v>1.1969723878053368E-3</v>
      </c>
      <c r="AR380" s="515">
        <f t="shared" ca="1" si="13"/>
        <v>2.5223320228055408E-3</v>
      </c>
      <c r="AT380" s="515">
        <f t="shared" ca="1" si="14"/>
        <v>3.2530217240785163E-2</v>
      </c>
      <c r="AU380" s="515">
        <f t="shared" ca="1" si="15"/>
        <v>5.9410993452811388E-2</v>
      </c>
      <c r="AV380" s="515">
        <f t="shared" ca="1" si="16"/>
        <v>0.10719478247410537</v>
      </c>
    </row>
    <row r="381" spans="1:48" ht="10.5" customHeight="1">
      <c r="A381" s="96">
        <v>370</v>
      </c>
      <c r="B381" s="68" t="s">
        <v>611</v>
      </c>
      <c r="C381" s="97">
        <v>0.4</v>
      </c>
      <c r="D381" s="69" t="s">
        <v>66</v>
      </c>
      <c r="E381" s="136"/>
      <c r="F381" s="154"/>
      <c r="G381" s="154"/>
      <c r="H381" s="154"/>
      <c r="I381" s="154">
        <v>1.191E-3</v>
      </c>
      <c r="J381" s="154"/>
      <c r="K381" s="154">
        <v>1.908E-3</v>
      </c>
      <c r="L381" s="154">
        <v>2.9069999999999999E-3</v>
      </c>
      <c r="M381" s="154"/>
      <c r="N381" s="137" cm="1">
        <f t="array" aca="1" ref="N381:AE381" ca="1">IF(OR(B381="",NOT($J$2)),"",GetStripDefaultProbability(A381,B381,Parameter_Date,CDSRollDate,E381:M381,SpreadCurveMaturities,D381,C381,$J$4,$J$6))</f>
        <v>0</v>
      </c>
      <c r="O381" s="155">
        <f ca="1"/>
        <v>0</v>
      </c>
      <c r="P381" s="155">
        <f ca="1"/>
        <v>0</v>
      </c>
      <c r="Q381" s="155">
        <f ca="1"/>
        <v>0</v>
      </c>
      <c r="R381" s="155">
        <f ca="1"/>
        <v>6.1018553769627282E-3</v>
      </c>
      <c r="S381" s="155">
        <f ca="1"/>
        <v>0</v>
      </c>
      <c r="T381" s="155">
        <f ca="1"/>
        <v>1.637688055042652E-2</v>
      </c>
      <c r="U381" s="155">
        <f ca="1"/>
        <v>3.5121725821787853E-2</v>
      </c>
      <c r="V381" s="138">
        <f ca="1"/>
        <v>0</v>
      </c>
      <c r="W381" s="137">
        <f ca="1"/>
        <v>0</v>
      </c>
      <c r="X381" s="155">
        <f ca="1"/>
        <v>0</v>
      </c>
      <c r="Y381" s="155">
        <f ca="1"/>
        <v>0</v>
      </c>
      <c r="Z381" s="155">
        <f ca="1"/>
        <v>0</v>
      </c>
      <c r="AA381" s="155">
        <f ca="1"/>
        <v>6.5986802326500893E-3</v>
      </c>
      <c r="AB381" s="155">
        <f ca="1"/>
        <v>0</v>
      </c>
      <c r="AC381" s="155">
        <f ca="1"/>
        <v>1.7215883387490472E-2</v>
      </c>
      <c r="AD381" s="155">
        <f ca="1"/>
        <v>3.6273552547594234E-2</v>
      </c>
      <c r="AE381" s="138">
        <f ca="1"/>
        <v>0</v>
      </c>
      <c r="AG381" s="135"/>
      <c r="AH381" s="135">
        <v>7.633E-3</v>
      </c>
      <c r="AI381" s="135">
        <v>1.1407E-2</v>
      </c>
      <c r="AJ381" s="135">
        <v>1.4759E-2</v>
      </c>
      <c r="AK381" s="135"/>
      <c r="AL381" s="135">
        <f t="shared" ca="1" si="8"/>
        <v>5.9580933937242288E-3</v>
      </c>
      <c r="AM381" s="135">
        <f t="shared" ca="1" si="9"/>
        <v>1.3271470904161182E-2</v>
      </c>
      <c r="AN381" s="135">
        <f t="shared" ca="1" si="10"/>
        <v>2.5007782277531039E-2</v>
      </c>
      <c r="AP381" s="515">
        <f t="shared" ca="1" si="11"/>
        <v>1.5696954769935719E-3</v>
      </c>
      <c r="AQ381" s="515">
        <f t="shared" ca="1" si="12"/>
        <v>3.2073911270132666E-3</v>
      </c>
      <c r="AR381" s="515">
        <f t="shared" ca="1" si="13"/>
        <v>5.9515744723560313E-3</v>
      </c>
      <c r="AT381" s="515">
        <f t="shared" ca="1" si="14"/>
        <v>0.11174759144865579</v>
      </c>
      <c r="AU381" s="515">
        <f t="shared" ca="1" si="15"/>
        <v>0.15919689976890286</v>
      </c>
      <c r="AV381" s="515">
        <f t="shared" ca="1" si="16"/>
        <v>0.25293170176423996</v>
      </c>
    </row>
    <row r="382" spans="1:48" ht="10.5" customHeight="1">
      <c r="A382" s="96">
        <v>371</v>
      </c>
      <c r="B382" s="68" t="s">
        <v>520</v>
      </c>
      <c r="C382" s="97">
        <v>0.4</v>
      </c>
      <c r="D382" s="69" t="s">
        <v>66</v>
      </c>
      <c r="E382" s="136"/>
      <c r="F382" s="154"/>
      <c r="G382" s="154"/>
      <c r="H382" s="154"/>
      <c r="I382" s="154">
        <v>1.2049999999999999E-3</v>
      </c>
      <c r="J382" s="154"/>
      <c r="K382" s="154">
        <v>1.9740000000000001E-3</v>
      </c>
      <c r="L382" s="154">
        <v>3.055E-3</v>
      </c>
      <c r="M382" s="154"/>
      <c r="N382" s="137" cm="1">
        <f t="array" aca="1" ref="N382:AE382" ca="1">IF(OR(B382="",NOT($J$2)),"",GetStripDefaultProbability(A382,B382,Parameter_Date,CDSRollDate,E382:M382,SpreadCurveMaturities,D382,C382,$J$4,$J$6))</f>
        <v>0</v>
      </c>
      <c r="O382" s="155">
        <f ca="1"/>
        <v>0</v>
      </c>
      <c r="P382" s="155">
        <f ca="1"/>
        <v>0</v>
      </c>
      <c r="Q382" s="155">
        <f ca="1"/>
        <v>0</v>
      </c>
      <c r="R382" s="155">
        <f ca="1"/>
        <v>6.1733632015926743E-3</v>
      </c>
      <c r="S382" s="155">
        <f ca="1"/>
        <v>0</v>
      </c>
      <c r="T382" s="155">
        <f ca="1"/>
        <v>1.6949996550136626E-2</v>
      </c>
      <c r="U382" s="155">
        <f ca="1"/>
        <v>3.6922612543384914E-2</v>
      </c>
      <c r="V382" s="138">
        <f ca="1"/>
        <v>0</v>
      </c>
      <c r="W382" s="137">
        <f ca="1"/>
        <v>0</v>
      </c>
      <c r="X382" s="155">
        <f ca="1"/>
        <v>0</v>
      </c>
      <c r="Y382" s="155">
        <f ca="1"/>
        <v>0</v>
      </c>
      <c r="Z382" s="155">
        <f ca="1"/>
        <v>0</v>
      </c>
      <c r="AA382" s="155">
        <f ca="1"/>
        <v>6.6701523123828821E-3</v>
      </c>
      <c r="AB382" s="155">
        <f ca="1"/>
        <v>0</v>
      </c>
      <c r="AC382" s="155">
        <f ca="1"/>
        <v>1.7788587923894816E-2</v>
      </c>
      <c r="AD382" s="155">
        <f ca="1"/>
        <v>3.8072622432326231E-2</v>
      </c>
      <c r="AE382" s="138">
        <f ca="1"/>
        <v>0</v>
      </c>
      <c r="AG382" s="135"/>
      <c r="AH382" s="135">
        <v>2.836E-3</v>
      </c>
      <c r="AI382" s="135">
        <v>5.025E-3</v>
      </c>
      <c r="AJ382" s="135">
        <v>7.2620000000000002E-3</v>
      </c>
      <c r="AK382" s="135"/>
      <c r="AL382" s="135">
        <f t="shared" ca="1" si="8"/>
        <v>2.2136974799688079E-3</v>
      </c>
      <c r="AM382" s="135">
        <f t="shared" ca="1" si="9"/>
        <v>5.846334820146396E-3</v>
      </c>
      <c r="AN382" s="135">
        <f t="shared" ca="1" si="10"/>
        <v>1.2304798082487323E-2</v>
      </c>
      <c r="AP382" s="515">
        <f t="shared" ca="1" si="11"/>
        <v>5.8321189214643912E-4</v>
      </c>
      <c r="AQ382" s="515">
        <f t="shared" ca="1" si="12"/>
        <v>1.4129166663664121E-3</v>
      </c>
      <c r="AR382" s="515">
        <f t="shared" ca="1" si="13"/>
        <v>2.9284052996984555E-3</v>
      </c>
      <c r="AT382" s="515">
        <f t="shared" ca="1" si="14"/>
        <v>4.1519215164206445E-2</v>
      </c>
      <c r="AU382" s="515">
        <f t="shared" ca="1" si="15"/>
        <v>7.0129255837532808E-2</v>
      </c>
      <c r="AV382" s="515">
        <f t="shared" ca="1" si="16"/>
        <v>0.12445219989239859</v>
      </c>
    </row>
    <row r="383" spans="1:48" ht="10.5" customHeight="1">
      <c r="A383" s="96">
        <v>372</v>
      </c>
      <c r="B383" s="68" t="s">
        <v>612</v>
      </c>
      <c r="C383" s="97">
        <v>0.4</v>
      </c>
      <c r="D383" s="69" t="s">
        <v>66</v>
      </c>
      <c r="E383" s="136"/>
      <c r="F383" s="154"/>
      <c r="G383" s="154"/>
      <c r="H383" s="154"/>
      <c r="I383" s="154">
        <v>1.1557E-2</v>
      </c>
      <c r="J383" s="154"/>
      <c r="K383" s="154">
        <v>1.7305000000000001E-2</v>
      </c>
      <c r="L383" s="154">
        <v>2.0903000000000001E-2</v>
      </c>
      <c r="M383" s="154"/>
      <c r="N383" s="137" cm="1">
        <f t="array" aca="1" ref="N383:AE383" ca="1">IF(OR(B383="",NOT($J$2)),"",GetStripDefaultProbability(A383,B383,Parameter_Date,CDSRollDate,E383:M383,SpreadCurveMaturities,D383,C383,$J$4,$J$6))</f>
        <v>0</v>
      </c>
      <c r="O383" s="155">
        <f ca="1"/>
        <v>0</v>
      </c>
      <c r="P383" s="155">
        <f ca="1"/>
        <v>0</v>
      </c>
      <c r="Q383" s="155">
        <f ca="1"/>
        <v>0</v>
      </c>
      <c r="R383" s="155">
        <f ca="1"/>
        <v>5.7658588327390459E-2</v>
      </c>
      <c r="S383" s="155">
        <f ca="1"/>
        <v>0</v>
      </c>
      <c r="T383" s="155">
        <f ca="1"/>
        <v>0.14073851066659027</v>
      </c>
      <c r="U383" s="155">
        <f ca="1"/>
        <v>0.22952777201265129</v>
      </c>
      <c r="V383" s="138">
        <f ca="1"/>
        <v>0</v>
      </c>
      <c r="W383" s="137">
        <f ca="1"/>
        <v>0</v>
      </c>
      <c r="X383" s="155">
        <f ca="1"/>
        <v>0</v>
      </c>
      <c r="Y383" s="155">
        <f ca="1"/>
        <v>0</v>
      </c>
      <c r="Z383" s="155">
        <f ca="1"/>
        <v>0</v>
      </c>
      <c r="AA383" s="155">
        <f ca="1"/>
        <v>5.8129641260129317E-2</v>
      </c>
      <c r="AB383" s="155">
        <f ca="1"/>
        <v>0</v>
      </c>
      <c r="AC383" s="155">
        <f ca="1"/>
        <v>0.14148393936972981</v>
      </c>
      <c r="AD383" s="155">
        <f ca="1"/>
        <v>0.2304744080795349</v>
      </c>
      <c r="AE383" s="138">
        <f ca="1"/>
        <v>0</v>
      </c>
      <c r="AG383" s="135"/>
      <c r="AH383" s="135">
        <v>2.2030000000000001E-3</v>
      </c>
      <c r="AI383" s="135">
        <v>3.3639999999999998E-3</v>
      </c>
      <c r="AJ383" s="135">
        <v>4.9129999999999998E-3</v>
      </c>
      <c r="AK383" s="135"/>
      <c r="AL383" s="135">
        <f t="shared" ca="1" si="8"/>
        <v>1.7195964557021454E-3</v>
      </c>
      <c r="AM383" s="135">
        <f t="shared" ca="1" si="9"/>
        <v>3.9138448427805924E-3</v>
      </c>
      <c r="AN383" s="135">
        <f t="shared" ca="1" si="10"/>
        <v>8.324631365913002E-3</v>
      </c>
      <c r="AP383" s="515">
        <f t="shared" ca="1" si="11"/>
        <v>4.5303801071883121E-4</v>
      </c>
      <c r="AQ383" s="515">
        <f t="shared" ca="1" si="12"/>
        <v>9.4588092848887765E-4</v>
      </c>
      <c r="AR383" s="515">
        <f t="shared" ca="1" si="13"/>
        <v>1.9811698206304751E-3</v>
      </c>
      <c r="AT383" s="515">
        <f t="shared" ca="1" si="14"/>
        <v>3.2252056067259102E-2</v>
      </c>
      <c r="AU383" s="515">
        <f t="shared" ca="1" si="15"/>
        <v>4.6948222216410027E-2</v>
      </c>
      <c r="AV383" s="515">
        <f t="shared" ca="1" si="16"/>
        <v>8.4196317553202171E-2</v>
      </c>
    </row>
    <row r="384" spans="1:48" ht="10.5" customHeight="1">
      <c r="A384" s="96">
        <v>373</v>
      </c>
      <c r="B384" s="68" t="s">
        <v>536</v>
      </c>
      <c r="C384" s="97">
        <v>0.4</v>
      </c>
      <c r="D384" s="69" t="s">
        <v>66</v>
      </c>
      <c r="E384" s="136"/>
      <c r="F384" s="154"/>
      <c r="G384" s="154"/>
      <c r="H384" s="154"/>
      <c r="I384" s="154">
        <v>3.4970000000000001E-3</v>
      </c>
      <c r="J384" s="154"/>
      <c r="K384" s="154">
        <v>6.7010000000000004E-3</v>
      </c>
      <c r="L384" s="154">
        <v>1.042E-2</v>
      </c>
      <c r="M384" s="154"/>
      <c r="N384" s="137" cm="1">
        <f t="array" aca="1" ref="N384:AE384" ca="1">IF(OR(B384="",NOT($J$2)),"",GetStripDefaultProbability(A384,B384,Parameter_Date,CDSRollDate,E384:M384,SpreadCurveMaturities,D384,C384,$J$4,$J$6))</f>
        <v>0</v>
      </c>
      <c r="O384" s="155">
        <f ca="1"/>
        <v>0</v>
      </c>
      <c r="P384" s="155">
        <f ca="1"/>
        <v>0</v>
      </c>
      <c r="Q384" s="155">
        <f ca="1"/>
        <v>0</v>
      </c>
      <c r="R384" s="155">
        <f ca="1"/>
        <v>1.7812381523074072E-2</v>
      </c>
      <c r="S384" s="155">
        <f ca="1"/>
        <v>0</v>
      </c>
      <c r="T384" s="155">
        <f ca="1"/>
        <v>5.6950605734372495E-2</v>
      </c>
      <c r="U384" s="155">
        <f ca="1"/>
        <v>0.12266456879275578</v>
      </c>
      <c r="V384" s="138">
        <f ca="1"/>
        <v>0</v>
      </c>
      <c r="W384" s="137">
        <f ca="1"/>
        <v>0</v>
      </c>
      <c r="X384" s="155">
        <f ca="1"/>
        <v>0</v>
      </c>
      <c r="Y384" s="155">
        <f ca="1"/>
        <v>0</v>
      </c>
      <c r="Z384" s="155">
        <f ca="1"/>
        <v>0</v>
      </c>
      <c r="AA384" s="155">
        <f ca="1"/>
        <v>1.8303352579376098E-2</v>
      </c>
      <c r="AB384" s="155">
        <f ca="1"/>
        <v>0</v>
      </c>
      <c r="AC384" s="155">
        <f ca="1"/>
        <v>5.7736152872791102E-2</v>
      </c>
      <c r="AD384" s="155">
        <f ca="1"/>
        <v>0.12373658490656858</v>
      </c>
      <c r="AE384" s="138">
        <f ca="1"/>
        <v>0</v>
      </c>
      <c r="AG384" s="135"/>
      <c r="AH384" s="135">
        <v>5.3819999999999996E-3</v>
      </c>
      <c r="AI384" s="135">
        <v>8.8269999999999998E-3</v>
      </c>
      <c r="AJ384" s="135">
        <v>1.2491E-2</v>
      </c>
      <c r="AK384" s="135"/>
      <c r="AL384" s="135">
        <f t="shared" ca="1" si="8"/>
        <v>4.2010295617743738E-3</v>
      </c>
      <c r="AM384" s="135">
        <f t="shared" ca="1" si="9"/>
        <v>1.0269770638294973E-2</v>
      </c>
      <c r="AN384" s="135">
        <f t="shared" ca="1" si="10"/>
        <v>2.1164862689114453E-2</v>
      </c>
      <c r="AP384" s="515">
        <f t="shared" ca="1" si="11"/>
        <v>1.1067864610480025E-3</v>
      </c>
      <c r="AQ384" s="515">
        <f t="shared" ca="1" si="12"/>
        <v>2.4819533162221533E-3</v>
      </c>
      <c r="AR384" s="515">
        <f t="shared" ca="1" si="13"/>
        <v>5.0370022856697063E-3</v>
      </c>
      <c r="AT384" s="515">
        <f t="shared" ca="1" si="14"/>
        <v>7.8792812416699262E-2</v>
      </c>
      <c r="AU384" s="515">
        <f t="shared" ca="1" si="15"/>
        <v>0.12319023707022927</v>
      </c>
      <c r="AV384" s="515">
        <f t="shared" ca="1" si="16"/>
        <v>0.21406395329880898</v>
      </c>
    </row>
    <row r="385" spans="1:48" ht="10.5" customHeight="1">
      <c r="A385" s="96">
        <v>374</v>
      </c>
      <c r="B385" s="68" t="s">
        <v>521</v>
      </c>
      <c r="C385" s="97">
        <v>0.4</v>
      </c>
      <c r="D385" s="69" t="s">
        <v>66</v>
      </c>
      <c r="E385" s="136"/>
      <c r="F385" s="154"/>
      <c r="G385" s="154"/>
      <c r="H385" s="154"/>
      <c r="I385" s="154">
        <v>2.7599999999999999E-3</v>
      </c>
      <c r="J385" s="154"/>
      <c r="K385" s="154">
        <v>4.8069999999999996E-3</v>
      </c>
      <c r="L385" s="154">
        <v>6.9220000000000002E-3</v>
      </c>
      <c r="M385" s="154"/>
      <c r="N385" s="137" cm="1">
        <f t="array" aca="1" ref="N385:AE385" ca="1">IF(OR(B385="",NOT($J$2)),"",GetStripDefaultProbability(A385,B385,Parameter_Date,CDSRollDate,E385:M385,SpreadCurveMaturities,D385,C385,$J$4,$J$6))</f>
        <v>0</v>
      </c>
      <c r="O385" s="155">
        <f ca="1"/>
        <v>0</v>
      </c>
      <c r="P385" s="155">
        <f ca="1"/>
        <v>0</v>
      </c>
      <c r="Q385" s="155">
        <f ca="1"/>
        <v>0</v>
      </c>
      <c r="R385" s="155">
        <f ca="1"/>
        <v>1.4084468133024219E-2</v>
      </c>
      <c r="S385" s="155">
        <f ca="1"/>
        <v>0</v>
      </c>
      <c r="T385" s="155">
        <f ca="1"/>
        <v>4.0976200180874112E-2</v>
      </c>
      <c r="U385" s="155">
        <f ca="1"/>
        <v>8.2173496328661E-2</v>
      </c>
      <c r="V385" s="138">
        <f ca="1"/>
        <v>0</v>
      </c>
      <c r="W385" s="137">
        <f ca="1"/>
        <v>0</v>
      </c>
      <c r="X385" s="155">
        <f ca="1"/>
        <v>0</v>
      </c>
      <c r="Y385" s="155">
        <f ca="1"/>
        <v>0</v>
      </c>
      <c r="Z385" s="155">
        <f ca="1"/>
        <v>0</v>
      </c>
      <c r="AA385" s="155">
        <f ca="1"/>
        <v>1.4577302680098159E-2</v>
      </c>
      <c r="AB385" s="155">
        <f ca="1"/>
        <v>0</v>
      </c>
      <c r="AC385" s="155">
        <f ca="1"/>
        <v>4.1794153153985381E-2</v>
      </c>
      <c r="AD385" s="155">
        <f ca="1"/>
        <v>8.3269792877216031E-2</v>
      </c>
      <c r="AE385" s="138">
        <f ca="1"/>
        <v>0</v>
      </c>
      <c r="AG385" s="135"/>
      <c r="AH385" s="135">
        <v>2.905E-3</v>
      </c>
      <c r="AI385" s="135">
        <v>4.709E-2</v>
      </c>
      <c r="AJ385" s="135">
        <v>6.6230000000000004E-3</v>
      </c>
      <c r="AK385" s="135"/>
      <c r="AL385" s="135">
        <f t="shared" ca="1" si="8"/>
        <v>2.26755683332489E-3</v>
      </c>
      <c r="AM385" s="135">
        <f t="shared" ca="1" si="9"/>
        <v>5.4786847100635583E-2</v>
      </c>
      <c r="AN385" s="135">
        <f t="shared" ca="1" si="10"/>
        <v>1.1222070738131857E-2</v>
      </c>
      <c r="AP385" s="515">
        <f t="shared" ca="1" si="11"/>
        <v>5.9740146215987505E-4</v>
      </c>
      <c r="AQ385" s="515">
        <f t="shared" ca="1" si="12"/>
        <v>1.324064593416803E-2</v>
      </c>
      <c r="AR385" s="515">
        <f t="shared" ca="1" si="13"/>
        <v>2.6707282153542924E-3</v>
      </c>
      <c r="AT385" s="515">
        <f t="shared" ca="1" si="14"/>
        <v>4.2529379425959003E-2</v>
      </c>
      <c r="AU385" s="515">
        <f t="shared" ca="1" si="15"/>
        <v>0.65719137460485977</v>
      </c>
      <c r="AV385" s="515">
        <f t="shared" ca="1" si="16"/>
        <v>0.11350136599936049</v>
      </c>
    </row>
    <row r="386" spans="1:48" ht="10.5" customHeight="1">
      <c r="A386" s="96">
        <v>375</v>
      </c>
      <c r="B386" s="68" t="s">
        <v>537</v>
      </c>
      <c r="C386" s="97">
        <v>0.4</v>
      </c>
      <c r="D386" s="69" t="s">
        <v>66</v>
      </c>
      <c r="E386" s="136"/>
      <c r="F386" s="154"/>
      <c r="G386" s="154"/>
      <c r="H386" s="154"/>
      <c r="I386" s="154">
        <v>8.0549999999999997E-3</v>
      </c>
      <c r="J386" s="154"/>
      <c r="K386" s="154">
        <v>1.2508999999999999E-2</v>
      </c>
      <c r="L386" s="154">
        <v>1.5117E-2</v>
      </c>
      <c r="M386" s="154"/>
      <c r="N386" s="137" cm="1">
        <f t="array" aca="1" ref="N386:AE386" ca="1">IF(OR(B386="",NOT($J$2)),"",GetStripDefaultProbability(A386,B386,Parameter_Date,CDSRollDate,E386:M386,SpreadCurveMaturities,D386,C386,$J$4,$J$6))</f>
        <v>0</v>
      </c>
      <c r="O386" s="155">
        <f ca="1"/>
        <v>0</v>
      </c>
      <c r="P386" s="155">
        <f ca="1"/>
        <v>0</v>
      </c>
      <c r="Q386" s="155">
        <f ca="1"/>
        <v>0</v>
      </c>
      <c r="R386" s="155">
        <f ca="1"/>
        <v>4.0547297772889124E-2</v>
      </c>
      <c r="S386" s="155">
        <f ca="1"/>
        <v>0</v>
      </c>
      <c r="T386" s="155">
        <f ca="1"/>
        <v>0.10356020906237551</v>
      </c>
      <c r="U386" s="155">
        <f ca="1"/>
        <v>0.17067057685779596</v>
      </c>
      <c r="V386" s="138">
        <f ca="1"/>
        <v>0</v>
      </c>
      <c r="W386" s="137">
        <f ca="1"/>
        <v>0</v>
      </c>
      <c r="X386" s="155">
        <f ca="1"/>
        <v>0</v>
      </c>
      <c r="Y386" s="155">
        <f ca="1"/>
        <v>0</v>
      </c>
      <c r="Z386" s="155">
        <f ca="1"/>
        <v>0</v>
      </c>
      <c r="AA386" s="155">
        <f ca="1"/>
        <v>4.1026904212403514E-2</v>
      </c>
      <c r="AB386" s="155">
        <f ca="1"/>
        <v>0</v>
      </c>
      <c r="AC386" s="155">
        <f ca="1"/>
        <v>0.10433436049165201</v>
      </c>
      <c r="AD386" s="155">
        <f ca="1"/>
        <v>0.17167980097784941</v>
      </c>
      <c r="AE386" s="138">
        <f ca="1"/>
        <v>0</v>
      </c>
      <c r="AG386" s="135"/>
      <c r="AH386" s="135">
        <v>5.1570000000000001E-3</v>
      </c>
      <c r="AI386" s="135">
        <v>9.7490000000000007E-3</v>
      </c>
      <c r="AJ386" s="135">
        <v>1.2806E-2</v>
      </c>
      <c r="AK386" s="135"/>
      <c r="AL386" s="135">
        <f t="shared" ca="1" si="8"/>
        <v>4.0254012356132386E-3</v>
      </c>
      <c r="AM386" s="135">
        <f t="shared" ca="1" si="9"/>
        <v>1.1342471275941736E-2</v>
      </c>
      <c r="AN386" s="135">
        <f t="shared" ca="1" si="10"/>
        <v>2.1698601520838978E-2</v>
      </c>
      <c r="AP386" s="515">
        <f t="shared" ca="1" si="11"/>
        <v>1.060516124047668E-3</v>
      </c>
      <c r="AQ386" s="515">
        <f t="shared" ca="1" si="12"/>
        <v>2.7411989214738614E-3</v>
      </c>
      <c r="AR386" s="515">
        <f t="shared" ca="1" si="13"/>
        <v>5.1640262004872513E-3</v>
      </c>
      <c r="AT386" s="515">
        <f t="shared" ca="1" si="14"/>
        <v>7.5498798519680069E-2</v>
      </c>
      <c r="AU386" s="515">
        <f t="shared" ca="1" si="15"/>
        <v>0.13605773436022039</v>
      </c>
      <c r="AV386" s="515">
        <f t="shared" ca="1" si="16"/>
        <v>0.21946225169678549</v>
      </c>
    </row>
    <row r="387" spans="1:48" ht="10.5" customHeight="1">
      <c r="A387" s="96">
        <v>376</v>
      </c>
      <c r="B387" s="68" t="s">
        <v>522</v>
      </c>
      <c r="C387" s="97">
        <v>0.4</v>
      </c>
      <c r="D387" s="69" t="s">
        <v>66</v>
      </c>
      <c r="E387" s="136"/>
      <c r="F387" s="154"/>
      <c r="G387" s="154"/>
      <c r="H387" s="154"/>
      <c r="I387" s="154">
        <v>3.4320000000000002E-3</v>
      </c>
      <c r="J387" s="154"/>
      <c r="K387" s="154">
        <v>5.6519999999999999E-3</v>
      </c>
      <c r="L387" s="154">
        <v>8.0560000000000007E-3</v>
      </c>
      <c r="M387" s="154"/>
      <c r="N387" s="137" cm="1">
        <f t="array" aca="1" ref="N387:AE387" ca="1">IF(OR(B387="",NOT($J$2)),"",GetStripDefaultProbability(A387,B387,Parameter_Date,CDSRollDate,E387:M387,SpreadCurveMaturities,D387,C387,$J$4,$J$6))</f>
        <v>0</v>
      </c>
      <c r="O387" s="155">
        <f ca="1"/>
        <v>0</v>
      </c>
      <c r="P387" s="155">
        <f ca="1"/>
        <v>0</v>
      </c>
      <c r="Q387" s="155">
        <f ca="1"/>
        <v>0</v>
      </c>
      <c r="R387" s="155">
        <f ca="1"/>
        <v>1.7484152025420752E-2</v>
      </c>
      <c r="S387" s="155">
        <f ca="1"/>
        <v>0</v>
      </c>
      <c r="T387" s="155">
        <f ca="1"/>
        <v>4.7967259313793753E-2</v>
      </c>
      <c r="U387" s="155">
        <f ca="1"/>
        <v>9.505132055297838E-2</v>
      </c>
      <c r="V387" s="138">
        <f ca="1"/>
        <v>0</v>
      </c>
      <c r="W387" s="137">
        <f ca="1"/>
        <v>0</v>
      </c>
      <c r="X387" s="155">
        <f ca="1"/>
        <v>0</v>
      </c>
      <c r="Y387" s="155">
        <f ca="1"/>
        <v>0</v>
      </c>
      <c r="Z387" s="155">
        <f ca="1"/>
        <v>0</v>
      </c>
      <c r="AA387" s="155">
        <f ca="1"/>
        <v>1.7975287155406416E-2</v>
      </c>
      <c r="AB387" s="155">
        <f ca="1"/>
        <v>0</v>
      </c>
      <c r="AC387" s="155">
        <f ca="1"/>
        <v>4.8760289455880845E-2</v>
      </c>
      <c r="AD387" s="155">
        <f ca="1"/>
        <v>9.6131534450252354E-2</v>
      </c>
      <c r="AE387" s="138">
        <f ca="1"/>
        <v>0</v>
      </c>
      <c r="AG387" s="135"/>
      <c r="AH387" s="135">
        <v>5.1190000000000003E-3</v>
      </c>
      <c r="AI387" s="135">
        <v>1.0839E-2</v>
      </c>
      <c r="AJ387" s="135">
        <v>1.6057999999999999E-2</v>
      </c>
      <c r="AK387" s="135"/>
      <c r="AL387" s="135">
        <f t="shared" ca="1" si="8"/>
        <v>3.9957395627504685E-3</v>
      </c>
      <c r="AM387" s="135">
        <f t="shared" ca="1" si="9"/>
        <v>1.2610631465784436E-2</v>
      </c>
      <c r="AN387" s="135">
        <f t="shared" ca="1" si="10"/>
        <v>2.7208819555023606E-2</v>
      </c>
      <c r="AP387" s="515">
        <f t="shared" ca="1" si="11"/>
        <v>1.0527015782431672E-3</v>
      </c>
      <c r="AQ387" s="515">
        <f t="shared" ca="1" si="12"/>
        <v>3.0476823376608042E-3</v>
      </c>
      <c r="AR387" s="515">
        <f t="shared" ca="1" si="13"/>
        <v>6.4753969020321942E-3</v>
      </c>
      <c r="AT387" s="515">
        <f t="shared" ca="1" si="14"/>
        <v>7.4942476172627934E-2</v>
      </c>
      <c r="AU387" s="515">
        <f t="shared" ca="1" si="15"/>
        <v>0.15126985154686928</v>
      </c>
      <c r="AV387" s="515">
        <f t="shared" ca="1" si="16"/>
        <v>0.27519325611018125</v>
      </c>
    </row>
    <row r="388" spans="1:48" ht="10.5" customHeight="1">
      <c r="A388" s="96">
        <v>377</v>
      </c>
      <c r="B388" s="68" t="s">
        <v>523</v>
      </c>
      <c r="C388" s="97">
        <v>0.4</v>
      </c>
      <c r="D388" s="69" t="s">
        <v>66</v>
      </c>
      <c r="E388" s="136"/>
      <c r="F388" s="154"/>
      <c r="G388" s="154"/>
      <c r="H388" s="154"/>
      <c r="I388" s="154">
        <v>2.0699999999999998E-3</v>
      </c>
      <c r="J388" s="154"/>
      <c r="K388" s="154">
        <v>3.297E-3</v>
      </c>
      <c r="L388" s="154">
        <v>4.411E-3</v>
      </c>
      <c r="M388" s="154"/>
      <c r="N388" s="137" cm="1">
        <f t="array" aca="1" ref="N388:AE388" ca="1">IF(OR(B388="",NOT($J$2)),"",GetStripDefaultProbability(A388,B388,Parameter_Date,CDSRollDate,E388:M388,SpreadCurveMaturities,D388,C388,$J$4,$J$6))</f>
        <v>0</v>
      </c>
      <c r="O388" s="155">
        <f ca="1"/>
        <v>0</v>
      </c>
      <c r="P388" s="155">
        <f ca="1"/>
        <v>0</v>
      </c>
      <c r="Q388" s="155">
        <f ca="1"/>
        <v>0</v>
      </c>
      <c r="R388" s="155">
        <f ca="1"/>
        <v>1.0581731693382057E-2</v>
      </c>
      <c r="S388" s="155">
        <f ca="1"/>
        <v>0</v>
      </c>
      <c r="T388" s="155">
        <f ca="1"/>
        <v>2.8166056756020907E-2</v>
      </c>
      <c r="U388" s="155">
        <f ca="1"/>
        <v>5.2640034830510829E-2</v>
      </c>
      <c r="V388" s="138">
        <f ca="1"/>
        <v>0</v>
      </c>
      <c r="W388" s="137">
        <f ca="1"/>
        <v>0</v>
      </c>
      <c r="X388" s="155">
        <f ca="1"/>
        <v>0</v>
      </c>
      <c r="Y388" s="155">
        <f ca="1"/>
        <v>0</v>
      </c>
      <c r="Z388" s="155">
        <f ca="1"/>
        <v>0</v>
      </c>
      <c r="AA388" s="155">
        <f ca="1"/>
        <v>1.107631717090396E-2</v>
      </c>
      <c r="AB388" s="155">
        <f ca="1"/>
        <v>0</v>
      </c>
      <c r="AC388" s="155">
        <f ca="1"/>
        <v>2.8995260891523489E-2</v>
      </c>
      <c r="AD388" s="155">
        <f ca="1"/>
        <v>5.3771402894084441E-2</v>
      </c>
      <c r="AE388" s="138">
        <f ca="1"/>
        <v>0</v>
      </c>
      <c r="AG388" s="135"/>
      <c r="AH388" s="135">
        <v>1.5269999999999999E-3</v>
      </c>
      <c r="AI388" s="135">
        <v>2.49E-3</v>
      </c>
      <c r="AJ388" s="135">
        <v>3.63E-3</v>
      </c>
      <c r="AK388" s="135"/>
      <c r="AL388" s="135">
        <f t="shared" ca="1" si="8"/>
        <v>1.1919309068802433E-3</v>
      </c>
      <c r="AM388" s="135">
        <f t="shared" ca="1" si="9"/>
        <v>2.8969897914755279E-3</v>
      </c>
      <c r="AN388" s="135">
        <f t="shared" ca="1" si="10"/>
        <v>6.1507046322540598E-3</v>
      </c>
      <c r="AP388" s="515">
        <f t="shared" ca="1" si="11"/>
        <v>3.1402135377560386E-4</v>
      </c>
      <c r="AQ388" s="515">
        <f t="shared" ca="1" si="12"/>
        <v>7.0013184064723715E-4</v>
      </c>
      <c r="AR388" s="515">
        <f t="shared" ca="1" si="13"/>
        <v>1.4637993993259974E-3</v>
      </c>
      <c r="AT388" s="515">
        <f t="shared" ca="1" si="14"/>
        <v>2.235537431443697E-2</v>
      </c>
      <c r="AU388" s="515">
        <f t="shared" ca="1" si="15"/>
        <v>3.4750616325464022E-2</v>
      </c>
      <c r="AV388" s="515">
        <f t="shared" ca="1" si="16"/>
        <v>6.220896249096762E-2</v>
      </c>
    </row>
    <row r="389" spans="1:48" ht="10.5" customHeight="1">
      <c r="A389" s="96">
        <v>378</v>
      </c>
      <c r="B389" s="68" t="s">
        <v>524</v>
      </c>
      <c r="C389" s="97">
        <v>0.4</v>
      </c>
      <c r="D389" s="69" t="s">
        <v>66</v>
      </c>
      <c r="E389" s="136"/>
      <c r="F389" s="154"/>
      <c r="G389" s="154"/>
      <c r="H389" s="154"/>
      <c r="I389" s="154">
        <v>2.3649999999999999E-3</v>
      </c>
      <c r="J389" s="154"/>
      <c r="K389" s="154">
        <v>3.4499999999999999E-3</v>
      </c>
      <c r="L389" s="154">
        <v>4.6579999999999998E-3</v>
      </c>
      <c r="M389" s="154"/>
      <c r="N389" s="137" cm="1">
        <f t="array" aca="1" ref="N389:AE389" ca="1">IF(OR(B389="",NOT($J$2)),"",GetStripDefaultProbability(A389,B389,Parameter_Date,CDSRollDate,E389:M389,SpreadCurveMaturities,D389,C389,$J$4,$J$6))</f>
        <v>0</v>
      </c>
      <c r="O389" s="155">
        <f ca="1"/>
        <v>0</v>
      </c>
      <c r="P389" s="155">
        <f ca="1"/>
        <v>0</v>
      </c>
      <c r="Q389" s="155">
        <f ca="1"/>
        <v>0</v>
      </c>
      <c r="R389" s="155">
        <f ca="1"/>
        <v>1.2080769039398143E-2</v>
      </c>
      <c r="S389" s="155">
        <f ca="1"/>
        <v>0</v>
      </c>
      <c r="T389" s="155">
        <f ca="1"/>
        <v>2.9377150713358557E-2</v>
      </c>
      <c r="U389" s="155">
        <f ca="1"/>
        <v>5.5469375332185655E-2</v>
      </c>
      <c r="V389" s="138">
        <f ca="1"/>
        <v>0</v>
      </c>
      <c r="W389" s="137">
        <f ca="1"/>
        <v>0</v>
      </c>
      <c r="X389" s="155">
        <f ca="1"/>
        <v>0</v>
      </c>
      <c r="Y389" s="155">
        <f ca="1"/>
        <v>0</v>
      </c>
      <c r="Z389" s="155">
        <f ca="1"/>
        <v>0</v>
      </c>
      <c r="AA389" s="155">
        <f ca="1"/>
        <v>1.2574605185529997E-2</v>
      </c>
      <c r="AB389" s="155">
        <f ca="1"/>
        <v>0</v>
      </c>
      <c r="AC389" s="155">
        <f ca="1"/>
        <v>3.0205034228807381E-2</v>
      </c>
      <c r="AD389" s="155">
        <f ca="1"/>
        <v>5.6597066175464117E-2</v>
      </c>
      <c r="AE389" s="138">
        <f ca="1"/>
        <v>0</v>
      </c>
      <c r="AG389" s="135"/>
      <c r="AH389" s="135">
        <v>5.0749999999999997E-3</v>
      </c>
      <c r="AI389" s="135">
        <v>8.8369999999999994E-3</v>
      </c>
      <c r="AJ389" s="135">
        <v>1.3018E-2</v>
      </c>
      <c r="AK389" s="135"/>
      <c r="AL389" s="135">
        <f t="shared" ca="1" si="8"/>
        <v>3.9613944678567352E-3</v>
      </c>
      <c r="AM389" s="135">
        <f t="shared" ca="1" si="9"/>
        <v>1.0281405135449492E-2</v>
      </c>
      <c r="AN389" s="135">
        <f t="shared" ca="1" si="10"/>
        <v>2.2057816226634532E-2</v>
      </c>
      <c r="AP389" s="515">
        <f t="shared" ca="1" si="11"/>
        <v>1.0436531567853237E-3</v>
      </c>
      <c r="AQ389" s="515">
        <f t="shared" ca="1" si="12"/>
        <v>2.4847650906825837E-3</v>
      </c>
      <c r="AR389" s="515">
        <f t="shared" ca="1" si="13"/>
        <v>5.2495153114120756E-3</v>
      </c>
      <c r="AT389" s="515">
        <f t="shared" ca="1" si="14"/>
        <v>7.4298313454988621E-2</v>
      </c>
      <c r="AU389" s="515">
        <f t="shared" ca="1" si="15"/>
        <v>0.12332979777836367</v>
      </c>
      <c r="AV389" s="515">
        <f t="shared" ca="1" si="16"/>
        <v>0.22309539220589986</v>
      </c>
    </row>
    <row r="390" spans="1:48" ht="10.5" customHeight="1">
      <c r="A390" s="96">
        <v>379</v>
      </c>
      <c r="B390" s="68" t="s">
        <v>538</v>
      </c>
      <c r="C390" s="97">
        <v>0.4</v>
      </c>
      <c r="D390" s="69" t="s">
        <v>66</v>
      </c>
      <c r="E390" s="136"/>
      <c r="F390" s="154"/>
      <c r="G390" s="154"/>
      <c r="H390" s="154"/>
      <c r="I390" s="154">
        <v>2.9680000000000002E-3</v>
      </c>
      <c r="J390" s="154"/>
      <c r="K390" s="154">
        <v>4.8170000000000001E-3</v>
      </c>
      <c r="L390" s="154">
        <v>7.1079999999999997E-3</v>
      </c>
      <c r="M390" s="154"/>
      <c r="N390" s="137" cm="1">
        <f t="array" aca="1" ref="N390:AE390" ca="1">IF(OR(B390="",NOT($J$2)),"",GetStripDefaultProbability(A390,B390,Parameter_Date,CDSRollDate,E390:M390,SpreadCurveMaturities,D390,C390,$J$4,$J$6))</f>
        <v>0</v>
      </c>
      <c r="O390" s="155">
        <f ca="1"/>
        <v>0</v>
      </c>
      <c r="P390" s="155">
        <f ca="1"/>
        <v>0</v>
      </c>
      <c r="Q390" s="155">
        <f ca="1"/>
        <v>0</v>
      </c>
      <c r="R390" s="155">
        <f ca="1"/>
        <v>1.5137979747628538E-2</v>
      </c>
      <c r="S390" s="155">
        <f ca="1"/>
        <v>0</v>
      </c>
      <c r="T390" s="155">
        <f ca="1"/>
        <v>4.0971835780159283E-2</v>
      </c>
      <c r="U390" s="155">
        <f ca="1"/>
        <v>8.432893762334559E-2</v>
      </c>
      <c r="V390" s="138">
        <f ca="1"/>
        <v>0</v>
      </c>
      <c r="W390" s="137">
        <f ca="1"/>
        <v>0</v>
      </c>
      <c r="X390" s="155">
        <f ca="1"/>
        <v>0</v>
      </c>
      <c r="Y390" s="155">
        <f ca="1"/>
        <v>0</v>
      </c>
      <c r="Z390" s="155">
        <f ca="1"/>
        <v>0</v>
      </c>
      <c r="AA390" s="155">
        <f ca="1"/>
        <v>1.5630287670549525E-2</v>
      </c>
      <c r="AB390" s="155">
        <f ca="1"/>
        <v>0</v>
      </c>
      <c r="AC390" s="155">
        <f ca="1"/>
        <v>4.178962272057607E-2</v>
      </c>
      <c r="AD390" s="155">
        <f ca="1"/>
        <v>8.5421883314479197E-2</v>
      </c>
      <c r="AE390" s="138">
        <f ca="1"/>
        <v>0</v>
      </c>
      <c r="AG390" s="135"/>
      <c r="AH390" s="135">
        <v>4.0559999999999997E-3</v>
      </c>
      <c r="AI390" s="135">
        <v>7.1669999999999998E-3</v>
      </c>
      <c r="AJ390" s="135">
        <v>1.0695E-2</v>
      </c>
      <c r="AK390" s="135"/>
      <c r="AL390" s="135">
        <f t="shared" ca="1" si="8"/>
        <v>3.1659932929314124E-3</v>
      </c>
      <c r="AM390" s="135">
        <f t="shared" ca="1" si="9"/>
        <v>8.3384441106446206E-3</v>
      </c>
      <c r="AN390" s="135">
        <f t="shared" ca="1" si="10"/>
        <v>1.8121704143789854E-2</v>
      </c>
      <c r="AP390" s="515">
        <f t="shared" ca="1" si="11"/>
        <v>8.3409994165936413E-4</v>
      </c>
      <c r="AQ390" s="515">
        <f t="shared" ca="1" si="12"/>
        <v>2.015198755790662E-3</v>
      </c>
      <c r="AR390" s="515">
        <f t="shared" ca="1" si="13"/>
        <v>4.3127643459480829E-3</v>
      </c>
      <c r="AT390" s="515">
        <f t="shared" ca="1" si="14"/>
        <v>5.9380090516932771E-2</v>
      </c>
      <c r="AU390" s="515">
        <f t="shared" ca="1" si="15"/>
        <v>0.10002315951991993</v>
      </c>
      <c r="AV390" s="515">
        <f t="shared" ca="1" si="16"/>
        <v>0.18328508370272689</v>
      </c>
    </row>
    <row r="391" spans="1:48" ht="10.5" customHeight="1">
      <c r="A391" s="96">
        <v>380</v>
      </c>
      <c r="B391" s="68" t="s">
        <v>539</v>
      </c>
      <c r="C391" s="97">
        <v>0.4</v>
      </c>
      <c r="D391" s="69" t="s">
        <v>66</v>
      </c>
      <c r="E391" s="136"/>
      <c r="F391" s="154"/>
      <c r="G391" s="154"/>
      <c r="H391" s="154"/>
      <c r="I391" s="154">
        <v>5.1580000000000003E-3</v>
      </c>
      <c r="J391" s="154"/>
      <c r="K391" s="154">
        <v>8.1840000000000003E-3</v>
      </c>
      <c r="L391" s="154">
        <v>1.0449999999999999E-2</v>
      </c>
      <c r="M391" s="154"/>
      <c r="N391" s="137" cm="1">
        <f t="array" aca="1" ref="N391:AE391" ca="1">IF(OR(B391="",NOT($J$2)),"",GetStripDefaultProbability(A391,B391,Parameter_Date,CDSRollDate,E391:M391,SpreadCurveMaturities,D391,C391,$J$4,$J$6))</f>
        <v>0</v>
      </c>
      <c r="O391" s="155">
        <f ca="1"/>
        <v>0</v>
      </c>
      <c r="P391" s="155">
        <f ca="1"/>
        <v>0</v>
      </c>
      <c r="Q391" s="155">
        <f ca="1"/>
        <v>0</v>
      </c>
      <c r="R391" s="155">
        <f ca="1"/>
        <v>2.6163682098149454E-2</v>
      </c>
      <c r="S391" s="155">
        <f ca="1"/>
        <v>0</v>
      </c>
      <c r="T391" s="155">
        <f ca="1"/>
        <v>6.8799198134413375E-2</v>
      </c>
      <c r="U391" s="155">
        <f ca="1"/>
        <v>0.12108471746223726</v>
      </c>
      <c r="V391" s="138">
        <f ca="1"/>
        <v>0</v>
      </c>
      <c r="W391" s="137">
        <f ca="1"/>
        <v>0</v>
      </c>
      <c r="X391" s="155">
        <f ca="1"/>
        <v>0</v>
      </c>
      <c r="Y391" s="155">
        <f ca="1"/>
        <v>0</v>
      </c>
      <c r="Z391" s="155">
        <f ca="1"/>
        <v>0</v>
      </c>
      <c r="AA391" s="155">
        <f ca="1"/>
        <v>2.6650478547831868E-2</v>
      </c>
      <c r="AB391" s="155">
        <f ca="1"/>
        <v>0</v>
      </c>
      <c r="AC391" s="155">
        <f ca="1"/>
        <v>6.9574875558802596E-2</v>
      </c>
      <c r="AD391" s="155">
        <f ca="1"/>
        <v>0.12215026222867953</v>
      </c>
      <c r="AE391" s="138">
        <f ca="1"/>
        <v>0</v>
      </c>
      <c r="AG391" s="135"/>
      <c r="AH391" s="135">
        <v>1.191E-3</v>
      </c>
      <c r="AI391" s="135">
        <v>1.908E-3</v>
      </c>
      <c r="AJ391" s="135">
        <v>2.9069999999999999E-3</v>
      </c>
      <c r="AK391" s="135"/>
      <c r="AL391" s="135">
        <f t="shared" ca="1" si="8"/>
        <v>9.2965927314628011E-4</v>
      </c>
      <c r="AM391" s="135">
        <f t="shared" ca="1" si="9"/>
        <v>2.2198620570824524E-3</v>
      </c>
      <c r="AN391" s="135">
        <f t="shared" ca="1" si="10"/>
        <v>4.9256469327720528E-3</v>
      </c>
      <c r="AP391" s="515">
        <f t="shared" ca="1" si="11"/>
        <v>2.4492431718843756E-4</v>
      </c>
      <c r="AQ391" s="515">
        <f t="shared" ca="1" si="12"/>
        <v>5.3648656705017198E-4</v>
      </c>
      <c r="AR391" s="515">
        <f t="shared" ca="1" si="13"/>
        <v>1.1722492710304888E-3</v>
      </c>
      <c r="AT391" s="515">
        <f t="shared" ca="1" si="14"/>
        <v>1.7436313561554964E-2</v>
      </c>
      <c r="AU391" s="515">
        <f t="shared" ca="1" si="15"/>
        <v>2.6628183112042309E-2</v>
      </c>
      <c r="AV391" s="515">
        <f t="shared" ca="1" si="16"/>
        <v>4.9818582358469109E-2</v>
      </c>
    </row>
    <row r="392" spans="1:48" ht="10.5" customHeight="1">
      <c r="A392" s="96">
        <v>381</v>
      </c>
      <c r="B392" s="68" t="s">
        <v>540</v>
      </c>
      <c r="C392" s="97">
        <v>0.4</v>
      </c>
      <c r="D392" s="69" t="s">
        <v>66</v>
      </c>
      <c r="E392" s="136"/>
      <c r="F392" s="154"/>
      <c r="G392" s="154"/>
      <c r="H392" s="154"/>
      <c r="I392" s="154">
        <v>5.8869999999999999E-3</v>
      </c>
      <c r="J392" s="154"/>
      <c r="K392" s="154">
        <v>1.0245000000000001E-2</v>
      </c>
      <c r="L392" s="154">
        <v>1.4839E-2</v>
      </c>
      <c r="M392" s="154"/>
      <c r="N392" s="137" cm="1">
        <f t="array" aca="1" ref="N392:AE392" ca="1">IF(OR(B392="",NOT($J$2)),"",GetStripDefaultProbability(A392,B392,Parameter_Date,CDSRollDate,E392:M392,SpreadCurveMaturities,D392,C392,$J$4,$J$6))</f>
        <v>0</v>
      </c>
      <c r="O392" s="155">
        <f ca="1"/>
        <v>0</v>
      </c>
      <c r="P392" s="155">
        <f ca="1"/>
        <v>0</v>
      </c>
      <c r="Q392" s="155">
        <f ca="1"/>
        <v>0</v>
      </c>
      <c r="R392" s="155">
        <f ca="1"/>
        <v>2.9807122509994621E-2</v>
      </c>
      <c r="S392" s="155">
        <f ca="1"/>
        <v>0</v>
      </c>
      <c r="T392" s="155">
        <f ca="1"/>
        <v>8.5837964621005569E-2</v>
      </c>
      <c r="U392" s="155">
        <f ca="1"/>
        <v>0.17062189018609852</v>
      </c>
      <c r="V392" s="138">
        <f ca="1"/>
        <v>0</v>
      </c>
      <c r="W392" s="137">
        <f ca="1"/>
        <v>0</v>
      </c>
      <c r="X392" s="155">
        <f ca="1"/>
        <v>0</v>
      </c>
      <c r="Y392" s="155">
        <f ca="1"/>
        <v>0</v>
      </c>
      <c r="Z392" s="155">
        <f ca="1"/>
        <v>0</v>
      </c>
      <c r="AA392" s="155">
        <f ca="1"/>
        <v>3.0292097694834541E-2</v>
      </c>
      <c r="AB392" s="155">
        <f ca="1"/>
        <v>0</v>
      </c>
      <c r="AC392" s="155">
        <f ca="1"/>
        <v>8.6626954543353896E-2</v>
      </c>
      <c r="AD392" s="155">
        <f ca="1"/>
        <v>0.17164162574315633</v>
      </c>
      <c r="AE392" s="138">
        <f ca="1"/>
        <v>0</v>
      </c>
      <c r="AG392" s="135"/>
      <c r="AH392" s="135">
        <v>1.2049999999999999E-3</v>
      </c>
      <c r="AI392" s="135">
        <v>1.9740000000000001E-3</v>
      </c>
      <c r="AJ392" s="135">
        <v>3.055E-3</v>
      </c>
      <c r="AK392" s="135"/>
      <c r="AL392" s="135">
        <f t="shared" ca="1" si="8"/>
        <v>9.4058725788519518E-4</v>
      </c>
      <c r="AM392" s="135">
        <f t="shared" ca="1" si="9"/>
        <v>2.2966497383022861E-3</v>
      </c>
      <c r="AN392" s="135">
        <f t="shared" ca="1" si="10"/>
        <v>5.1764194632331001E-3</v>
      </c>
      <c r="AP392" s="515">
        <f t="shared" ca="1" si="11"/>
        <v>2.478033603795695E-4</v>
      </c>
      <c r="AQ392" s="515">
        <f t="shared" ca="1" si="12"/>
        <v>5.5504427848901449E-4</v>
      </c>
      <c r="AR392" s="515">
        <f t="shared" ca="1" si="13"/>
        <v>1.2319303484685734E-3</v>
      </c>
      <c r="AT392" s="515">
        <f t="shared" ca="1" si="14"/>
        <v>1.7641274426258381E-2</v>
      </c>
      <c r="AU392" s="515">
        <f t="shared" ca="1" si="15"/>
        <v>2.7549283785729309E-2</v>
      </c>
      <c r="AV392" s="515">
        <f t="shared" ca="1" si="16"/>
        <v>5.2354925732756491E-2</v>
      </c>
    </row>
    <row r="393" spans="1:48" ht="10.5" customHeight="1">
      <c r="A393" s="96">
        <v>382</v>
      </c>
      <c r="B393" s="68" t="s">
        <v>525</v>
      </c>
      <c r="C393" s="97">
        <v>0.4</v>
      </c>
      <c r="D393" s="69" t="s">
        <v>66</v>
      </c>
      <c r="E393" s="136"/>
      <c r="F393" s="154"/>
      <c r="G393" s="154"/>
      <c r="H393" s="154"/>
      <c r="I393" s="154">
        <v>4.9649999999999998E-3</v>
      </c>
      <c r="J393" s="154"/>
      <c r="K393" s="154">
        <v>8.1279999999999998E-3</v>
      </c>
      <c r="L393" s="154">
        <v>1.1226999999999999E-2</v>
      </c>
      <c r="M393" s="154"/>
      <c r="N393" s="137" cm="1">
        <f t="array" aca="1" ref="N393:AE393" ca="1">IF(OR(B393="",NOT($J$2)),"",GetStripDefaultProbability(A393,B393,Parameter_Date,CDSRollDate,E393:M393,SpreadCurveMaturities,D393,C393,$J$4,$J$6))</f>
        <v>0</v>
      </c>
      <c r="O393" s="155">
        <f ca="1"/>
        <v>0</v>
      </c>
      <c r="P393" s="155">
        <f ca="1"/>
        <v>0</v>
      </c>
      <c r="Q393" s="155">
        <f ca="1"/>
        <v>0</v>
      </c>
      <c r="R393" s="155">
        <f ca="1"/>
        <v>2.5196868496755509E-2</v>
      </c>
      <c r="S393" s="155">
        <f ca="1"/>
        <v>0</v>
      </c>
      <c r="T393" s="155">
        <f ca="1"/>
        <v>6.8420235130132401E-2</v>
      </c>
      <c r="U393" s="155">
        <f ca="1"/>
        <v>0.130436538275569</v>
      </c>
      <c r="V393" s="138">
        <f ca="1"/>
        <v>0</v>
      </c>
      <c r="W393" s="137">
        <f ca="1"/>
        <v>0</v>
      </c>
      <c r="X393" s="155">
        <f ca="1"/>
        <v>0</v>
      </c>
      <c r="Y393" s="155">
        <f ca="1"/>
        <v>0</v>
      </c>
      <c r="Z393" s="155">
        <f ca="1"/>
        <v>0</v>
      </c>
      <c r="AA393" s="155">
        <f ca="1"/>
        <v>2.5684148232464787E-2</v>
      </c>
      <c r="AB393" s="155">
        <f ca="1"/>
        <v>0</v>
      </c>
      <c r="AC393" s="155">
        <f ca="1"/>
        <v>6.9196228225461787E-2</v>
      </c>
      <c r="AD393" s="155">
        <f ca="1"/>
        <v>0.13149582513521774</v>
      </c>
      <c r="AE393" s="138">
        <f ca="1"/>
        <v>0</v>
      </c>
      <c r="AG393" s="135"/>
      <c r="AH393" s="135">
        <v>1.1557E-2</v>
      </c>
      <c r="AI393" s="135">
        <v>1.7305000000000001E-2</v>
      </c>
      <c r="AJ393" s="135">
        <v>2.0903000000000001E-2</v>
      </c>
      <c r="AK393" s="135"/>
      <c r="AL393" s="135">
        <f t="shared" ca="1" si="8"/>
        <v>9.0210514019744403E-3</v>
      </c>
      <c r="AM393" s="135">
        <f t="shared" ca="1" si="9"/>
        <v>2.0133497325897191E-2</v>
      </c>
      <c r="AN393" s="135">
        <f t="shared" ca="1" si="10"/>
        <v>3.5418231109643698E-2</v>
      </c>
      <c r="AP393" s="515">
        <f t="shared" ca="1" si="11"/>
        <v>2.3766501542794062E-3</v>
      </c>
      <c r="AQ393" s="515">
        <f t="shared" ca="1" si="12"/>
        <v>4.8657757037752769E-3</v>
      </c>
      <c r="AR393" s="515">
        <f t="shared" ca="1" si="13"/>
        <v>8.4291456870830093E-3</v>
      </c>
      <c r="AT393" s="515">
        <f t="shared" ca="1" si="14"/>
        <v>0.16919519381267062</v>
      </c>
      <c r="AU393" s="515">
        <f t="shared" ca="1" si="15"/>
        <v>0.24150980542656825</v>
      </c>
      <c r="AV393" s="515">
        <f t="shared" ca="1" si="16"/>
        <v>0.35822422670762982</v>
      </c>
    </row>
    <row r="394" spans="1:48" ht="10.5" customHeight="1">
      <c r="A394" s="96">
        <v>383</v>
      </c>
      <c r="B394" s="68" t="s">
        <v>526</v>
      </c>
      <c r="C394" s="97">
        <v>0.4</v>
      </c>
      <c r="D394" s="69" t="s">
        <v>66</v>
      </c>
      <c r="E394" s="136"/>
      <c r="F394" s="154"/>
      <c r="G394" s="154"/>
      <c r="H394" s="154"/>
      <c r="I394" s="154">
        <v>6.7450000000000001E-3</v>
      </c>
      <c r="J394" s="154"/>
      <c r="K394" s="154">
        <v>1.1979999999999999E-2</v>
      </c>
      <c r="L394" s="154">
        <v>1.6924999999999999E-2</v>
      </c>
      <c r="M394" s="154"/>
      <c r="N394" s="137" cm="1">
        <f t="array" aca="1" ref="N394:AE394" ca="1">IF(OR(B394="",NOT($J$2)),"",GetStripDefaultProbability(A394,B394,Parameter_Date,CDSRollDate,E394:M394,SpreadCurveMaturities,D394,C394,$J$4,$J$6))</f>
        <v>0</v>
      </c>
      <c r="O394" s="155">
        <f ca="1"/>
        <v>0</v>
      </c>
      <c r="P394" s="155">
        <f ca="1"/>
        <v>0</v>
      </c>
      <c r="Q394" s="155">
        <f ca="1"/>
        <v>0</v>
      </c>
      <c r="R394" s="155">
        <f ca="1"/>
        <v>3.407832533922428E-2</v>
      </c>
      <c r="S394" s="155">
        <f ca="1"/>
        <v>0</v>
      </c>
      <c r="T394" s="155">
        <f ca="1"/>
        <v>9.9908510381860882E-2</v>
      </c>
      <c r="U394" s="155">
        <f ca="1"/>
        <v>0.1927001536261187</v>
      </c>
      <c r="V394" s="138">
        <f ca="1"/>
        <v>0</v>
      </c>
      <c r="W394" s="137">
        <f ca="1"/>
        <v>0</v>
      </c>
      <c r="X394" s="155">
        <f ca="1"/>
        <v>0</v>
      </c>
      <c r="Y394" s="155">
        <f ca="1"/>
        <v>0</v>
      </c>
      <c r="Z394" s="155">
        <f ca="1"/>
        <v>0</v>
      </c>
      <c r="AA394" s="155">
        <f ca="1"/>
        <v>3.456116545641208E-2</v>
      </c>
      <c r="AB394" s="155">
        <f ca="1"/>
        <v>0</v>
      </c>
      <c r="AC394" s="155">
        <f ca="1"/>
        <v>0.1006875343268071</v>
      </c>
      <c r="AD394" s="155">
        <f ca="1"/>
        <v>0.19369715262648801</v>
      </c>
      <c r="AE394" s="138">
        <f ca="1"/>
        <v>0</v>
      </c>
      <c r="AG394" s="135"/>
      <c r="AH394" s="135">
        <v>3.4970000000000001E-3</v>
      </c>
      <c r="AI394" s="135">
        <v>6.7010000000000004E-3</v>
      </c>
      <c r="AJ394" s="135">
        <v>1.042E-2</v>
      </c>
      <c r="AK394" s="135"/>
      <c r="AL394" s="135">
        <f t="shared" ca="1" si="8"/>
        <v>2.729654473713301E-3</v>
      </c>
      <c r="AM394" s="135">
        <f t="shared" ca="1" si="9"/>
        <v>7.7962765432439806E-3</v>
      </c>
      <c r="AN394" s="135">
        <f t="shared" ca="1" si="10"/>
        <v>1.7655741671649395E-2</v>
      </c>
      <c r="AP394" s="515">
        <f t="shared" ca="1" si="11"/>
        <v>7.1914385995631091E-4</v>
      </c>
      <c r="AQ394" s="515">
        <f t="shared" ca="1" si="12"/>
        <v>1.8841700659345928E-3</v>
      </c>
      <c r="AR394" s="515">
        <f t="shared" ca="1" si="13"/>
        <v>4.2018704520597498E-3</v>
      </c>
      <c r="AT394" s="515">
        <f t="shared" ca="1" si="14"/>
        <v>5.1196295990560636E-2</v>
      </c>
      <c r="AU394" s="515">
        <f t="shared" ca="1" si="15"/>
        <v>9.3519630520857197E-2</v>
      </c>
      <c r="AV394" s="515">
        <f t="shared" ca="1" si="16"/>
        <v>0.17857228351401724</v>
      </c>
    </row>
    <row r="395" spans="1:48" ht="10.5" customHeight="1">
      <c r="A395" s="96">
        <v>384</v>
      </c>
      <c r="B395" s="68" t="s">
        <v>527</v>
      </c>
      <c r="C395" s="97">
        <v>0.4</v>
      </c>
      <c r="D395" s="69" t="s">
        <v>66</v>
      </c>
      <c r="E395" s="136"/>
      <c r="F395" s="154"/>
      <c r="G395" s="154"/>
      <c r="H395" s="154"/>
      <c r="I395" s="154">
        <v>1.9369999999999999E-3</v>
      </c>
      <c r="J395" s="154"/>
      <c r="K395" s="154">
        <v>3.101E-3</v>
      </c>
      <c r="L395" s="154">
        <v>4.6010000000000001E-3</v>
      </c>
      <c r="M395" s="154"/>
      <c r="N395" s="137" cm="1">
        <f t="array" aca="1" ref="N395:AE395" ca="1">IF(OR(B395="",NOT($J$2)),"",GetStripDefaultProbability(A395,B395,Parameter_Date,CDSRollDate,E395:M395,SpreadCurveMaturities,D395,C395,$J$4,$J$6))</f>
        <v>0</v>
      </c>
      <c r="O395" s="155">
        <f ca="1"/>
        <v>0</v>
      </c>
      <c r="P395" s="155">
        <f ca="1"/>
        <v>0</v>
      </c>
      <c r="Q395" s="155">
        <f ca="1"/>
        <v>0</v>
      </c>
      <c r="R395" s="155">
        <f ca="1"/>
        <v>9.9051648238099865E-3</v>
      </c>
      <c r="S395" s="155">
        <f ca="1"/>
        <v>0</v>
      </c>
      <c r="T395" s="155">
        <f ca="1"/>
        <v>2.6512636516492494E-2</v>
      </c>
      <c r="U395" s="155">
        <f ca="1"/>
        <v>5.5145902854869755E-2</v>
      </c>
      <c r="V395" s="138">
        <f ca="1"/>
        <v>0</v>
      </c>
      <c r="W395" s="137">
        <f ca="1"/>
        <v>0</v>
      </c>
      <c r="X395" s="155">
        <f ca="1"/>
        <v>0</v>
      </c>
      <c r="Y395" s="155">
        <f ca="1"/>
        <v>0</v>
      </c>
      <c r="Z395" s="155">
        <f ca="1"/>
        <v>0</v>
      </c>
      <c r="AA395" s="155">
        <f ca="1"/>
        <v>1.0400088500183591E-2</v>
      </c>
      <c r="AB395" s="155">
        <f ca="1"/>
        <v>0</v>
      </c>
      <c r="AC395" s="155">
        <f ca="1"/>
        <v>2.7343268864298054E-2</v>
      </c>
      <c r="AD395" s="155">
        <f ca="1"/>
        <v>5.6274999736846909E-2</v>
      </c>
      <c r="AE395" s="138">
        <f ca="1"/>
        <v>0</v>
      </c>
      <c r="AG395" s="135"/>
      <c r="AH395" s="135">
        <v>2.7599999999999999E-3</v>
      </c>
      <c r="AI395" s="135">
        <v>4.8069999999999996E-3</v>
      </c>
      <c r="AJ395" s="135">
        <v>6.9220000000000002E-3</v>
      </c>
      <c r="AK395" s="135"/>
      <c r="AL395" s="135">
        <f t="shared" ca="1" si="8"/>
        <v>2.1543741342432685E-3</v>
      </c>
      <c r="AM395" s="135">
        <f t="shared" ca="1" si="9"/>
        <v>5.5927027821778552E-3</v>
      </c>
      <c r="AN395" s="135">
        <f t="shared" ca="1" si="10"/>
        <v>1.1728699026022756E-2</v>
      </c>
      <c r="AP395" s="515">
        <f t="shared" ca="1" si="11"/>
        <v>5.6758280053743719E-4</v>
      </c>
      <c r="AQ395" s="515">
        <f t="shared" ca="1" si="12"/>
        <v>1.3516199831290234E-3</v>
      </c>
      <c r="AR395" s="515">
        <f t="shared" ca="1" si="13"/>
        <v>2.7913001218001525E-3</v>
      </c>
      <c r="AT395" s="515">
        <f t="shared" ca="1" si="14"/>
        <v>4.0406570470102182E-2</v>
      </c>
      <c r="AU395" s="515">
        <f t="shared" ca="1" si="15"/>
        <v>6.7086832400203023E-2</v>
      </c>
      <c r="AV395" s="515">
        <f t="shared" ca="1" si="16"/>
        <v>0.11862546511363027</v>
      </c>
    </row>
    <row r="396" spans="1:48" ht="10.5" customHeight="1">
      <c r="A396" s="96">
        <v>385</v>
      </c>
      <c r="B396" s="68" t="s">
        <v>541</v>
      </c>
      <c r="C396" s="97">
        <v>0.4</v>
      </c>
      <c r="D396" s="69" t="s">
        <v>66</v>
      </c>
      <c r="E396" s="136"/>
      <c r="F396" s="154"/>
      <c r="G396" s="154"/>
      <c r="H396" s="154"/>
      <c r="I396" s="154">
        <v>4.7990000000000003E-3</v>
      </c>
      <c r="J396" s="154"/>
      <c r="K396" s="154">
        <v>8.7480000000000006E-3</v>
      </c>
      <c r="L396" s="154">
        <v>1.2120000000000001E-2</v>
      </c>
      <c r="M396" s="154"/>
      <c r="N396" s="137" cm="1">
        <f t="array" aca="1" ref="N396:AE396" ca="1">IF(OR(B396="",NOT($J$2)),"",GetStripDefaultProbability(A396,B396,Parameter_Date,CDSRollDate,E396:M396,SpreadCurveMaturities,D396,C396,$J$4,$J$6))</f>
        <v>0</v>
      </c>
      <c r="O396" s="155">
        <f ca="1"/>
        <v>0</v>
      </c>
      <c r="P396" s="155">
        <f ca="1"/>
        <v>0</v>
      </c>
      <c r="Q396" s="155">
        <f ca="1"/>
        <v>0</v>
      </c>
      <c r="R396" s="155">
        <f ca="1"/>
        <v>2.4364560927538359E-2</v>
      </c>
      <c r="S396" s="155">
        <f ca="1"/>
        <v>0</v>
      </c>
      <c r="T396" s="155">
        <f ca="1"/>
        <v>7.3773999892468134E-2</v>
      </c>
      <c r="U396" s="155">
        <f ca="1"/>
        <v>0.14061977458737485</v>
      </c>
      <c r="V396" s="138">
        <f ca="1"/>
        <v>0</v>
      </c>
      <c r="W396" s="137">
        <f ca="1"/>
        <v>0</v>
      </c>
      <c r="X396" s="155">
        <f ca="1"/>
        <v>0</v>
      </c>
      <c r="Y396" s="155">
        <f ca="1"/>
        <v>0</v>
      </c>
      <c r="Z396" s="155">
        <f ca="1"/>
        <v>0</v>
      </c>
      <c r="AA396" s="155">
        <f ca="1"/>
        <v>2.4852256712940113E-2</v>
      </c>
      <c r="AB396" s="155">
        <f ca="1"/>
        <v>0</v>
      </c>
      <c r="AC396" s="155">
        <f ca="1"/>
        <v>7.4545533375624307E-2</v>
      </c>
      <c r="AD396" s="155">
        <f ca="1"/>
        <v>0.14167033996517187</v>
      </c>
      <c r="AE396" s="138">
        <f ca="1"/>
        <v>0</v>
      </c>
      <c r="AG396" s="135"/>
      <c r="AH396" s="135">
        <v>8.0549999999999997E-3</v>
      </c>
      <c r="AI396" s="135">
        <v>1.2508999999999999E-2</v>
      </c>
      <c r="AJ396" s="135">
        <v>1.5117E-2</v>
      </c>
      <c r="AK396" s="135"/>
      <c r="AL396" s="135">
        <f t="shared" ca="1" si="8"/>
        <v>6.28749407656867E-3</v>
      </c>
      <c r="AM396" s="135">
        <f t="shared" ca="1" si="9"/>
        <v>1.4553592490589306E-2</v>
      </c>
      <c r="AN396" s="135">
        <f t="shared" ca="1" si="10"/>
        <v>2.5614380695808438E-2</v>
      </c>
      <c r="AP396" s="515">
        <f t="shared" ca="1" si="11"/>
        <v>1.6564780646119771E-3</v>
      </c>
      <c r="AQ396" s="515">
        <f t="shared" ca="1" si="12"/>
        <v>3.5172486725527263E-3</v>
      </c>
      <c r="AR396" s="515">
        <f t="shared" ca="1" si="13"/>
        <v>6.0959381596724796E-3</v>
      </c>
      <c r="AT396" s="515">
        <f t="shared" ca="1" si="14"/>
        <v>0.11792569751328735</v>
      </c>
      <c r="AU396" s="515">
        <f t="shared" ca="1" si="15"/>
        <v>0.17457648980531301</v>
      </c>
      <c r="AV396" s="515">
        <f t="shared" ca="1" si="16"/>
        <v>0.25906691073717836</v>
      </c>
    </row>
    <row r="397" spans="1:48" ht="10.5" customHeight="1">
      <c r="A397" s="96">
        <v>386</v>
      </c>
      <c r="B397" s="68" t="s">
        <v>528</v>
      </c>
      <c r="C397" s="97">
        <v>0.4</v>
      </c>
      <c r="D397" s="69" t="s">
        <v>66</v>
      </c>
      <c r="E397" s="136"/>
      <c r="F397" s="154"/>
      <c r="G397" s="154"/>
      <c r="H397" s="154"/>
      <c r="I397" s="154">
        <v>4.2960000000000003E-3</v>
      </c>
      <c r="J397" s="154"/>
      <c r="K397" s="154">
        <v>6.79E-3</v>
      </c>
      <c r="L397" s="154">
        <v>9.9900000000000006E-3</v>
      </c>
      <c r="M397" s="154"/>
      <c r="N397" s="137" cm="1">
        <f t="array" aca="1" ref="N397:AE397" ca="1">IF(OR(B397="",NOT($J$2)),"",GetStripDefaultProbability(A397,B397,Parameter_Date,CDSRollDate,E397:M397,SpreadCurveMaturities,D397,C397,$J$4,$J$6))</f>
        <v>0</v>
      </c>
      <c r="O397" s="155">
        <f ca="1"/>
        <v>0</v>
      </c>
      <c r="P397" s="155">
        <f ca="1"/>
        <v>0</v>
      </c>
      <c r="Q397" s="155">
        <f ca="1"/>
        <v>0</v>
      </c>
      <c r="R397" s="155">
        <f ca="1"/>
        <v>2.183833767111687E-2</v>
      </c>
      <c r="S397" s="155">
        <f ca="1"/>
        <v>0</v>
      </c>
      <c r="T397" s="155">
        <f ca="1"/>
        <v>5.733276506716245E-2</v>
      </c>
      <c r="U397" s="155">
        <f ca="1"/>
        <v>0.11704309436375593</v>
      </c>
      <c r="V397" s="138">
        <f ca="1"/>
        <v>0</v>
      </c>
      <c r="W397" s="137">
        <f ca="1"/>
        <v>0</v>
      </c>
      <c r="X397" s="155">
        <f ca="1"/>
        <v>0</v>
      </c>
      <c r="Y397" s="155">
        <f ca="1"/>
        <v>0</v>
      </c>
      <c r="Z397" s="155">
        <f ca="1"/>
        <v>0</v>
      </c>
      <c r="AA397" s="155">
        <f ca="1"/>
        <v>2.2327296252482864E-2</v>
      </c>
      <c r="AB397" s="155">
        <f ca="1"/>
        <v>0</v>
      </c>
      <c r="AC397" s="155">
        <f ca="1"/>
        <v>5.8117993872134788E-2</v>
      </c>
      <c r="AD397" s="155">
        <f ca="1"/>
        <v>0.11811722498166222</v>
      </c>
      <c r="AE397" s="138">
        <f ca="1"/>
        <v>0</v>
      </c>
      <c r="AG397" s="135"/>
      <c r="AH397" s="135">
        <v>3.4320000000000002E-3</v>
      </c>
      <c r="AI397" s="135">
        <v>5.6519999999999999E-3</v>
      </c>
      <c r="AJ397" s="135">
        <v>8.0560000000000007E-3</v>
      </c>
      <c r="AK397" s="135"/>
      <c r="AL397" s="135">
        <f t="shared" ca="1" si="8"/>
        <v>2.6789174017111954E-3</v>
      </c>
      <c r="AM397" s="135">
        <f t="shared" ca="1" si="9"/>
        <v>6.5758177917348117E-3</v>
      </c>
      <c r="AN397" s="135">
        <f t="shared" ca="1" si="10"/>
        <v>1.3650158820231051E-2</v>
      </c>
      <c r="AP397" s="515">
        <f t="shared" ca="1" si="11"/>
        <v>7.0577687371176979E-4</v>
      </c>
      <c r="AQ397" s="515">
        <f t="shared" ca="1" si="12"/>
        <v>1.5892149250354153E-3</v>
      </c>
      <c r="AR397" s="515">
        <f t="shared" ca="1" si="13"/>
        <v>3.2485862151433158E-3</v>
      </c>
      <c r="AT397" s="515">
        <f t="shared" ca="1" si="14"/>
        <v>5.0244691975866201E-2</v>
      </c>
      <c r="AU397" s="515">
        <f t="shared" ca="1" si="15"/>
        <v>7.8879712237559296E-2</v>
      </c>
      <c r="AV397" s="515">
        <f t="shared" ca="1" si="16"/>
        <v>0.13805933934634579</v>
      </c>
    </row>
    <row r="398" spans="1:48" ht="10.5" customHeight="1">
      <c r="A398" s="96">
        <v>387</v>
      </c>
      <c r="B398" s="68" t="s">
        <v>542</v>
      </c>
      <c r="C398" s="97">
        <v>0.4</v>
      </c>
      <c r="D398" s="69" t="s">
        <v>66</v>
      </c>
      <c r="E398" s="136"/>
      <c r="F398" s="154"/>
      <c r="G398" s="154"/>
      <c r="H398" s="154"/>
      <c r="I398" s="154">
        <v>1.0371E-2</v>
      </c>
      <c r="J398" s="154"/>
      <c r="K398" s="154">
        <v>1.6621E-2</v>
      </c>
      <c r="L398" s="154">
        <v>1.9375E-2</v>
      </c>
      <c r="M398" s="154"/>
      <c r="N398" s="137" cm="1">
        <f t="array" aca="1" ref="N398:AE398" ca="1">IF(OR(B398="",NOT($J$2)),"",GetStripDefaultProbability(A398,B398,Parameter_Date,CDSRollDate,E398:M398,SpreadCurveMaturities,D398,C398,$J$4,$J$6))</f>
        <v>0</v>
      </c>
      <c r="O398" s="155">
        <f ca="1"/>
        <v>0</v>
      </c>
      <c r="P398" s="155">
        <f ca="1"/>
        <v>0</v>
      </c>
      <c r="Q398" s="155">
        <f ca="1"/>
        <v>0</v>
      </c>
      <c r="R398" s="155">
        <f ca="1"/>
        <v>5.1898089222415233E-2</v>
      </c>
      <c r="S398" s="155">
        <f ca="1"/>
        <v>0</v>
      </c>
      <c r="T398" s="155">
        <f ca="1"/>
        <v>0.1359640594816055</v>
      </c>
      <c r="U398" s="155">
        <f ca="1"/>
        <v>0.21395106477920067</v>
      </c>
      <c r="V398" s="138">
        <f ca="1"/>
        <v>0</v>
      </c>
      <c r="W398" s="137">
        <f ca="1"/>
        <v>0</v>
      </c>
      <c r="X398" s="155">
        <f ca="1"/>
        <v>0</v>
      </c>
      <c r="Y398" s="155">
        <f ca="1"/>
        <v>0</v>
      </c>
      <c r="Z398" s="155">
        <f ca="1"/>
        <v>0</v>
      </c>
      <c r="AA398" s="155">
        <f ca="1"/>
        <v>5.237202168479127E-2</v>
      </c>
      <c r="AB398" s="155">
        <f ca="1"/>
        <v>0</v>
      </c>
      <c r="AC398" s="155">
        <f ca="1"/>
        <v>0.1367146787234147</v>
      </c>
      <c r="AD398" s="155">
        <f ca="1"/>
        <v>0.21491304790746379</v>
      </c>
      <c r="AE398" s="138">
        <f ca="1"/>
        <v>0</v>
      </c>
      <c r="AG398" s="135"/>
      <c r="AH398" s="135">
        <v>2.0699999999999998E-3</v>
      </c>
      <c r="AI398" s="135">
        <v>3.297E-3</v>
      </c>
      <c r="AJ398" s="135">
        <v>4.411E-3</v>
      </c>
      <c r="AK398" s="135"/>
      <c r="AL398" s="135">
        <f t="shared" ca="1" si="8"/>
        <v>1.6157806006824515E-3</v>
      </c>
      <c r="AM398" s="135">
        <f t="shared" ca="1" si="9"/>
        <v>3.835893711845307E-3</v>
      </c>
      <c r="AN398" s="135">
        <f t="shared" ca="1" si="10"/>
        <v>7.4740380531329639E-3</v>
      </c>
      <c r="AP398" s="515">
        <f t="shared" ca="1" si="11"/>
        <v>4.2568710040307784E-4</v>
      </c>
      <c r="AQ398" s="515">
        <f t="shared" ca="1" si="12"/>
        <v>9.2704203960399228E-4</v>
      </c>
      <c r="AR398" s="515">
        <f t="shared" ca="1" si="13"/>
        <v>1.7787380579688634E-3</v>
      </c>
      <c r="AT398" s="515">
        <f t="shared" ca="1" si="14"/>
        <v>3.0304927852576637E-2</v>
      </c>
      <c r="AU398" s="515">
        <f t="shared" ca="1" si="15"/>
        <v>4.6013165471909589E-2</v>
      </c>
      <c r="AV398" s="515">
        <f t="shared" ca="1" si="16"/>
        <v>7.5593315026903071E-2</v>
      </c>
    </row>
    <row r="399" spans="1:48" ht="10.5" customHeight="1">
      <c r="A399" s="96">
        <v>388</v>
      </c>
      <c r="B399" s="68" t="s">
        <v>543</v>
      </c>
      <c r="C399" s="97">
        <v>0.4</v>
      </c>
      <c r="D399" s="69" t="s">
        <v>66</v>
      </c>
      <c r="E399" s="136"/>
      <c r="F399" s="154"/>
      <c r="G399" s="154"/>
      <c r="H399" s="154"/>
      <c r="I399" s="154">
        <v>2.5300000000000001E-3</v>
      </c>
      <c r="J399" s="154"/>
      <c r="K399" s="154">
        <v>3.9699999999999996E-3</v>
      </c>
      <c r="L399" s="154">
        <v>5.692E-3</v>
      </c>
      <c r="M399" s="154"/>
      <c r="N399" s="137" cm="1">
        <f t="array" aca="1" ref="N399:AE399" ca="1">IF(OR(B399="",NOT($J$2)),"",GetStripDefaultProbability(A399,B399,Parameter_Date,CDSRollDate,E399:M399,SpreadCurveMaturities,D399,C399,$J$4,$J$6))</f>
        <v>0</v>
      </c>
      <c r="O399" s="155">
        <f ca="1"/>
        <v>0</v>
      </c>
      <c r="P399" s="155">
        <f ca="1"/>
        <v>0</v>
      </c>
      <c r="Q399" s="155">
        <f ca="1"/>
        <v>0</v>
      </c>
      <c r="R399" s="155">
        <f ca="1"/>
        <v>1.2918242168699079E-2</v>
      </c>
      <c r="S399" s="155">
        <f ca="1"/>
        <v>0</v>
      </c>
      <c r="T399" s="155">
        <f ca="1"/>
        <v>3.3825144627404824E-2</v>
      </c>
      <c r="U399" s="155">
        <f ca="1"/>
        <v>6.7782813024451993E-2</v>
      </c>
      <c r="V399" s="138">
        <f ca="1"/>
        <v>0</v>
      </c>
      <c r="W399" s="137">
        <f ca="1"/>
        <v>0</v>
      </c>
      <c r="X399" s="155">
        <f ca="1"/>
        <v>0</v>
      </c>
      <c r="Y399" s="155">
        <f ca="1"/>
        <v>0</v>
      </c>
      <c r="Z399" s="155">
        <f ca="1"/>
        <v>0</v>
      </c>
      <c r="AA399" s="155">
        <f ca="1"/>
        <v>1.3411659682947885E-2</v>
      </c>
      <c r="AB399" s="155">
        <f ca="1"/>
        <v>0</v>
      </c>
      <c r="AC399" s="155">
        <f ca="1"/>
        <v>3.4649354252162312E-2</v>
      </c>
      <c r="AD399" s="155">
        <f ca="1"/>
        <v>6.8896520583946796E-2</v>
      </c>
      <c r="AE399" s="138">
        <f ca="1"/>
        <v>0</v>
      </c>
      <c r="AG399" s="135"/>
      <c r="AH399" s="135">
        <v>2.3649999999999999E-3</v>
      </c>
      <c r="AI399" s="135">
        <v>3.4499999999999999E-3</v>
      </c>
      <c r="AJ399" s="135">
        <v>4.6579999999999998E-3</v>
      </c>
      <c r="AK399" s="135"/>
      <c r="AL399" s="135">
        <f t="shared" ca="1" si="8"/>
        <v>1.8460488505381632E-3</v>
      </c>
      <c r="AM399" s="135">
        <f t="shared" ca="1" si="9"/>
        <v>4.0139015183094659E-3</v>
      </c>
      <c r="AN399" s="135">
        <f t="shared" ca="1" si="10"/>
        <v>7.892557073564576E-3</v>
      </c>
      <c r="AP399" s="515">
        <f t="shared" ca="1" si="11"/>
        <v>4.8635265335907209E-4</v>
      </c>
      <c r="AQ399" s="515">
        <f t="shared" ca="1" si="12"/>
        <v>9.7006218884858146E-4</v>
      </c>
      <c r="AR399" s="515">
        <f t="shared" ca="1" si="13"/>
        <v>1.878340937206748E-3</v>
      </c>
      <c r="AT399" s="515">
        <f t="shared" ca="1" si="14"/>
        <v>3.4623746073112922E-2</v>
      </c>
      <c r="AU399" s="515">
        <f t="shared" ca="1" si="15"/>
        <v>4.8148444306365813E-2</v>
      </c>
      <c r="AV399" s="515">
        <f t="shared" ca="1" si="16"/>
        <v>7.9826266469125939E-2</v>
      </c>
    </row>
    <row r="400" spans="1:48" ht="10.5" customHeight="1">
      <c r="A400" s="96">
        <v>389</v>
      </c>
      <c r="B400" s="68" t="s">
        <v>544</v>
      </c>
      <c r="C400" s="97">
        <v>0.4</v>
      </c>
      <c r="D400" s="69" t="s">
        <v>66</v>
      </c>
      <c r="E400" s="136"/>
      <c r="F400" s="154"/>
      <c r="G400" s="154"/>
      <c r="H400" s="154"/>
      <c r="I400" s="154">
        <v>3.9449999999999997E-3</v>
      </c>
      <c r="J400" s="154"/>
      <c r="K400" s="154">
        <v>6.7390000000000002E-3</v>
      </c>
      <c r="L400" s="154">
        <v>9.7630000000000008E-3</v>
      </c>
      <c r="M400" s="154"/>
      <c r="N400" s="137" cm="1">
        <f t="array" aca="1" ref="N400:AE400" ca="1">IF(OR(B400="",NOT($J$2)),"",GetStripDefaultProbability(A400,B400,Parameter_Date,CDSRollDate,E400:M400,SpreadCurveMaturities,D400,C400,$J$4,$J$6))</f>
        <v>0</v>
      </c>
      <c r="O400" s="155">
        <f ca="1"/>
        <v>0</v>
      </c>
      <c r="P400" s="155">
        <f ca="1"/>
        <v>0</v>
      </c>
      <c r="Q400" s="155">
        <f ca="1"/>
        <v>0</v>
      </c>
      <c r="R400" s="155">
        <f ca="1"/>
        <v>2.0071727354108337E-2</v>
      </c>
      <c r="S400" s="155">
        <f ca="1"/>
        <v>0</v>
      </c>
      <c r="T400" s="155">
        <f ca="1"/>
        <v>5.7063179796748575E-2</v>
      </c>
      <c r="U400" s="155">
        <f ca="1"/>
        <v>0.11455150046293805</v>
      </c>
      <c r="V400" s="138">
        <f ca="1"/>
        <v>0</v>
      </c>
      <c r="W400" s="137">
        <f ca="1"/>
        <v>0</v>
      </c>
      <c r="X400" s="155">
        <f ca="1"/>
        <v>0</v>
      </c>
      <c r="Y400" s="155">
        <f ca="1"/>
        <v>0</v>
      </c>
      <c r="Z400" s="155">
        <f ca="1"/>
        <v>0</v>
      </c>
      <c r="AA400" s="155">
        <f ca="1"/>
        <v>2.0561569019792558E-2</v>
      </c>
      <c r="AB400" s="155">
        <f ca="1"/>
        <v>0</v>
      </c>
      <c r="AC400" s="155">
        <f ca="1"/>
        <v>5.7848633162592034E-2</v>
      </c>
      <c r="AD400" s="155">
        <f ca="1"/>
        <v>0.11562836557497591</v>
      </c>
      <c r="AE400" s="138">
        <f ca="1"/>
        <v>0</v>
      </c>
      <c r="AG400" s="135"/>
      <c r="AH400" s="135">
        <v>2.9680000000000002E-3</v>
      </c>
      <c r="AI400" s="135">
        <v>4.8170000000000001E-3</v>
      </c>
      <c r="AJ400" s="135">
        <v>7.1079999999999997E-3</v>
      </c>
      <c r="AK400" s="135"/>
      <c r="AL400" s="135">
        <f t="shared" ca="1" si="8"/>
        <v>2.316732764650008E-3</v>
      </c>
      <c r="AM400" s="135">
        <f t="shared" ca="1" si="9"/>
        <v>5.6043372793323767E-3</v>
      </c>
      <c r="AN400" s="135">
        <f t="shared" ca="1" si="10"/>
        <v>1.2043859098088666E-2</v>
      </c>
      <c r="AP400" s="515">
        <f t="shared" ca="1" si="11"/>
        <v>6.1035715651996871E-4</v>
      </c>
      <c r="AQ400" s="515">
        <f t="shared" ca="1" si="12"/>
        <v>1.3544317575894542E-3</v>
      </c>
      <c r="AR400" s="515">
        <f t="shared" ca="1" si="13"/>
        <v>2.8663047191209885E-3</v>
      </c>
      <c r="AT400" s="515">
        <f t="shared" ca="1" si="14"/>
        <v>4.3451703317124384E-2</v>
      </c>
      <c r="AU400" s="515">
        <f t="shared" ca="1" si="15"/>
        <v>6.7226393108337432E-2</v>
      </c>
      <c r="AV400" s="515">
        <f t="shared" ca="1" si="16"/>
        <v>0.12181303178672116</v>
      </c>
    </row>
    <row r="401" spans="1:48" ht="10.5" customHeight="1">
      <c r="A401" s="96">
        <v>390</v>
      </c>
      <c r="B401" s="68" t="s">
        <v>560</v>
      </c>
      <c r="C401" s="97">
        <v>0.4</v>
      </c>
      <c r="D401" s="69" t="s">
        <v>66</v>
      </c>
      <c r="E401" s="136"/>
      <c r="F401" s="154"/>
      <c r="G401" s="154"/>
      <c r="H401" s="154"/>
      <c r="I401" s="154">
        <v>1.738E-3</v>
      </c>
      <c r="J401" s="154"/>
      <c r="K401" s="154">
        <v>2.9610000000000001E-3</v>
      </c>
      <c r="L401" s="154">
        <v>4.1469999999999996E-3</v>
      </c>
      <c r="M401" s="154"/>
      <c r="N401" s="137" cm="1">
        <f t="array" aca="1" ref="N401:AE401" ca="1">IF(OR(B401="",NOT($J$2)),"",GetStripDefaultProbability(A401,B401,Parameter_Date,CDSRollDate,E401:M401,SpreadCurveMaturities,D401,C401,$J$4,$J$6))</f>
        <v>0</v>
      </c>
      <c r="O401" s="155">
        <f ca="1"/>
        <v>0</v>
      </c>
      <c r="P401" s="155">
        <f ca="1"/>
        <v>0</v>
      </c>
      <c r="Q401" s="155">
        <f ca="1"/>
        <v>0</v>
      </c>
      <c r="R401" s="155">
        <f ca="1"/>
        <v>8.892009756304442E-3</v>
      </c>
      <c r="S401" s="155">
        <f ca="1"/>
        <v>0</v>
      </c>
      <c r="T401" s="155">
        <f ca="1"/>
        <v>2.5371701340575203E-2</v>
      </c>
      <c r="U401" s="155">
        <f ca="1"/>
        <v>4.9708754791749965E-2</v>
      </c>
      <c r="V401" s="138">
        <f ca="1"/>
        <v>0</v>
      </c>
      <c r="W401" s="137">
        <f ca="1"/>
        <v>0</v>
      </c>
      <c r="X401" s="155">
        <f ca="1"/>
        <v>0</v>
      </c>
      <c r="Y401" s="155">
        <f ca="1"/>
        <v>0</v>
      </c>
      <c r="Z401" s="155">
        <f ca="1"/>
        <v>0</v>
      </c>
      <c r="AA401" s="155">
        <f ca="1"/>
        <v>9.3874398835936956E-3</v>
      </c>
      <c r="AB401" s="155">
        <f ca="1"/>
        <v>0</v>
      </c>
      <c r="AC401" s="155">
        <f ca="1"/>
        <v>2.6203467705157246E-2</v>
      </c>
      <c r="AD401" s="155">
        <f ca="1"/>
        <v>5.0844068274739307E-2</v>
      </c>
      <c r="AE401" s="138">
        <f ca="1"/>
        <v>0</v>
      </c>
      <c r="AG401" s="135"/>
      <c r="AH401" s="135">
        <v>5.1580000000000003E-3</v>
      </c>
      <c r="AI401" s="135">
        <v>8.1840000000000003E-3</v>
      </c>
      <c r="AJ401" s="135">
        <v>1.0449999999999999E-2</v>
      </c>
      <c r="AK401" s="135"/>
      <c r="AL401" s="135">
        <f t="shared" ca="1" si="8"/>
        <v>4.0261818059517326E-3</v>
      </c>
      <c r="AM401" s="135">
        <f t="shared" ca="1" si="9"/>
        <v>9.5216724712593251E-3</v>
      </c>
      <c r="AN401" s="135">
        <f t="shared" ca="1" si="10"/>
        <v>1.7706573941337445E-2</v>
      </c>
      <c r="AP401" s="515">
        <f t="shared" ca="1" si="11"/>
        <v>1.0607217699898917E-3</v>
      </c>
      <c r="AQ401" s="515">
        <f t="shared" ca="1" si="12"/>
        <v>2.3011562184164611E-3</v>
      </c>
      <c r="AR401" s="515">
        <f t="shared" ca="1" si="13"/>
        <v>4.2139679677566586E-3</v>
      </c>
      <c r="AT401" s="515">
        <f t="shared" ca="1" si="14"/>
        <v>7.5513438581444589E-2</v>
      </c>
      <c r="AU401" s="515">
        <f t="shared" ca="1" si="15"/>
        <v>0.11421648353718777</v>
      </c>
      <c r="AV401" s="515">
        <f t="shared" ca="1" si="16"/>
        <v>0.17908640717096738</v>
      </c>
    </row>
    <row r="402" spans="1:48" ht="10.5" customHeight="1">
      <c r="A402" s="96">
        <v>391</v>
      </c>
      <c r="B402" s="68" t="s">
        <v>545</v>
      </c>
      <c r="C402" s="97">
        <v>0.4</v>
      </c>
      <c r="D402" s="69" t="s">
        <v>66</v>
      </c>
      <c r="E402" s="136"/>
      <c r="F402" s="154"/>
      <c r="G402" s="154"/>
      <c r="H402" s="154"/>
      <c r="I402" s="154">
        <v>2.8939999999999999E-3</v>
      </c>
      <c r="J402" s="154"/>
      <c r="K402" s="154">
        <v>5.0400000000000002E-3</v>
      </c>
      <c r="L402" s="154">
        <v>7.5799999999999999E-3</v>
      </c>
      <c r="M402" s="154"/>
      <c r="N402" s="137" cm="1">
        <f t="array" aca="1" ref="N402:AE402" ca="1">IF(OR(B402="",NOT($J$2)),"",GetStripDefaultProbability(A402,B402,Parameter_Date,CDSRollDate,E402:M402,SpreadCurveMaturities,D402,C402,$J$4,$J$6))</f>
        <v>0</v>
      </c>
      <c r="O402" s="155">
        <f ca="1"/>
        <v>0</v>
      </c>
      <c r="P402" s="155">
        <f ca="1"/>
        <v>0</v>
      </c>
      <c r="Q402" s="155">
        <f ca="1"/>
        <v>0</v>
      </c>
      <c r="R402" s="155">
        <f ca="1"/>
        <v>1.4763299122991125E-2</v>
      </c>
      <c r="S402" s="155">
        <f ca="1"/>
        <v>0</v>
      </c>
      <c r="T402" s="155">
        <f ca="1"/>
        <v>4.293094532203745E-2</v>
      </c>
      <c r="U402" s="155">
        <f ca="1"/>
        <v>8.9950632009150433E-2</v>
      </c>
      <c r="V402" s="138">
        <f ca="1"/>
        <v>0</v>
      </c>
      <c r="W402" s="137">
        <f ca="1"/>
        <v>0</v>
      </c>
      <c r="X402" s="155">
        <f ca="1"/>
        <v>0</v>
      </c>
      <c r="Y402" s="155">
        <f ca="1"/>
        <v>0</v>
      </c>
      <c r="Z402" s="155">
        <f ca="1"/>
        <v>0</v>
      </c>
      <c r="AA402" s="155">
        <f ca="1"/>
        <v>1.5255794339413487E-2</v>
      </c>
      <c r="AB402" s="155">
        <f ca="1"/>
        <v>0</v>
      </c>
      <c r="AC402" s="155">
        <f ca="1"/>
        <v>4.3747046951569946E-2</v>
      </c>
      <c r="AD402" s="155">
        <f ca="1"/>
        <v>9.1036491342825321E-2</v>
      </c>
      <c r="AE402" s="138">
        <f ca="1"/>
        <v>0</v>
      </c>
      <c r="AG402" s="135"/>
      <c r="AH402" s="135">
        <v>5.8869999999999999E-3</v>
      </c>
      <c r="AI402" s="135">
        <v>1.0245000000000001E-2</v>
      </c>
      <c r="AJ402" s="135">
        <v>1.4839E-2</v>
      </c>
      <c r="AK402" s="135"/>
      <c r="AL402" s="135">
        <f t="shared" ca="1" si="8"/>
        <v>4.5952175827138125E-3</v>
      </c>
      <c r="AM402" s="135">
        <f t="shared" ca="1" si="9"/>
        <v>1.1919542334805936E-2</v>
      </c>
      <c r="AN402" s="135">
        <f t="shared" ca="1" si="10"/>
        <v>2.5143334996699171E-2</v>
      </c>
      <c r="AP402" s="515">
        <f t="shared" ca="1" si="11"/>
        <v>1.2106376618709756E-3</v>
      </c>
      <c r="AQ402" s="515">
        <f t="shared" ca="1" si="12"/>
        <v>2.8806629347112225E-3</v>
      </c>
      <c r="AR402" s="515">
        <f t="shared" ca="1" si="13"/>
        <v>5.9838345142144561E-3</v>
      </c>
      <c r="AT402" s="515">
        <f t="shared" ca="1" si="14"/>
        <v>8.6186043607786797E-2</v>
      </c>
      <c r="AU402" s="515">
        <f t="shared" ca="1" si="15"/>
        <v>0.14297994548368631</v>
      </c>
      <c r="AV402" s="515">
        <f t="shared" ca="1" si="16"/>
        <v>0.25430269818277368</v>
      </c>
    </row>
    <row r="403" spans="1:48" ht="10.5" customHeight="1">
      <c r="A403" s="96">
        <v>392</v>
      </c>
      <c r="B403" s="68" t="s">
        <v>546</v>
      </c>
      <c r="C403" s="97">
        <v>0.4</v>
      </c>
      <c r="D403" s="69" t="s">
        <v>66</v>
      </c>
      <c r="E403" s="136"/>
      <c r="F403" s="154"/>
      <c r="G403" s="154"/>
      <c r="H403" s="154"/>
      <c r="I403" s="154">
        <v>1.31E-3</v>
      </c>
      <c r="J403" s="154"/>
      <c r="K403" s="154">
        <v>2.2300000000000002E-3</v>
      </c>
      <c r="L403" s="154">
        <v>3.3579999999999999E-3</v>
      </c>
      <c r="M403" s="154"/>
      <c r="N403" s="137" cm="1">
        <f t="array" aca="1" ref="N403:AE403" ca="1">IF(OR(B403="",NOT($J$2)),"",GetStripDefaultProbability(A403,B403,Parameter_Date,CDSRollDate,E403:M403,SpreadCurveMaturities,D403,C403,$J$4,$J$6))</f>
        <v>0</v>
      </c>
      <c r="O403" s="155">
        <f ca="1"/>
        <v>0</v>
      </c>
      <c r="P403" s="155">
        <f ca="1"/>
        <v>0</v>
      </c>
      <c r="Q403" s="155">
        <f ca="1"/>
        <v>0</v>
      </c>
      <c r="R403" s="155">
        <f ca="1"/>
        <v>6.7095106347911937E-3</v>
      </c>
      <c r="S403" s="155">
        <f ca="1"/>
        <v>0</v>
      </c>
      <c r="T403" s="155">
        <f ca="1"/>
        <v>1.915197593914697E-2</v>
      </c>
      <c r="U403" s="155">
        <f ca="1"/>
        <v>4.051050435032455E-2</v>
      </c>
      <c r="V403" s="138">
        <f ca="1"/>
        <v>0</v>
      </c>
      <c r="W403" s="137">
        <f ca="1"/>
        <v>0</v>
      </c>
      <c r="X403" s="155">
        <f ca="1"/>
        <v>0</v>
      </c>
      <c r="Y403" s="155">
        <f ca="1"/>
        <v>0</v>
      </c>
      <c r="Z403" s="155">
        <f ca="1"/>
        <v>0</v>
      </c>
      <c r="AA403" s="155">
        <f ca="1"/>
        <v>7.2060317388451534E-3</v>
      </c>
      <c r="AB403" s="155">
        <f ca="1"/>
        <v>0</v>
      </c>
      <c r="AC403" s="155">
        <f ca="1"/>
        <v>1.9988876651379051E-2</v>
      </c>
      <c r="AD403" s="155">
        <f ca="1"/>
        <v>4.16565410603289E-2</v>
      </c>
      <c r="AE403" s="138">
        <f ca="1"/>
        <v>0</v>
      </c>
      <c r="AG403" s="135"/>
      <c r="AH403" s="135">
        <v>4.9649999999999998E-3</v>
      </c>
      <c r="AI403" s="135">
        <v>8.1279999999999998E-3</v>
      </c>
      <c r="AJ403" s="135">
        <v>1.1226999999999999E-2</v>
      </c>
      <c r="AK403" s="135"/>
      <c r="AL403" s="135">
        <f t="shared" ca="1" si="8"/>
        <v>3.8755317306224018E-3</v>
      </c>
      <c r="AM403" s="135">
        <f t="shared" ca="1" si="9"/>
        <v>9.4565192871940117E-3</v>
      </c>
      <c r="AN403" s="135">
        <f t="shared" ca="1" si="10"/>
        <v>1.9023129726257942E-2</v>
      </c>
      <c r="AP403" s="515">
        <f t="shared" ca="1" si="11"/>
        <v>1.0210321031407159E-3</v>
      </c>
      <c r="AQ403" s="515">
        <f t="shared" ca="1" si="12"/>
        <v>2.2854102814380494E-3</v>
      </c>
      <c r="AR403" s="515">
        <f t="shared" ca="1" si="13"/>
        <v>4.5272936243066038E-3</v>
      </c>
      <c r="AT403" s="515">
        <f t="shared" ca="1" si="14"/>
        <v>7.2687906660890339E-2</v>
      </c>
      <c r="AU403" s="515">
        <f t="shared" ca="1" si="15"/>
        <v>0.11343494357163517</v>
      </c>
      <c r="AV403" s="515">
        <f t="shared" ca="1" si="16"/>
        <v>0.19240220988597614</v>
      </c>
    </row>
    <row r="404" spans="1:48" ht="10.5" customHeight="1">
      <c r="A404" s="96">
        <v>393</v>
      </c>
      <c r="B404" s="68" t="s">
        <v>561</v>
      </c>
      <c r="C404" s="97">
        <v>0.4</v>
      </c>
      <c r="D404" s="69" t="s">
        <v>66</v>
      </c>
      <c r="E404" s="136"/>
      <c r="F404" s="154"/>
      <c r="G404" s="154"/>
      <c r="H404" s="154"/>
      <c r="I404" s="154">
        <v>2.1749999999999999E-3</v>
      </c>
      <c r="J404" s="154"/>
      <c r="K404" s="154">
        <v>3.539E-3</v>
      </c>
      <c r="L404" s="154">
        <v>4.816E-3</v>
      </c>
      <c r="M404" s="154"/>
      <c r="N404" s="137" cm="1">
        <f t="array" aca="1" ref="N404:AE404" ca="1">IF(OR(B404="",NOT($J$2)),"",GetStripDefaultProbability(A404,B404,Parameter_Date,CDSRollDate,E404:M404,SpreadCurveMaturities,D404,C404,$J$4,$J$6))</f>
        <v>0</v>
      </c>
      <c r="O404" s="155">
        <f ca="1"/>
        <v>0</v>
      </c>
      <c r="P404" s="155">
        <f ca="1"/>
        <v>0</v>
      </c>
      <c r="Q404" s="155">
        <f ca="1"/>
        <v>0</v>
      </c>
      <c r="R404" s="155">
        <f ca="1"/>
        <v>1.1115542938970213E-2</v>
      </c>
      <c r="S404" s="155">
        <f ca="1"/>
        <v>0</v>
      </c>
      <c r="T404" s="155">
        <f ca="1"/>
        <v>3.0228765962943993E-2</v>
      </c>
      <c r="U404" s="155">
        <f ca="1"/>
        <v>5.7443628108057587E-2</v>
      </c>
      <c r="V404" s="138">
        <f ca="1"/>
        <v>0</v>
      </c>
      <c r="W404" s="137">
        <f ca="1"/>
        <v>0</v>
      </c>
      <c r="X404" s="155">
        <f ca="1"/>
        <v>0</v>
      </c>
      <c r="Y404" s="155">
        <f ca="1"/>
        <v>0</v>
      </c>
      <c r="Z404" s="155">
        <f ca="1"/>
        <v>0</v>
      </c>
      <c r="AA404" s="155">
        <f ca="1"/>
        <v>1.1609861577575709E-2</v>
      </c>
      <c r="AB404" s="155">
        <f ca="1"/>
        <v>0</v>
      </c>
      <c r="AC404" s="155">
        <f ca="1"/>
        <v>3.1056248423991017E-2</v>
      </c>
      <c r="AD404" s="155">
        <f ca="1"/>
        <v>5.8569641622150281E-2</v>
      </c>
      <c r="AE404" s="138">
        <f ca="1"/>
        <v>0</v>
      </c>
      <c r="AG404" s="135"/>
      <c r="AH404" s="135">
        <v>6.7450000000000001E-3</v>
      </c>
      <c r="AI404" s="135">
        <v>1.1979999999999999E-2</v>
      </c>
      <c r="AJ404" s="135">
        <v>1.6924999999999999E-2</v>
      </c>
      <c r="AK404" s="135"/>
      <c r="AL404" s="135">
        <f t="shared" ref="AL404:AL435" ca="1" si="17">AH404*$AN$365</f>
        <v>5.2649469331416121E-3</v>
      </c>
      <c r="AM404" s="135">
        <f t="shared" ref="AM404:AM435" ca="1" si="18">AI404*$AN$366</f>
        <v>1.3938127591115188E-2</v>
      </c>
      <c r="AN404" s="135">
        <f t="shared" ref="AN404:AN435" ca="1" si="19">AJ404*$AN$367</f>
        <v>2.8677872149008254E-2</v>
      </c>
      <c r="AP404" s="515">
        <f t="shared" ref="AP404:AP435" ca="1" si="20">AH404*$AR$365</f>
        <v>1.387081880298918E-3</v>
      </c>
      <c r="AQ404" s="515">
        <f t="shared" ref="AQ404:AQ435" ca="1" si="21">AI404*$AR$366</f>
        <v>3.3685058035959436E-3</v>
      </c>
      <c r="AR404" s="515">
        <f t="shared" ref="AR404:AR435" ca="1" si="22">AJ404*$AR$367</f>
        <v>6.8250151056728665E-3</v>
      </c>
      <c r="AT404" s="515">
        <f t="shared" ca="1" si="14"/>
        <v>9.8747216601753354E-2</v>
      </c>
      <c r="AU404" s="515">
        <f t="shared" ca="1" si="15"/>
        <v>0.16719372834500359</v>
      </c>
      <c r="AV404" s="515">
        <f t="shared" ca="1" si="16"/>
        <v>0.29005142979604048</v>
      </c>
    </row>
    <row r="405" spans="1:48" ht="10.5" customHeight="1">
      <c r="A405" s="96">
        <v>394</v>
      </c>
      <c r="B405" s="68" t="s">
        <v>547</v>
      </c>
      <c r="C405" s="97">
        <v>0.4</v>
      </c>
      <c r="D405" s="69" t="s">
        <v>66</v>
      </c>
      <c r="E405" s="136"/>
      <c r="F405" s="154"/>
      <c r="G405" s="154"/>
      <c r="H405" s="154"/>
      <c r="I405" s="154">
        <v>1.6999999999999999E-3</v>
      </c>
      <c r="J405" s="154"/>
      <c r="K405" s="154">
        <v>2.6360000000000001E-2</v>
      </c>
      <c r="L405" s="154">
        <v>3.9090000000000001E-3</v>
      </c>
      <c r="M405" s="154"/>
      <c r="N405" s="137" cm="1">
        <f t="array" aca="1" ref="N405:AE405" ca="1">IF(OR(B405="",NOT($J$2)),"",GetStripDefaultProbability(A405,B405,Parameter_Date,CDSRollDate,E405:M405,SpreadCurveMaturities,D405,C405,$J$4,$J$6))</f>
        <v>0</v>
      </c>
      <c r="O405" s="155">
        <f ca="1"/>
        <v>0</v>
      </c>
      <c r="P405" s="155">
        <f ca="1"/>
        <v>0</v>
      </c>
      <c r="Q405" s="155">
        <f ca="1"/>
        <v>0</v>
      </c>
      <c r="R405" s="155">
        <f ca="1"/>
        <v>8.6984272234199578E-3</v>
      </c>
      <c r="S405" s="155">
        <f ca="1"/>
        <v>0</v>
      </c>
      <c r="T405" s="155">
        <f ca="1"/>
        <v>0.22128681660866045</v>
      </c>
      <c r="U405" s="155">
        <f ca="1"/>
        <v>3.4254266074056017E-2</v>
      </c>
      <c r="V405" s="138">
        <f ca="1"/>
        <v>0</v>
      </c>
      <c r="W405" s="137">
        <f ca="1"/>
        <v>0</v>
      </c>
      <c r="X405" s="155">
        <f ca="1"/>
        <v>0</v>
      </c>
      <c r="Y405" s="155">
        <f ca="1"/>
        <v>0</v>
      </c>
      <c r="Z405" s="155">
        <f ca="1"/>
        <v>0</v>
      </c>
      <c r="AA405" s="155">
        <f ca="1"/>
        <v>9.1939541177240569E-3</v>
      </c>
      <c r="AB405" s="155">
        <f ca="1"/>
        <v>0</v>
      </c>
      <c r="AC405" s="155">
        <f ca="1"/>
        <v>0.22200547179636343</v>
      </c>
      <c r="AD405" s="155">
        <f ca="1"/>
        <v>3.533436888496333E-2</v>
      </c>
      <c r="AE405" s="138">
        <f ca="1"/>
        <v>0</v>
      </c>
      <c r="AG405" s="135"/>
      <c r="AH405" s="135">
        <v>1.9369999999999999E-3</v>
      </c>
      <c r="AI405" s="135">
        <v>3.101E-3</v>
      </c>
      <c r="AJ405" s="135">
        <v>4.6010000000000001E-3</v>
      </c>
      <c r="AK405" s="135"/>
      <c r="AL405" s="135">
        <f t="shared" ca="1" si="17"/>
        <v>1.5119647456627579E-3</v>
      </c>
      <c r="AM405" s="135">
        <f t="shared" ca="1" si="18"/>
        <v>3.6078575676167114E-3</v>
      </c>
      <c r="AN405" s="135">
        <f t="shared" ca="1" si="19"/>
        <v>7.7959757611572814E-3</v>
      </c>
      <c r="AP405" s="515">
        <f t="shared" ca="1" si="20"/>
        <v>3.9833619008732457E-4</v>
      </c>
      <c r="AQ405" s="515">
        <f t="shared" ca="1" si="21"/>
        <v>8.7193126017955113E-4</v>
      </c>
      <c r="AR405" s="515">
        <f t="shared" ca="1" si="22"/>
        <v>1.8553556573826209E-3</v>
      </c>
      <c r="AT405" s="515">
        <f t="shared" ca="1" si="14"/>
        <v>2.8357799637894178E-2</v>
      </c>
      <c r="AU405" s="515">
        <f t="shared" ca="1" si="15"/>
        <v>4.3277775592475476E-2</v>
      </c>
      <c r="AV405" s="515">
        <f t="shared" ca="1" si="16"/>
        <v>7.8849431520920665E-2</v>
      </c>
    </row>
    <row r="406" spans="1:48" ht="10.5" customHeight="1">
      <c r="A406" s="96">
        <v>395</v>
      </c>
      <c r="B406" s="68" t="s">
        <v>613</v>
      </c>
      <c r="C406" s="97">
        <v>0.4</v>
      </c>
      <c r="D406" s="69" t="s">
        <v>66</v>
      </c>
      <c r="E406" s="136"/>
      <c r="F406" s="154"/>
      <c r="G406" s="154"/>
      <c r="H406" s="154"/>
      <c r="I406" s="154">
        <v>1.7680000000000001E-2</v>
      </c>
      <c r="J406" s="154"/>
      <c r="K406" s="154">
        <v>2.5177000000000001E-2</v>
      </c>
      <c r="L406" s="154">
        <v>3.0232999999999999E-2</v>
      </c>
      <c r="M406" s="154"/>
      <c r="N406" s="137" cm="1">
        <f t="array" aca="1" ref="N406:AE406" ca="1">IF(OR(B406="",NOT($J$2)),"",GetStripDefaultProbability(A406,B406,Parameter_Date,CDSRollDate,E406:M406,SpreadCurveMaturities,D406,C406,$J$4,$J$6))</f>
        <v>0</v>
      </c>
      <c r="O406" s="155">
        <f ca="1"/>
        <v>0</v>
      </c>
      <c r="P406" s="155">
        <f ca="1"/>
        <v>0</v>
      </c>
      <c r="Q406" s="155">
        <f ca="1"/>
        <v>0</v>
      </c>
      <c r="R406" s="155">
        <f ca="1"/>
        <v>8.6846026715017621E-2</v>
      </c>
      <c r="S406" s="155">
        <f ca="1"/>
        <v>0</v>
      </c>
      <c r="T406" s="155">
        <f ca="1"/>
        <v>0.19875348823085259</v>
      </c>
      <c r="U406" s="155">
        <f ca="1"/>
        <v>0.3171627149652112</v>
      </c>
      <c r="V406" s="138">
        <f ca="1"/>
        <v>0</v>
      </c>
      <c r="W406" s="137">
        <f ca="1"/>
        <v>0</v>
      </c>
      <c r="X406" s="155">
        <f ca="1"/>
        <v>0</v>
      </c>
      <c r="Y406" s="155">
        <f ca="1"/>
        <v>0</v>
      </c>
      <c r="Z406" s="155">
        <f ca="1"/>
        <v>0</v>
      </c>
      <c r="AA406" s="155">
        <f ca="1"/>
        <v>8.730248957648945E-2</v>
      </c>
      <c r="AB406" s="155">
        <f ca="1"/>
        <v>0</v>
      </c>
      <c r="AC406" s="155">
        <f ca="1"/>
        <v>0.19945328557967978</v>
      </c>
      <c r="AD406" s="155">
        <f ca="1"/>
        <v>0.31801476297538334</v>
      </c>
      <c r="AE406" s="138">
        <f ca="1"/>
        <v>0</v>
      </c>
      <c r="AG406" s="135"/>
      <c r="AH406" s="135">
        <v>4.7990000000000003E-3</v>
      </c>
      <c r="AI406" s="135">
        <v>8.7480000000000006E-3</v>
      </c>
      <c r="AJ406" s="135">
        <v>1.2120000000000001E-2</v>
      </c>
      <c r="AK406" s="135"/>
      <c r="AL406" s="135">
        <f t="shared" ca="1" si="17"/>
        <v>3.7459570544324085E-3</v>
      </c>
      <c r="AM406" s="135">
        <f t="shared" ca="1" si="18"/>
        <v>1.0177858110774264E-2</v>
      </c>
      <c r="AN406" s="135">
        <f t="shared" ca="1" si="19"/>
        <v>2.0536236953972234E-2</v>
      </c>
      <c r="AP406" s="515">
        <f t="shared" ca="1" si="20"/>
        <v>9.8689487673158023E-4</v>
      </c>
      <c r="AQ406" s="515">
        <f t="shared" ca="1" si="21"/>
        <v>2.4597402979847512E-3</v>
      </c>
      <c r="AR406" s="515">
        <f t="shared" ca="1" si="22"/>
        <v>4.8873963415512643E-3</v>
      </c>
      <c r="AT406" s="515">
        <f t="shared" ca="1" si="14"/>
        <v>7.0257656407978403E-2</v>
      </c>
      <c r="AU406" s="515">
        <f t="shared" ca="1" si="15"/>
        <v>0.12208770747596759</v>
      </c>
      <c r="AV406" s="515">
        <f t="shared" ca="1" si="16"/>
        <v>0.20770595740785883</v>
      </c>
    </row>
    <row r="407" spans="1:48" ht="10.5" customHeight="1">
      <c r="A407" s="96">
        <v>396</v>
      </c>
      <c r="B407" s="68" t="s">
        <v>562</v>
      </c>
      <c r="C407" s="97">
        <v>0.4</v>
      </c>
      <c r="D407" s="69" t="s">
        <v>66</v>
      </c>
      <c r="E407" s="136"/>
      <c r="F407" s="154"/>
      <c r="G407" s="154"/>
      <c r="H407" s="154"/>
      <c r="I407" s="154">
        <v>1.828E-3</v>
      </c>
      <c r="J407" s="154"/>
      <c r="K407" s="154">
        <v>3.0709999999999999E-3</v>
      </c>
      <c r="L407" s="154">
        <v>4.3569999999999998E-3</v>
      </c>
      <c r="M407" s="154"/>
      <c r="N407" s="137" cm="1">
        <f t="array" aca="1" ref="N407:AE407" ca="1">IF(OR(B407="",NOT($J$2)),"",GetStripDefaultProbability(A407,B407,Parameter_Date,CDSRollDate,E407:M407,SpreadCurveMaturities,D407,C407,$J$4,$J$6))</f>
        <v>0</v>
      </c>
      <c r="O407" s="155">
        <f ca="1"/>
        <v>0</v>
      </c>
      <c r="P407" s="155">
        <f ca="1"/>
        <v>0</v>
      </c>
      <c r="Q407" s="155">
        <f ca="1"/>
        <v>0</v>
      </c>
      <c r="R407" s="155">
        <f ca="1"/>
        <v>9.3503466185219652E-3</v>
      </c>
      <c r="S407" s="155">
        <f ca="1"/>
        <v>0</v>
      </c>
      <c r="T407" s="155">
        <f ca="1"/>
        <v>2.629488358366272E-2</v>
      </c>
      <c r="U407" s="155">
        <f ca="1"/>
        <v>5.2201623026984389E-2</v>
      </c>
      <c r="V407" s="138">
        <f ca="1"/>
        <v>0</v>
      </c>
      <c r="W407" s="137">
        <f ca="1"/>
        <v>0</v>
      </c>
      <c r="X407" s="155">
        <f ca="1"/>
        <v>0</v>
      </c>
      <c r="Y407" s="155">
        <f ca="1"/>
        <v>0</v>
      </c>
      <c r="Z407" s="155">
        <f ca="1"/>
        <v>0</v>
      </c>
      <c r="AA407" s="155">
        <f ca="1"/>
        <v>9.8455476346137605E-3</v>
      </c>
      <c r="AB407" s="155">
        <f ca="1"/>
        <v>0</v>
      </c>
      <c r="AC407" s="155">
        <f ca="1"/>
        <v>2.7125833287498291E-2</v>
      </c>
      <c r="AD407" s="155">
        <f ca="1"/>
        <v>5.3334104490572298E-2</v>
      </c>
      <c r="AE407" s="138">
        <f ca="1"/>
        <v>0</v>
      </c>
      <c r="AG407" s="135"/>
      <c r="AH407" s="135">
        <v>4.2960000000000003E-3</v>
      </c>
      <c r="AI407" s="135">
        <v>6.79E-3</v>
      </c>
      <c r="AJ407" s="135">
        <v>9.9900000000000006E-3</v>
      </c>
      <c r="AK407" s="135"/>
      <c r="AL407" s="135">
        <f t="shared" ca="1" si="17"/>
        <v>3.3533301741699578E-3</v>
      </c>
      <c r="AM407" s="135">
        <f t="shared" ca="1" si="18"/>
        <v>7.8998235679192102E-3</v>
      </c>
      <c r="AN407" s="135">
        <f t="shared" ca="1" si="19"/>
        <v>1.6927145806120678E-2</v>
      </c>
      <c r="AP407" s="515">
        <f t="shared" ca="1" si="20"/>
        <v>8.8345496779305445E-4</v>
      </c>
      <c r="AQ407" s="515">
        <f t="shared" ca="1" si="21"/>
        <v>1.9091948586324257E-3</v>
      </c>
      <c r="AR407" s="515">
        <f t="shared" ca="1" si="22"/>
        <v>4.0284727270707204E-3</v>
      </c>
      <c r="AT407" s="515">
        <f t="shared" ca="1" si="14"/>
        <v>6.2893705340419923E-2</v>
      </c>
      <c r="AU407" s="515">
        <f t="shared" ca="1" si="15"/>
        <v>9.4761720823253293E-2</v>
      </c>
      <c r="AV407" s="515">
        <f t="shared" ca="1" si="16"/>
        <v>0.1712031777643985</v>
      </c>
    </row>
    <row r="408" spans="1:48" ht="10.5" customHeight="1">
      <c r="A408" s="96">
        <v>397</v>
      </c>
      <c r="B408" s="68" t="s">
        <v>548</v>
      </c>
      <c r="C408" s="97">
        <v>0.4</v>
      </c>
      <c r="D408" s="69" t="s">
        <v>66</v>
      </c>
      <c r="E408" s="136"/>
      <c r="F408" s="154"/>
      <c r="G408" s="154"/>
      <c r="H408" s="154"/>
      <c r="I408" s="154">
        <v>1.338E-3</v>
      </c>
      <c r="J408" s="154"/>
      <c r="K408" s="154">
        <v>2.0349999999999999E-3</v>
      </c>
      <c r="L408" s="154">
        <v>2.843E-3</v>
      </c>
      <c r="M408" s="154"/>
      <c r="N408" s="137" cm="1">
        <f t="array" aca="1" ref="N408:AE408" ca="1">IF(OR(B408="",NOT($J$2)),"",GetStripDefaultProbability(A408,B408,Parameter_Date,CDSRollDate,E408:M408,SpreadCurveMaturities,D408,C408,$J$4,$J$6))</f>
        <v>0</v>
      </c>
      <c r="O408" s="155">
        <f ca="1"/>
        <v>0</v>
      </c>
      <c r="P408" s="155">
        <f ca="1"/>
        <v>0</v>
      </c>
      <c r="Q408" s="155">
        <f ca="1"/>
        <v>0</v>
      </c>
      <c r="R408" s="155">
        <f ca="1"/>
        <v>6.8524352422202339E-3</v>
      </c>
      <c r="S408" s="155">
        <f ca="1"/>
        <v>0</v>
      </c>
      <c r="T408" s="155">
        <f ca="1"/>
        <v>1.7434033259014159E-2</v>
      </c>
      <c r="U408" s="155">
        <f ca="1"/>
        <v>3.4203052838393977E-2</v>
      </c>
      <c r="V408" s="138">
        <f ca="1"/>
        <v>0</v>
      </c>
      <c r="W408" s="137">
        <f ca="1"/>
        <v>0</v>
      </c>
      <c r="X408" s="155">
        <f ca="1"/>
        <v>0</v>
      </c>
      <c r="Y408" s="155">
        <f ca="1"/>
        <v>0</v>
      </c>
      <c r="Z408" s="155">
        <f ca="1"/>
        <v>0</v>
      </c>
      <c r="AA408" s="155">
        <f ca="1"/>
        <v>7.3488849018673585E-3</v>
      </c>
      <c r="AB408" s="155">
        <f ca="1"/>
        <v>0</v>
      </c>
      <c r="AC408" s="155">
        <f ca="1"/>
        <v>1.8272063738416056E-2</v>
      </c>
      <c r="AD408" s="155">
        <f ca="1"/>
        <v>3.5355224485735581E-2</v>
      </c>
      <c r="AE408" s="138">
        <f ca="1"/>
        <v>0</v>
      </c>
      <c r="AG408" s="135"/>
      <c r="AH408" s="135">
        <v>1.0371E-2</v>
      </c>
      <c r="AI408" s="135">
        <v>1.6621E-2</v>
      </c>
      <c r="AJ408" s="135">
        <v>1.9375E-2</v>
      </c>
      <c r="AK408" s="135"/>
      <c r="AL408" s="135">
        <f t="shared" ca="1" si="17"/>
        <v>8.0952949805206311E-3</v>
      </c>
      <c r="AM408" s="135">
        <f t="shared" ca="1" si="18"/>
        <v>1.933769772052801E-2</v>
      </c>
      <c r="AN408" s="135">
        <f t="shared" ca="1" si="19"/>
        <v>3.2829174173532344E-2</v>
      </c>
      <c r="AP408" s="515">
        <f t="shared" ca="1" si="20"/>
        <v>2.1327540668020875E-3</v>
      </c>
      <c r="AQ408" s="515">
        <f t="shared" ca="1" si="21"/>
        <v>4.6734503306818187E-3</v>
      </c>
      <c r="AR408" s="515">
        <f t="shared" ca="1" si="22"/>
        <v>7.8129788875871079E-3</v>
      </c>
      <c r="AT408" s="515">
        <f t="shared" ca="1" si="14"/>
        <v>0.15183208055993833</v>
      </c>
      <c r="AU408" s="515">
        <f t="shared" ca="1" si="15"/>
        <v>0.23196385299017572</v>
      </c>
      <c r="AV408" s="515">
        <f t="shared" ca="1" si="16"/>
        <v>0.33203819511363569</v>
      </c>
    </row>
    <row r="409" spans="1:48" ht="10.5" customHeight="1">
      <c r="A409" s="96">
        <v>398</v>
      </c>
      <c r="B409" s="68" t="s">
        <v>563</v>
      </c>
      <c r="C409" s="97">
        <v>0.4</v>
      </c>
      <c r="D409" s="69" t="s">
        <v>66</v>
      </c>
      <c r="E409" s="136"/>
      <c r="F409" s="154"/>
      <c r="G409" s="154"/>
      <c r="H409" s="154"/>
      <c r="I409" s="154">
        <v>4.5620000000000001E-3</v>
      </c>
      <c r="J409" s="154"/>
      <c r="K409" s="154">
        <v>7.5360000000000002E-3</v>
      </c>
      <c r="L409" s="154">
        <v>1.0989000000000001E-2</v>
      </c>
      <c r="M409" s="154"/>
      <c r="N409" s="137" cm="1">
        <f t="array" aca="1" ref="N409:AE409" ca="1">IF(OR(B409="",NOT($J$2)),"",GetStripDefaultProbability(A409,B409,Parameter_Date,CDSRollDate,E409:M409,SpreadCurveMaturities,D409,C409,$J$4,$J$6))</f>
        <v>0</v>
      </c>
      <c r="O409" s="155">
        <f ca="1"/>
        <v>0</v>
      </c>
      <c r="P409" s="155">
        <f ca="1"/>
        <v>0</v>
      </c>
      <c r="Q409" s="155">
        <f ca="1"/>
        <v>0</v>
      </c>
      <c r="R409" s="155">
        <f ca="1"/>
        <v>2.3175066286601265E-2</v>
      </c>
      <c r="S409" s="155">
        <f ca="1"/>
        <v>0</v>
      </c>
      <c r="T409" s="155">
        <f ca="1"/>
        <v>6.3577930227746715E-2</v>
      </c>
      <c r="U409" s="155">
        <f ca="1"/>
        <v>0.12826383967722832</v>
      </c>
      <c r="V409" s="138">
        <f ca="1"/>
        <v>0</v>
      </c>
      <c r="W409" s="137">
        <f ca="1"/>
        <v>0</v>
      </c>
      <c r="X409" s="155">
        <f ca="1"/>
        <v>0</v>
      </c>
      <c r="Y409" s="155">
        <f ca="1"/>
        <v>0</v>
      </c>
      <c r="Z409" s="155">
        <f ca="1"/>
        <v>0</v>
      </c>
      <c r="AA409" s="155">
        <f ca="1"/>
        <v>2.3663356670687752E-2</v>
      </c>
      <c r="AB409" s="155">
        <f ca="1"/>
        <v>0</v>
      </c>
      <c r="AC409" s="155">
        <f ca="1"/>
        <v>6.4357956896269108E-2</v>
      </c>
      <c r="AD409" s="155">
        <f ca="1"/>
        <v>0.12932717528648097</v>
      </c>
      <c r="AE409" s="138">
        <f ca="1"/>
        <v>0</v>
      </c>
      <c r="AG409" s="135"/>
      <c r="AH409" s="135">
        <v>2.5300000000000001E-3</v>
      </c>
      <c r="AI409" s="135">
        <v>3.9699999999999996E-3</v>
      </c>
      <c r="AJ409" s="135">
        <v>5.692E-3</v>
      </c>
      <c r="AK409" s="135"/>
      <c r="AL409" s="135">
        <f t="shared" ca="1" si="17"/>
        <v>1.9748429563896633E-3</v>
      </c>
      <c r="AM409" s="135">
        <f t="shared" ca="1" si="18"/>
        <v>4.6188953703445151E-3</v>
      </c>
      <c r="AN409" s="135">
        <f t="shared" ca="1" si="19"/>
        <v>9.6445759688127027E-3</v>
      </c>
      <c r="AP409" s="515">
        <f t="shared" ca="1" si="20"/>
        <v>5.2028423382598416E-4</v>
      </c>
      <c r="AQ409" s="515">
        <f t="shared" ca="1" si="21"/>
        <v>1.1162744607909763E-3</v>
      </c>
      <c r="AR409" s="515">
        <f t="shared" ca="1" si="22"/>
        <v>2.2953019782268806E-3</v>
      </c>
      <c r="AT409" s="515">
        <f t="shared" ca="1" si="14"/>
        <v>3.7039356264260338E-2</v>
      </c>
      <c r="AU409" s="515">
        <f t="shared" ca="1" si="15"/>
        <v>5.5405601129354276E-2</v>
      </c>
      <c r="AV409" s="515">
        <f t="shared" ca="1" si="16"/>
        <v>9.7546395178674292E-2</v>
      </c>
    </row>
    <row r="410" spans="1:48" ht="10.5" customHeight="1">
      <c r="A410" s="96">
        <v>399</v>
      </c>
      <c r="B410" s="68" t="s">
        <v>549</v>
      </c>
      <c r="C410" s="97">
        <v>0.4</v>
      </c>
      <c r="D410" s="69" t="s">
        <v>66</v>
      </c>
      <c r="E410" s="136"/>
      <c r="F410" s="154"/>
      <c r="G410" s="154"/>
      <c r="H410" s="154"/>
      <c r="I410" s="154">
        <v>2.6589999999999999E-3</v>
      </c>
      <c r="J410" s="154"/>
      <c r="K410" s="154">
        <v>4.2420000000000001E-3</v>
      </c>
      <c r="L410" s="154">
        <v>5.659E-3</v>
      </c>
      <c r="M410" s="154"/>
      <c r="N410" s="137" cm="1">
        <f t="array" aca="1" ref="N410:AE410" ca="1">IF(OR(B410="",NOT($J$2)),"",GetStripDefaultProbability(A410,B410,Parameter_Date,CDSRollDate,E410:M410,SpreadCurveMaturities,D410,C410,$J$4,$J$6))</f>
        <v>0</v>
      </c>
      <c r="O410" s="155">
        <f ca="1"/>
        <v>0</v>
      </c>
      <c r="P410" s="155">
        <f ca="1"/>
        <v>0</v>
      </c>
      <c r="Q410" s="155">
        <f ca="1"/>
        <v>0</v>
      </c>
      <c r="R410" s="155">
        <f ca="1"/>
        <v>1.3572509171008384E-2</v>
      </c>
      <c r="S410" s="155">
        <f ca="1"/>
        <v>0</v>
      </c>
      <c r="T410" s="155">
        <f ca="1"/>
        <v>3.6129090814860265E-2</v>
      </c>
      <c r="U410" s="155">
        <f ca="1"/>
        <v>6.7161776268504725E-2</v>
      </c>
      <c r="V410" s="138">
        <f ca="1"/>
        <v>0</v>
      </c>
      <c r="W410" s="137">
        <f ca="1"/>
        <v>0</v>
      </c>
      <c r="X410" s="155">
        <f ca="1"/>
        <v>0</v>
      </c>
      <c r="Y410" s="155">
        <f ca="1"/>
        <v>0</v>
      </c>
      <c r="Z410" s="155">
        <f ca="1"/>
        <v>0</v>
      </c>
      <c r="AA410" s="155">
        <f ca="1"/>
        <v>1.4065599633510728E-2</v>
      </c>
      <c r="AB410" s="155">
        <f ca="1"/>
        <v>0</v>
      </c>
      <c r="AC410" s="155">
        <f ca="1"/>
        <v>3.6951282581167311E-2</v>
      </c>
      <c r="AD410" s="155">
        <f ca="1"/>
        <v>6.8276036301867071E-2</v>
      </c>
      <c r="AE410" s="138">
        <f ca="1"/>
        <v>0</v>
      </c>
      <c r="AG410" s="135"/>
      <c r="AH410" s="135">
        <v>3.9449999999999997E-3</v>
      </c>
      <c r="AI410" s="135">
        <v>6.7390000000000002E-3</v>
      </c>
      <c r="AJ410" s="135">
        <v>9.7630000000000008E-3</v>
      </c>
      <c r="AK410" s="135"/>
      <c r="AL410" s="135">
        <f t="shared" ca="1" si="17"/>
        <v>3.079349985358585E-3</v>
      </c>
      <c r="AM410" s="135">
        <f t="shared" ca="1" si="18"/>
        <v>7.8404876324311579E-3</v>
      </c>
      <c r="AN410" s="135">
        <f t="shared" ca="1" si="19"/>
        <v>1.6542514965481099E-2</v>
      </c>
      <c r="AP410" s="515">
        <f t="shared" ca="1" si="20"/>
        <v>8.1127324207253243E-4</v>
      </c>
      <c r="AQ410" s="515">
        <f t="shared" ca="1" si="21"/>
        <v>1.8948548088842292E-3</v>
      </c>
      <c r="AR410" s="515">
        <f t="shared" ca="1" si="22"/>
        <v>3.9369348582974414E-3</v>
      </c>
      <c r="AT410" s="515">
        <f t="shared" ca="1" si="14"/>
        <v>5.7755043661069969E-2</v>
      </c>
      <c r="AU410" s="515">
        <f t="shared" ca="1" si="15"/>
        <v>9.4049961211767896E-2</v>
      </c>
      <c r="AV410" s="515">
        <f t="shared" ca="1" si="16"/>
        <v>0.16731297542680906</v>
      </c>
    </row>
    <row r="411" spans="1:48" ht="10.5" customHeight="1">
      <c r="A411" s="96">
        <v>400</v>
      </c>
      <c r="B411" s="68" t="s">
        <v>550</v>
      </c>
      <c r="C411" s="97">
        <v>0.4</v>
      </c>
      <c r="D411" s="69" t="s">
        <v>66</v>
      </c>
      <c r="E411" s="136"/>
      <c r="F411" s="154"/>
      <c r="G411" s="154"/>
      <c r="H411" s="154"/>
      <c r="I411" s="154">
        <v>1.866E-3</v>
      </c>
      <c r="J411" s="154"/>
      <c r="K411" s="154">
        <v>3.0259999999999999E-2</v>
      </c>
      <c r="L411" s="154">
        <v>4.2849999999999997E-3</v>
      </c>
      <c r="M411" s="154"/>
      <c r="N411" s="137" cm="1">
        <f t="array" aca="1" ref="N411:AE411" ca="1">IF(OR(B411="",NOT($J$2)),"",GetStripDefaultProbability(A411,B411,Parameter_Date,CDSRollDate,E411:M411,SpreadCurveMaturities,D411,C411,$J$4,$J$6))</f>
        <v>0</v>
      </c>
      <c r="O411" s="155">
        <f ca="1"/>
        <v>0</v>
      </c>
      <c r="P411" s="155">
        <f ca="1"/>
        <v>0</v>
      </c>
      <c r="Q411" s="155">
        <f ca="1"/>
        <v>0</v>
      </c>
      <c r="R411" s="155">
        <f ca="1"/>
        <v>9.5438041287526643E-3</v>
      </c>
      <c r="S411" s="155">
        <f ca="1"/>
        <v>0</v>
      </c>
      <c r="T411" s="155">
        <f ca="1"/>
        <v>0.25219840233001245</v>
      </c>
      <c r="U411" s="155">
        <f ca="1"/>
        <v>3.6462435371885649E-2</v>
      </c>
      <c r="V411" s="138">
        <f ca="1"/>
        <v>0</v>
      </c>
      <c r="W411" s="137">
        <f ca="1"/>
        <v>0</v>
      </c>
      <c r="X411" s="155">
        <f ca="1"/>
        <v>0</v>
      </c>
      <c r="Y411" s="155">
        <f ca="1"/>
        <v>0</v>
      </c>
      <c r="Z411" s="155">
        <f ca="1"/>
        <v>0</v>
      </c>
      <c r="AA411" s="155">
        <f ca="1"/>
        <v>1.00389084403264E-2</v>
      </c>
      <c r="AB411" s="155">
        <f ca="1"/>
        <v>0</v>
      </c>
      <c r="AC411" s="155">
        <f ca="1"/>
        <v>0.2528984361448936</v>
      </c>
      <c r="AD411" s="155">
        <f ca="1"/>
        <v>3.752902786057466E-2</v>
      </c>
      <c r="AE411" s="138">
        <f ca="1"/>
        <v>0</v>
      </c>
      <c r="AG411" s="135"/>
      <c r="AH411" s="135">
        <v>1.738E-3</v>
      </c>
      <c r="AI411" s="135">
        <v>2.9610000000000001E-3</v>
      </c>
      <c r="AJ411" s="135">
        <v>4.1469999999999996E-3</v>
      </c>
      <c r="AK411" s="135"/>
      <c r="AL411" s="135">
        <f t="shared" ca="1" si="17"/>
        <v>1.3566312483024642E-3</v>
      </c>
      <c r="AM411" s="135">
        <f t="shared" ca="1" si="18"/>
        <v>3.4449746074534287E-3</v>
      </c>
      <c r="AN411" s="135">
        <f t="shared" ca="1" si="19"/>
        <v>7.0267140798781222E-3</v>
      </c>
      <c r="AP411" s="515">
        <f t="shared" ca="1" si="20"/>
        <v>3.5741264758480646E-4</v>
      </c>
      <c r="AQ411" s="515">
        <f t="shared" ca="1" si="21"/>
        <v>8.3256641773352168E-4</v>
      </c>
      <c r="AR411" s="515">
        <f t="shared" ca="1" si="22"/>
        <v>1.6722799198360635E-3</v>
      </c>
      <c r="AT411" s="515">
        <f t="shared" ca="1" si="14"/>
        <v>2.5444427346752754E-2</v>
      </c>
      <c r="AU411" s="515">
        <f t="shared" ca="1" si="15"/>
        <v>4.1323925678593963E-2</v>
      </c>
      <c r="AV411" s="515">
        <f t="shared" ca="1" si="16"/>
        <v>7.106902684574179E-2</v>
      </c>
    </row>
    <row r="412" spans="1:48" ht="10.5" customHeight="1">
      <c r="A412" s="96">
        <v>401</v>
      </c>
      <c r="B412" s="68" t="s">
        <v>551</v>
      </c>
      <c r="C412" s="97">
        <v>0.4</v>
      </c>
      <c r="D412" s="69" t="s">
        <v>66</v>
      </c>
      <c r="E412" s="136"/>
      <c r="F412" s="154"/>
      <c r="G412" s="154"/>
      <c r="H412" s="154"/>
      <c r="I412" s="154">
        <v>3.153E-3</v>
      </c>
      <c r="J412" s="154"/>
      <c r="K412" s="154">
        <v>4.9170000000000004E-3</v>
      </c>
      <c r="L412" s="154">
        <v>6.8279999999999999E-3</v>
      </c>
      <c r="M412" s="154"/>
      <c r="N412" s="137" cm="1">
        <f t="array" aca="1" ref="N412:AE412" ca="1">IF(OR(B412="",NOT($J$2)),"",GetStripDefaultProbability(A412,B412,Parameter_Date,CDSRollDate,E412:M412,SpreadCurveMaturities,D412,C412,$J$4,$J$6))</f>
        <v>0</v>
      </c>
      <c r="O412" s="155">
        <f ca="1"/>
        <v>0</v>
      </c>
      <c r="P412" s="155">
        <f ca="1"/>
        <v>0</v>
      </c>
      <c r="Q412" s="155">
        <f ca="1"/>
        <v>0</v>
      </c>
      <c r="R412" s="155">
        <f ca="1"/>
        <v>1.6074071175233406E-2</v>
      </c>
      <c r="S412" s="155">
        <f ca="1"/>
        <v>0</v>
      </c>
      <c r="T412" s="155">
        <f ca="1"/>
        <v>4.1754769650371726E-2</v>
      </c>
      <c r="U412" s="155">
        <f ca="1"/>
        <v>8.0777786031155818E-2</v>
      </c>
      <c r="V412" s="138">
        <f ca="1"/>
        <v>0</v>
      </c>
      <c r="W412" s="137">
        <f ca="1"/>
        <v>0</v>
      </c>
      <c r="X412" s="155">
        <f ca="1"/>
        <v>0</v>
      </c>
      <c r="Y412" s="155">
        <f ca="1"/>
        <v>0</v>
      </c>
      <c r="Z412" s="155">
        <f ca="1"/>
        <v>0</v>
      </c>
      <c r="AA412" s="155">
        <f ca="1"/>
        <v>1.6565911169397762E-2</v>
      </c>
      <c r="AB412" s="155">
        <f ca="1"/>
        <v>0</v>
      </c>
      <c r="AC412" s="155">
        <f ca="1"/>
        <v>4.2571717225392325E-2</v>
      </c>
      <c r="AD412" s="155">
        <f ca="1"/>
        <v>8.187511321377372E-2</v>
      </c>
      <c r="AE412" s="138">
        <f ca="1"/>
        <v>0</v>
      </c>
      <c r="AG412" s="135"/>
      <c r="AH412" s="135">
        <v>2.8939999999999999E-3</v>
      </c>
      <c r="AI412" s="135">
        <v>5.0400000000000002E-3</v>
      </c>
      <c r="AJ412" s="135">
        <v>7.5799999999999999E-3</v>
      </c>
      <c r="AK412" s="135"/>
      <c r="AL412" s="135">
        <f t="shared" ca="1" si="17"/>
        <v>2.2589705596014562E-3</v>
      </c>
      <c r="AM412" s="135">
        <f t="shared" ca="1" si="18"/>
        <v>5.863786565878177E-3</v>
      </c>
      <c r="AN412" s="135">
        <f t="shared" ca="1" si="19"/>
        <v>1.2843620141180654E-2</v>
      </c>
      <c r="AP412" s="515">
        <f t="shared" ca="1" si="20"/>
        <v>5.9513935679541424E-4</v>
      </c>
      <c r="AQ412" s="515">
        <f t="shared" ca="1" si="21"/>
        <v>1.4171343280570583E-3</v>
      </c>
      <c r="AR412" s="515">
        <f t="shared" ca="1" si="22"/>
        <v>3.0566389660856915E-3</v>
      </c>
      <c r="AT412" s="515">
        <f t="shared" ca="1" si="14"/>
        <v>4.2368338746549175E-2</v>
      </c>
      <c r="AU412" s="515">
        <f t="shared" ca="1" si="15"/>
        <v>7.0338596899734401E-2</v>
      </c>
      <c r="AV412" s="515">
        <f t="shared" ca="1" si="16"/>
        <v>0.12990191065607012</v>
      </c>
    </row>
    <row r="413" spans="1:48" ht="10.5" customHeight="1">
      <c r="A413" s="96">
        <v>402</v>
      </c>
      <c r="B413" s="68" t="s">
        <v>552</v>
      </c>
      <c r="C413" s="97">
        <v>0.4</v>
      </c>
      <c r="D413" s="69" t="s">
        <v>66</v>
      </c>
      <c r="E413" s="136"/>
      <c r="F413" s="154"/>
      <c r="G413" s="154"/>
      <c r="H413" s="154"/>
      <c r="I413" s="154">
        <v>6.7999999999999996E-3</v>
      </c>
      <c r="J413" s="154"/>
      <c r="K413" s="154">
        <v>1.1743E-2</v>
      </c>
      <c r="L413" s="154">
        <v>1.5325E-2</v>
      </c>
      <c r="M413" s="154"/>
      <c r="N413" s="137" cm="1">
        <f t="array" aca="1" ref="N413:AE413" ca="1">IF(OR(B413="",NOT($J$2)),"",GetStripDefaultProbability(A413,B413,Parameter_Date,CDSRollDate,E413:M413,SpreadCurveMaturities,D413,C413,$J$4,$J$6))</f>
        <v>0</v>
      </c>
      <c r="O413" s="155">
        <f ca="1"/>
        <v>0</v>
      </c>
      <c r="P413" s="155">
        <f ca="1"/>
        <v>0</v>
      </c>
      <c r="Q413" s="155">
        <f ca="1"/>
        <v>0</v>
      </c>
      <c r="R413" s="155">
        <f ca="1"/>
        <v>3.435149743916377E-2</v>
      </c>
      <c r="S413" s="155">
        <f ca="1"/>
        <v>0</v>
      </c>
      <c r="T413" s="155">
        <f ca="1"/>
        <v>9.789697520952767E-2</v>
      </c>
      <c r="U413" s="155">
        <f ca="1"/>
        <v>0.17446075046083576</v>
      </c>
      <c r="V413" s="138">
        <f ca="1"/>
        <v>0</v>
      </c>
      <c r="W413" s="137">
        <f ca="1"/>
        <v>0</v>
      </c>
      <c r="X413" s="155">
        <f ca="1"/>
        <v>0</v>
      </c>
      <c r="Y413" s="155">
        <f ca="1"/>
        <v>0</v>
      </c>
      <c r="Z413" s="155">
        <f ca="1"/>
        <v>0</v>
      </c>
      <c r="AA413" s="155">
        <f ca="1"/>
        <v>3.483420100451351E-2</v>
      </c>
      <c r="AB413" s="155">
        <f ca="1"/>
        <v>0</v>
      </c>
      <c r="AC413" s="155">
        <f ca="1"/>
        <v>9.8677045877784475E-2</v>
      </c>
      <c r="AD413" s="155">
        <f ca="1"/>
        <v>0.17547171333137901</v>
      </c>
      <c r="AE413" s="138">
        <f ca="1"/>
        <v>0</v>
      </c>
      <c r="AG413" s="135"/>
      <c r="AH413" s="135">
        <v>1.31E-3</v>
      </c>
      <c r="AI413" s="135">
        <v>2.2300000000000002E-3</v>
      </c>
      <c r="AJ413" s="135">
        <v>3.3579999999999999E-3</v>
      </c>
      <c r="AK413" s="135"/>
      <c r="AL413" s="135">
        <f t="shared" ca="1" si="17"/>
        <v>1.0225471434270588E-3</v>
      </c>
      <c r="AM413" s="135">
        <f t="shared" ca="1" si="18"/>
        <v>2.5944928654580029E-3</v>
      </c>
      <c r="AN413" s="135">
        <f t="shared" ca="1" si="19"/>
        <v>5.689825387082406E-3</v>
      </c>
      <c r="AP413" s="515">
        <f t="shared" ca="1" si="20"/>
        <v>2.6939618431305894E-4</v>
      </c>
      <c r="AQ413" s="515">
        <f t="shared" ca="1" si="21"/>
        <v>6.2702570467603966E-4</v>
      </c>
      <c r="AR413" s="515">
        <f t="shared" ca="1" si="22"/>
        <v>1.354115257007355E-3</v>
      </c>
      <c r="AT413" s="515">
        <f t="shared" ca="1" si="14"/>
        <v>1.9178480911534009E-2</v>
      </c>
      <c r="AU413" s="515">
        <f t="shared" ca="1" si="15"/>
        <v>3.112203791396979E-2</v>
      </c>
      <c r="AV413" s="515">
        <f t="shared" ca="1" si="16"/>
        <v>5.7547574667952961E-2</v>
      </c>
    </row>
    <row r="414" spans="1:48" ht="10.5" customHeight="1">
      <c r="A414" s="96">
        <v>403</v>
      </c>
      <c r="B414" s="68" t="s">
        <v>553</v>
      </c>
      <c r="C414" s="97">
        <v>0.4</v>
      </c>
      <c r="D414" s="69" t="s">
        <v>66</v>
      </c>
      <c r="E414" s="136"/>
      <c r="F414" s="154"/>
      <c r="G414" s="154"/>
      <c r="H414" s="154"/>
      <c r="I414" s="154">
        <v>1.8079999999999999E-3</v>
      </c>
      <c r="J414" s="154"/>
      <c r="K414" s="154">
        <v>3.0379999999999999E-3</v>
      </c>
      <c r="L414" s="154">
        <v>4.2700000000000004E-3</v>
      </c>
      <c r="M414" s="154"/>
      <c r="N414" s="137" cm="1">
        <f t="array" aca="1" ref="N414:AE414" ca="1">IF(OR(B414="",NOT($J$2)),"",GetStripDefaultProbability(A414,B414,Parameter_Date,CDSRollDate,E414:M414,SpreadCurveMaturities,D414,C414,$J$4,$J$6))</f>
        <v>0</v>
      </c>
      <c r="O414" s="155">
        <f ca="1"/>
        <v>0</v>
      </c>
      <c r="P414" s="155">
        <f ca="1"/>
        <v>0</v>
      </c>
      <c r="Q414" s="155">
        <f ca="1"/>
        <v>0</v>
      </c>
      <c r="R414" s="155">
        <f ca="1"/>
        <v>9.248511973932505E-3</v>
      </c>
      <c r="S414" s="155">
        <f ca="1"/>
        <v>0</v>
      </c>
      <c r="T414" s="155">
        <f ca="1"/>
        <v>2.6015209069207512E-2</v>
      </c>
      <c r="U414" s="155">
        <f ca="1"/>
        <v>5.1155152318599129E-2</v>
      </c>
      <c r="V414" s="138">
        <f ca="1"/>
        <v>0</v>
      </c>
      <c r="W414" s="137">
        <f ca="1"/>
        <v>0</v>
      </c>
      <c r="X414" s="155">
        <f ca="1"/>
        <v>0</v>
      </c>
      <c r="Y414" s="155">
        <f ca="1"/>
        <v>0</v>
      </c>
      <c r="Z414" s="155">
        <f ca="1"/>
        <v>0</v>
      </c>
      <c r="AA414" s="155">
        <f ca="1"/>
        <v>9.7437638946983318E-3</v>
      </c>
      <c r="AB414" s="155">
        <f ca="1"/>
        <v>0</v>
      </c>
      <c r="AC414" s="155">
        <f ca="1"/>
        <v>2.6846396153040075E-2</v>
      </c>
      <c r="AD414" s="155">
        <f ca="1"/>
        <v>5.2288780003727608E-2</v>
      </c>
      <c r="AE414" s="138">
        <f ca="1"/>
        <v>0</v>
      </c>
      <c r="AG414" s="135"/>
      <c r="AH414" s="135">
        <v>2.1749999999999999E-3</v>
      </c>
      <c r="AI414" s="135">
        <v>3.539E-3</v>
      </c>
      <c r="AJ414" s="135">
        <v>4.816E-3</v>
      </c>
      <c r="AK414" s="135"/>
      <c r="AL414" s="135">
        <f t="shared" ca="1" si="17"/>
        <v>1.697740486224315E-3</v>
      </c>
      <c r="AM414" s="135">
        <f t="shared" ca="1" si="18"/>
        <v>4.1174485429846955E-3</v>
      </c>
      <c r="AN414" s="135">
        <f t="shared" ca="1" si="19"/>
        <v>8.1602736939216398E-3</v>
      </c>
      <c r="AP414" s="515">
        <f t="shared" ca="1" si="20"/>
        <v>4.4727992433656733E-4</v>
      </c>
      <c r="AQ414" s="515">
        <f t="shared" ca="1" si="21"/>
        <v>9.9508698154641452E-4</v>
      </c>
      <c r="AR414" s="515">
        <f t="shared" ca="1" si="22"/>
        <v>1.9420545198771358E-3</v>
      </c>
      <c r="AT414" s="515">
        <f t="shared" ca="1" si="14"/>
        <v>3.1842134337852261E-2</v>
      </c>
      <c r="AU414" s="515">
        <f t="shared" ca="1" si="15"/>
        <v>4.9390534608761916E-2</v>
      </c>
      <c r="AV414" s="515">
        <f t="shared" ca="1" si="16"/>
        <v>8.2533984395730037E-2</v>
      </c>
    </row>
    <row r="415" spans="1:48" ht="10.5" customHeight="1">
      <c r="A415" s="96">
        <v>404</v>
      </c>
      <c r="B415" s="68" t="s">
        <v>554</v>
      </c>
      <c r="C415" s="97">
        <v>0.4</v>
      </c>
      <c r="D415" s="69" t="s">
        <v>66</v>
      </c>
      <c r="E415" s="136"/>
      <c r="F415" s="154"/>
      <c r="G415" s="154"/>
      <c r="H415" s="154"/>
      <c r="I415" s="154">
        <v>1.957E-3</v>
      </c>
      <c r="J415" s="154"/>
      <c r="K415" s="154">
        <v>2.7009999999999998E-3</v>
      </c>
      <c r="L415" s="154">
        <v>3.7780000000000001E-3</v>
      </c>
      <c r="M415" s="154"/>
      <c r="N415" s="137" cm="1">
        <f t="array" aca="1" ref="N415:AE415" ca="1">IF(OR(B415="",NOT($J$2)),"",GetStripDefaultProbability(A415,B415,Parameter_Date,CDSRollDate,E415:M415,SpreadCurveMaturities,D415,C415,$J$4,$J$6))</f>
        <v>0</v>
      </c>
      <c r="O415" s="155">
        <f ca="1"/>
        <v>0</v>
      </c>
      <c r="P415" s="155">
        <f ca="1"/>
        <v>0</v>
      </c>
      <c r="Q415" s="155">
        <f ca="1"/>
        <v>0</v>
      </c>
      <c r="R415" s="155">
        <f ca="1"/>
        <v>1.0006933202846069E-2</v>
      </c>
      <c r="S415" s="155">
        <f ca="1"/>
        <v>0</v>
      </c>
      <c r="T415" s="155">
        <f ca="1"/>
        <v>2.301697087733523E-2</v>
      </c>
      <c r="U415" s="155">
        <f ca="1"/>
        <v>4.5199484480823671E-2</v>
      </c>
      <c r="V415" s="138">
        <f ca="1"/>
        <v>0</v>
      </c>
      <c r="W415" s="137">
        <f ca="1"/>
        <v>0</v>
      </c>
      <c r="X415" s="155">
        <f ca="1"/>
        <v>0</v>
      </c>
      <c r="Y415" s="155">
        <f ca="1"/>
        <v>0</v>
      </c>
      <c r="Z415" s="155">
        <f ca="1"/>
        <v>0</v>
      </c>
      <c r="AA415" s="155">
        <f ca="1"/>
        <v>1.0501806007793379E-2</v>
      </c>
      <c r="AB415" s="155">
        <f ca="1"/>
        <v>0</v>
      </c>
      <c r="AC415" s="155">
        <f ca="1"/>
        <v>2.3850105483643969E-2</v>
      </c>
      <c r="AD415" s="155">
        <f ca="1"/>
        <v>4.6339019080888222E-2</v>
      </c>
      <c r="AE415" s="138">
        <f ca="1"/>
        <v>0</v>
      </c>
      <c r="AG415" s="135"/>
      <c r="AH415" s="135">
        <v>1.6999999999999999E-3</v>
      </c>
      <c r="AI415" s="135">
        <v>2.6360000000000001E-2</v>
      </c>
      <c r="AJ415" s="135">
        <v>3.9090000000000001E-3</v>
      </c>
      <c r="AK415" s="135"/>
      <c r="AL415" s="135">
        <f t="shared" ca="1" si="17"/>
        <v>1.3269695754396945E-3</v>
      </c>
      <c r="AM415" s="135">
        <f t="shared" ca="1" si="18"/>
        <v>3.0668534499315225E-2</v>
      </c>
      <c r="AN415" s="135">
        <f t="shared" ca="1" si="19"/>
        <v>6.6234447403529257E-3</v>
      </c>
      <c r="AP415" s="515">
        <f t="shared" ca="1" si="20"/>
        <v>3.4959810178030549E-4</v>
      </c>
      <c r="AQ415" s="515">
        <f t="shared" ca="1" si="21"/>
        <v>7.4118374776952489E-3</v>
      </c>
      <c r="AR415" s="515">
        <f t="shared" ca="1" si="22"/>
        <v>1.5763062953072517E-3</v>
      </c>
      <c r="AT415" s="515">
        <f t="shared" ca="1" si="14"/>
        <v>2.4888104999700619E-2</v>
      </c>
      <c r="AU415" s="515">
        <f t="shared" ca="1" si="15"/>
        <v>0.36788202664226172</v>
      </c>
      <c r="AV415" s="515">
        <f t="shared" ca="1" si="16"/>
        <v>6.6990312500603971E-2</v>
      </c>
    </row>
    <row r="416" spans="1:48" ht="10.5" customHeight="1">
      <c r="A416" s="96">
        <v>405</v>
      </c>
      <c r="B416" s="68" t="s">
        <v>555</v>
      </c>
      <c r="C416" s="97">
        <v>0.4</v>
      </c>
      <c r="D416" s="69" t="s">
        <v>66</v>
      </c>
      <c r="E416" s="136"/>
      <c r="F416" s="154"/>
      <c r="G416" s="154"/>
      <c r="H416" s="154"/>
      <c r="I416" s="154">
        <v>2.3579999999999999E-3</v>
      </c>
      <c r="J416" s="154"/>
      <c r="K416" s="154">
        <v>4.816E-3</v>
      </c>
      <c r="L416" s="154">
        <v>7.6169999999999996E-3</v>
      </c>
      <c r="M416" s="154"/>
      <c r="N416" s="137" cm="1">
        <f t="array" aca="1" ref="N416:AE416" ca="1">IF(OR(B416="",NOT($J$2)),"",GetStripDefaultProbability(A416,B416,Parameter_Date,CDSRollDate,E416:M416,SpreadCurveMaturities,D416,C416,$J$4,$J$6))</f>
        <v>0</v>
      </c>
      <c r="O416" s="155">
        <f ca="1"/>
        <v>0</v>
      </c>
      <c r="P416" s="155">
        <f ca="1"/>
        <v>0</v>
      </c>
      <c r="Q416" s="155">
        <f ca="1"/>
        <v>0</v>
      </c>
      <c r="R416" s="155">
        <f ca="1"/>
        <v>1.2045224476755934E-2</v>
      </c>
      <c r="S416" s="155">
        <f ca="1"/>
        <v>0</v>
      </c>
      <c r="T416" s="155">
        <f ca="1"/>
        <v>4.1229765966643184E-2</v>
      </c>
      <c r="U416" s="155">
        <f ca="1"/>
        <v>9.0803653477315782E-2</v>
      </c>
      <c r="V416" s="138">
        <f ca="1"/>
        <v>0</v>
      </c>
      <c r="W416" s="137">
        <f ca="1"/>
        <v>0</v>
      </c>
      <c r="X416" s="155">
        <f ca="1"/>
        <v>0</v>
      </c>
      <c r="Y416" s="155">
        <f ca="1"/>
        <v>0</v>
      </c>
      <c r="Z416" s="155">
        <f ca="1"/>
        <v>0</v>
      </c>
      <c r="AA416" s="155">
        <f ca="1"/>
        <v>1.2539078390808478E-2</v>
      </c>
      <c r="AB416" s="155">
        <f ca="1"/>
        <v>0</v>
      </c>
      <c r="AC416" s="155">
        <f ca="1"/>
        <v>4.2047784483036477E-2</v>
      </c>
      <c r="AD416" s="155">
        <f ca="1"/>
        <v>9.1889013329346736E-2</v>
      </c>
      <c r="AE416" s="138">
        <f ca="1"/>
        <v>0</v>
      </c>
      <c r="AG416" s="135"/>
      <c r="AH416" s="135">
        <v>1.7680000000000001E-2</v>
      </c>
      <c r="AI416" s="135">
        <v>2.5177000000000001E-2</v>
      </c>
      <c r="AJ416" s="135">
        <v>3.0232999999999999E-2</v>
      </c>
      <c r="AK416" s="135"/>
      <c r="AL416" s="135">
        <f t="shared" ca="1" si="17"/>
        <v>1.3800483584572825E-2</v>
      </c>
      <c r="AM416" s="135">
        <f t="shared" ca="1" si="18"/>
        <v>2.9292173485935488E-2</v>
      </c>
      <c r="AN416" s="135">
        <f t="shared" ca="1" si="19"/>
        <v>5.1227066982627273E-2</v>
      </c>
      <c r="AP416" s="515">
        <f t="shared" ca="1" si="20"/>
        <v>3.6358202585151777E-3</v>
      </c>
      <c r="AQ416" s="515">
        <f t="shared" ca="1" si="21"/>
        <v>7.0792045590263005E-3</v>
      </c>
      <c r="AR416" s="515">
        <f t="shared" ca="1" si="22"/>
        <v>1.2191473068821729E-2</v>
      </c>
      <c r="AT416" s="515">
        <f t="shared" ca="1" si="14"/>
        <v>0.25883629199688646</v>
      </c>
      <c r="AU416" s="515">
        <f t="shared" ca="1" si="15"/>
        <v>0.35137199486996296</v>
      </c>
      <c r="AV416" s="515">
        <f t="shared" ca="1" si="16"/>
        <v>0.51811668401912503</v>
      </c>
    </row>
    <row r="417" spans="1:48" ht="10.5" customHeight="1">
      <c r="A417" s="96">
        <v>406</v>
      </c>
      <c r="B417" s="68" t="s">
        <v>556</v>
      </c>
      <c r="C417" s="97">
        <v>0.4</v>
      </c>
      <c r="D417" s="69" t="s">
        <v>66</v>
      </c>
      <c r="E417" s="136"/>
      <c r="F417" s="154"/>
      <c r="G417" s="154"/>
      <c r="H417" s="154"/>
      <c r="I417" s="154">
        <v>2.2920000000000002E-3</v>
      </c>
      <c r="J417" s="154"/>
      <c r="K417" s="154">
        <v>3.6840000000000002E-3</v>
      </c>
      <c r="L417" s="154">
        <v>5.0730000000000003E-3</v>
      </c>
      <c r="M417" s="154"/>
      <c r="N417" s="137" cm="1">
        <f t="array" aca="1" ref="N417:AE417" ca="1">IF(OR(B417="",NOT($J$2)),"",GetStripDefaultProbability(A417,B417,Parameter_Date,CDSRollDate,E417:M417,SpreadCurveMaturities,D417,C417,$J$4,$J$6))</f>
        <v>0</v>
      </c>
      <c r="O417" s="155">
        <f ca="1"/>
        <v>0</v>
      </c>
      <c r="P417" s="155">
        <f ca="1"/>
        <v>0</v>
      </c>
      <c r="Q417" s="155">
        <f ca="1"/>
        <v>0</v>
      </c>
      <c r="R417" s="155">
        <f ca="1"/>
        <v>1.1710028369174896E-2</v>
      </c>
      <c r="S417" s="155">
        <f ca="1"/>
        <v>0</v>
      </c>
      <c r="T417" s="155">
        <f ca="1"/>
        <v>3.1441002766152137E-2</v>
      </c>
      <c r="U417" s="155">
        <f ca="1"/>
        <v>6.0467483896902041E-2</v>
      </c>
      <c r="V417" s="138">
        <f ca="1"/>
        <v>0</v>
      </c>
      <c r="W417" s="137">
        <f ca="1"/>
        <v>0</v>
      </c>
      <c r="X417" s="155">
        <f ca="1"/>
        <v>0</v>
      </c>
      <c r="Y417" s="155">
        <f ca="1"/>
        <v>0</v>
      </c>
      <c r="Z417" s="155">
        <f ca="1"/>
        <v>0</v>
      </c>
      <c r="AA417" s="155">
        <f ca="1"/>
        <v>1.2204049839286357E-2</v>
      </c>
      <c r="AB417" s="155">
        <f ca="1"/>
        <v>0</v>
      </c>
      <c r="AC417" s="155">
        <f ca="1"/>
        <v>3.2267390829550102E-2</v>
      </c>
      <c r="AD417" s="155">
        <f ca="1"/>
        <v>6.1589946544174268E-2</v>
      </c>
      <c r="AE417" s="138">
        <f ca="1"/>
        <v>0</v>
      </c>
      <c r="AG417" s="135"/>
      <c r="AH417" s="135">
        <v>1.828E-3</v>
      </c>
      <c r="AI417" s="135">
        <v>3.0709999999999999E-3</v>
      </c>
      <c r="AJ417" s="135">
        <v>4.3569999999999998E-3</v>
      </c>
      <c r="AK417" s="135"/>
      <c r="AL417" s="135">
        <f t="shared" ca="1" si="17"/>
        <v>1.4268825787669187E-3</v>
      </c>
      <c r="AM417" s="135">
        <f t="shared" ca="1" si="18"/>
        <v>3.5729540761531508E-3</v>
      </c>
      <c r="AN417" s="135">
        <f t="shared" ca="1" si="19"/>
        <v>7.3825399676944736E-3</v>
      </c>
      <c r="AP417" s="515">
        <f t="shared" ca="1" si="20"/>
        <v>3.7592078238494027E-4</v>
      </c>
      <c r="AQ417" s="515">
        <f t="shared" ca="1" si="21"/>
        <v>8.6349593679825901E-4</v>
      </c>
      <c r="AR417" s="515">
        <f t="shared" ca="1" si="22"/>
        <v>1.756962529714427E-3</v>
      </c>
      <c r="AT417" s="515">
        <f t="shared" ca="1" si="14"/>
        <v>2.6762032905560434E-2</v>
      </c>
      <c r="AU417" s="515">
        <f t="shared" ca="1" si="15"/>
        <v>4.285909346807229E-2</v>
      </c>
      <c r="AV417" s="515">
        <f t="shared" ca="1" si="16"/>
        <v>7.4667892444392814E-2</v>
      </c>
    </row>
    <row r="418" spans="1:48" ht="10.5" customHeight="1">
      <c r="A418" s="96">
        <v>407</v>
      </c>
      <c r="B418" s="68" t="s">
        <v>564</v>
      </c>
      <c r="C418" s="97">
        <v>0.4</v>
      </c>
      <c r="D418" s="69" t="s">
        <v>66</v>
      </c>
      <c r="E418" s="136"/>
      <c r="F418" s="154"/>
      <c r="G418" s="154"/>
      <c r="H418" s="154"/>
      <c r="I418" s="154">
        <v>1.598E-3</v>
      </c>
      <c r="J418" s="154"/>
      <c r="K418" s="154">
        <v>2.627E-3</v>
      </c>
      <c r="L418" s="154">
        <v>3.8070000000000001E-3</v>
      </c>
      <c r="M418" s="154"/>
      <c r="N418" s="137" cm="1">
        <f t="array" aca="1" ref="N418:AE418" ca="1">IF(OR(B418="",NOT($J$2)),"",GetStripDefaultProbability(A418,B418,Parameter_Date,CDSRollDate,E418:M418,SpreadCurveMaturities,D418,C418,$J$4,$J$6))</f>
        <v>0</v>
      </c>
      <c r="O418" s="155">
        <f ca="1"/>
        <v>0</v>
      </c>
      <c r="P418" s="155">
        <f ca="1"/>
        <v>0</v>
      </c>
      <c r="Q418" s="155">
        <f ca="1"/>
        <v>0</v>
      </c>
      <c r="R418" s="155">
        <f ca="1"/>
        <v>8.1786272814384775E-3</v>
      </c>
      <c r="S418" s="155">
        <f ca="1"/>
        <v>0</v>
      </c>
      <c r="T418" s="155">
        <f ca="1"/>
        <v>2.2511688086325199E-2</v>
      </c>
      <c r="U418" s="155">
        <f ca="1"/>
        <v>4.5745639827090789E-2</v>
      </c>
      <c r="V418" s="138">
        <f ca="1"/>
        <v>0</v>
      </c>
      <c r="W418" s="137">
        <f ca="1"/>
        <v>0</v>
      </c>
      <c r="X418" s="155">
        <f ca="1"/>
        <v>0</v>
      </c>
      <c r="Y418" s="155">
        <f ca="1"/>
        <v>0</v>
      </c>
      <c r="Z418" s="155">
        <f ca="1"/>
        <v>0</v>
      </c>
      <c r="AA418" s="155">
        <f ca="1"/>
        <v>8.6744140107503087E-3</v>
      </c>
      <c r="AB418" s="155">
        <f ca="1"/>
        <v>0</v>
      </c>
      <c r="AC418" s="155">
        <f ca="1"/>
        <v>2.334575172035469E-2</v>
      </c>
      <c r="AD418" s="155">
        <f ca="1"/>
        <v>4.6885504252058841E-2</v>
      </c>
      <c r="AE418" s="138">
        <f ca="1"/>
        <v>0</v>
      </c>
      <c r="AG418" s="135"/>
      <c r="AH418" s="135">
        <v>1.338E-3</v>
      </c>
      <c r="AI418" s="135">
        <v>2.0349999999999999E-3</v>
      </c>
      <c r="AJ418" s="135">
        <v>2.843E-3</v>
      </c>
      <c r="AK418" s="135"/>
      <c r="AL418" s="135">
        <f t="shared" ca="1" si="17"/>
        <v>1.044403112904889E-3</v>
      </c>
      <c r="AM418" s="135">
        <f t="shared" ca="1" si="18"/>
        <v>2.3676201709448589E-3</v>
      </c>
      <c r="AN418" s="135">
        <f t="shared" ca="1" si="19"/>
        <v>4.8172047574375461E-3</v>
      </c>
      <c r="AP418" s="515">
        <f t="shared" ca="1" si="20"/>
        <v>2.7515427069532282E-4</v>
      </c>
      <c r="AQ418" s="515">
        <f t="shared" ca="1" si="21"/>
        <v>5.7219610269764148E-4</v>
      </c>
      <c r="AR418" s="515">
        <f t="shared" ca="1" si="22"/>
        <v>1.1464412375437494E-3</v>
      </c>
      <c r="AT418" s="515">
        <f t="shared" ca="1" si="14"/>
        <v>1.9588402640940843E-2</v>
      </c>
      <c r="AU418" s="515">
        <f t="shared" ca="1" si="15"/>
        <v>2.8400604105349107E-2</v>
      </c>
      <c r="AV418" s="515">
        <f t="shared" ca="1" si="16"/>
        <v>4.8721785223642136E-2</v>
      </c>
    </row>
    <row r="419" spans="1:48" ht="10.5" customHeight="1">
      <c r="A419" s="96">
        <v>408</v>
      </c>
      <c r="B419" s="68" t="s">
        <v>557</v>
      </c>
      <c r="C419" s="97">
        <v>0.4</v>
      </c>
      <c r="D419" s="69" t="s">
        <v>66</v>
      </c>
      <c r="E419" s="136"/>
      <c r="F419" s="154"/>
      <c r="G419" s="154"/>
      <c r="H419" s="154"/>
      <c r="I419" s="154">
        <v>4.0590000000000001E-3</v>
      </c>
      <c r="J419" s="154"/>
      <c r="K419" s="154">
        <v>6.953E-3</v>
      </c>
      <c r="L419" s="154">
        <v>1.0121E-2</v>
      </c>
      <c r="M419" s="154"/>
      <c r="N419" s="137" cm="1">
        <f t="array" aca="1" ref="N419:AE419" ca="1">IF(OR(B419="",NOT($J$2)),"",GetStripDefaultProbability(A419,B419,Parameter_Date,CDSRollDate,E419:M419,SpreadCurveMaturities,D419,C419,$J$4,$J$6))</f>
        <v>0</v>
      </c>
      <c r="O419" s="155">
        <f ca="1"/>
        <v>0</v>
      </c>
      <c r="P419" s="155">
        <f ca="1"/>
        <v>0</v>
      </c>
      <c r="Q419" s="155">
        <f ca="1"/>
        <v>0</v>
      </c>
      <c r="R419" s="155">
        <f ca="1"/>
        <v>2.0645839437064439E-2</v>
      </c>
      <c r="S419" s="155">
        <f ca="1"/>
        <v>0</v>
      </c>
      <c r="T419" s="155">
        <f ca="1"/>
        <v>5.8840978607859196E-2</v>
      </c>
      <c r="U419" s="155">
        <f ca="1"/>
        <v>0.11861848688803933</v>
      </c>
      <c r="V419" s="138">
        <f ca="1"/>
        <v>0</v>
      </c>
      <c r="W419" s="137">
        <f ca="1"/>
        <v>0</v>
      </c>
      <c r="X419" s="155">
        <f ca="1"/>
        <v>0</v>
      </c>
      <c r="Y419" s="155">
        <f ca="1"/>
        <v>0</v>
      </c>
      <c r="Z419" s="155">
        <f ca="1"/>
        <v>0</v>
      </c>
      <c r="AA419" s="155">
        <f ca="1"/>
        <v>2.1135394118448336E-2</v>
      </c>
      <c r="AB419" s="155">
        <f ca="1"/>
        <v>0</v>
      </c>
      <c r="AC419" s="155">
        <f ca="1"/>
        <v>5.9624951091816647E-2</v>
      </c>
      <c r="AD419" s="155">
        <f ca="1"/>
        <v>0.11969154743164345</v>
      </c>
      <c r="AE419" s="138">
        <f ca="1"/>
        <v>0</v>
      </c>
      <c r="AG419" s="135"/>
      <c r="AH419" s="135">
        <v>4.5620000000000001E-3</v>
      </c>
      <c r="AI419" s="135">
        <v>7.5360000000000002E-3</v>
      </c>
      <c r="AJ419" s="135">
        <v>1.0989000000000001E-2</v>
      </c>
      <c r="AK419" s="135"/>
      <c r="AL419" s="135">
        <f t="shared" ca="1" si="17"/>
        <v>3.5609618842093451E-3</v>
      </c>
      <c r="AM419" s="135">
        <f t="shared" ca="1" si="18"/>
        <v>8.7677570556464156E-3</v>
      </c>
      <c r="AN419" s="135">
        <f t="shared" ca="1" si="19"/>
        <v>1.8619860386732745E-2</v>
      </c>
      <c r="AP419" s="515">
        <f t="shared" ca="1" si="20"/>
        <v>9.3815678842456109E-4</v>
      </c>
      <c r="AQ419" s="515">
        <f t="shared" ca="1" si="21"/>
        <v>2.1189532333805538E-3</v>
      </c>
      <c r="AR419" s="515">
        <f t="shared" ca="1" si="22"/>
        <v>4.4313199997777922E-3</v>
      </c>
      <c r="AT419" s="515">
        <f t="shared" ca="1" si="14"/>
        <v>6.678796176978484E-2</v>
      </c>
      <c r="AU419" s="515">
        <f t="shared" ca="1" si="15"/>
        <v>0.10517294965007906</v>
      </c>
      <c r="AV419" s="515">
        <f t="shared" ca="1" si="16"/>
        <v>0.18832349554083835</v>
      </c>
    </row>
    <row r="420" spans="1:48" ht="10.5" customHeight="1">
      <c r="A420" s="96">
        <v>409</v>
      </c>
      <c r="B420" s="68" t="s">
        <v>558</v>
      </c>
      <c r="C420" s="97">
        <v>0.4</v>
      </c>
      <c r="D420" s="69" t="s">
        <v>66</v>
      </c>
      <c r="E420" s="136"/>
      <c r="F420" s="154"/>
      <c r="G420" s="154"/>
      <c r="H420" s="154"/>
      <c r="I420" s="154">
        <v>3.114E-3</v>
      </c>
      <c r="J420" s="154"/>
      <c r="K420" s="154">
        <v>5.1929999999999997E-3</v>
      </c>
      <c r="L420" s="154">
        <v>7.737E-3</v>
      </c>
      <c r="M420" s="154"/>
      <c r="N420" s="137" cm="1">
        <f t="array" aca="1" ref="N420:AE420" ca="1">IF(OR(B420="",NOT($J$2)),"",GetStripDefaultProbability(A420,B420,Parameter_Date,CDSRollDate,E420:M420,SpreadCurveMaturities,D420,C420,$J$4,$J$6))</f>
        <v>0</v>
      </c>
      <c r="O420" s="155">
        <f ca="1"/>
        <v>0</v>
      </c>
      <c r="P420" s="155">
        <f ca="1"/>
        <v>0</v>
      </c>
      <c r="Q420" s="155">
        <f ca="1"/>
        <v>0</v>
      </c>
      <c r="R420" s="155">
        <f ca="1"/>
        <v>1.5876805447746056E-2</v>
      </c>
      <c r="S420" s="155">
        <f ca="1"/>
        <v>0</v>
      </c>
      <c r="T420" s="155">
        <f ca="1"/>
        <v>4.4154307506959145E-2</v>
      </c>
      <c r="U420" s="155">
        <f ca="1"/>
        <v>9.1647434532234451E-2</v>
      </c>
      <c r="V420" s="138">
        <f ca="1"/>
        <v>0</v>
      </c>
      <c r="W420" s="137">
        <f ca="1"/>
        <v>0</v>
      </c>
      <c r="X420" s="155">
        <f ca="1"/>
        <v>0</v>
      </c>
      <c r="Y420" s="155">
        <f ca="1"/>
        <v>0</v>
      </c>
      <c r="Z420" s="155">
        <f ca="1"/>
        <v>0</v>
      </c>
      <c r="AA420" s="155">
        <f ca="1"/>
        <v>1.6368744050097028E-2</v>
      </c>
      <c r="AB420" s="155">
        <f ca="1"/>
        <v>0</v>
      </c>
      <c r="AC420" s="155">
        <f ca="1"/>
        <v>4.496914608489877E-2</v>
      </c>
      <c r="AD420" s="155">
        <f ca="1"/>
        <v>9.2730727281221115E-2</v>
      </c>
      <c r="AE420" s="138">
        <f ca="1"/>
        <v>0</v>
      </c>
      <c r="AG420" s="135"/>
      <c r="AH420" s="135">
        <v>2.6589999999999999E-3</v>
      </c>
      <c r="AI420" s="135">
        <v>4.2420000000000001E-3</v>
      </c>
      <c r="AJ420" s="135">
        <v>5.659E-3</v>
      </c>
      <c r="AK420" s="135"/>
      <c r="AL420" s="135">
        <f t="shared" ca="1" si="17"/>
        <v>2.0755365300553809E-3</v>
      </c>
      <c r="AM420" s="135">
        <f t="shared" ca="1" si="18"/>
        <v>4.935353692947465E-3</v>
      </c>
      <c r="AN420" s="135">
        <f t="shared" ca="1" si="19"/>
        <v>9.588660472155848E-3</v>
      </c>
      <c r="AP420" s="515">
        <f t="shared" ca="1" si="20"/>
        <v>5.4681256037284257E-4</v>
      </c>
      <c r="AQ420" s="515">
        <f t="shared" ca="1" si="21"/>
        <v>1.1927547261146906E-3</v>
      </c>
      <c r="AR420" s="515">
        <f t="shared" ca="1" si="22"/>
        <v>2.2819947109602805E-3</v>
      </c>
      <c r="AT420" s="515">
        <f t="shared" ca="1" si="14"/>
        <v>3.8927924231884674E-2</v>
      </c>
      <c r="AU420" s="515">
        <f t="shared" ca="1" si="15"/>
        <v>5.9201652390609795E-2</v>
      </c>
      <c r="AV420" s="515">
        <f t="shared" ca="1" si="16"/>
        <v>9.6980859156029137E-2</v>
      </c>
    </row>
    <row r="421" spans="1:48" ht="10.5" customHeight="1">
      <c r="A421" s="96">
        <v>410</v>
      </c>
      <c r="B421" s="68" t="s">
        <v>559</v>
      </c>
      <c r="C421" s="97">
        <v>0.4</v>
      </c>
      <c r="D421" s="69" t="s">
        <v>66</v>
      </c>
      <c r="E421" s="136"/>
      <c r="F421" s="154"/>
      <c r="G421" s="154"/>
      <c r="H421" s="154"/>
      <c r="I421" s="154">
        <v>1.8439999999999999E-3</v>
      </c>
      <c r="J421" s="154"/>
      <c r="K421" s="154">
        <v>2.6050000000000001E-3</v>
      </c>
      <c r="L421" s="154">
        <v>3.6050000000000001E-3</v>
      </c>
      <c r="M421" s="154"/>
      <c r="N421" s="137" cm="1">
        <f t="array" aca="1" ref="N421:AE421" ca="1">IF(OR(B421="",NOT($J$2)),"",GetStripDefaultProbability(A421,B421,Parameter_Date,CDSRollDate,E421:M421,SpreadCurveMaturities,D421,C421,$J$4,$J$6))</f>
        <v>0</v>
      </c>
      <c r="O421" s="155">
        <f ca="1"/>
        <v>0</v>
      </c>
      <c r="P421" s="155">
        <f ca="1"/>
        <v>0</v>
      </c>
      <c r="Q421" s="155">
        <f ca="1"/>
        <v>0</v>
      </c>
      <c r="R421" s="155">
        <f ca="1"/>
        <v>9.4318069339068833E-3</v>
      </c>
      <c r="S421" s="155">
        <f ca="1"/>
        <v>0</v>
      </c>
      <c r="T421" s="155">
        <f ca="1"/>
        <v>2.2223375406185464E-2</v>
      </c>
      <c r="U421" s="155">
        <f ca="1"/>
        <v>4.3156936974890314E-2</v>
      </c>
      <c r="V421" s="138">
        <f ca="1"/>
        <v>0</v>
      </c>
      <c r="W421" s="137">
        <f ca="1"/>
        <v>0</v>
      </c>
      <c r="X421" s="155">
        <f ca="1"/>
        <v>0</v>
      </c>
      <c r="Y421" s="155">
        <f ca="1"/>
        <v>0</v>
      </c>
      <c r="Z421" s="155">
        <f ca="1"/>
        <v>0</v>
      </c>
      <c r="AA421" s="155">
        <f ca="1"/>
        <v>9.9269672300079659E-3</v>
      </c>
      <c r="AB421" s="155">
        <f ca="1"/>
        <v>0</v>
      </c>
      <c r="AC421" s="155">
        <f ca="1"/>
        <v>2.3057251148801861E-2</v>
      </c>
      <c r="AD421" s="155">
        <f ca="1"/>
        <v>4.4298817974151694E-2</v>
      </c>
      <c r="AE421" s="138">
        <f ca="1"/>
        <v>0</v>
      </c>
      <c r="AG421" s="135"/>
      <c r="AH421" s="135">
        <v>1.866E-3</v>
      </c>
      <c r="AI421" s="135">
        <v>3.0259999999999999E-2</v>
      </c>
      <c r="AJ421" s="135">
        <v>4.2849999999999997E-3</v>
      </c>
      <c r="AK421" s="135"/>
      <c r="AL421" s="135">
        <f t="shared" ca="1" si="17"/>
        <v>1.4565442516296884E-3</v>
      </c>
      <c r="AM421" s="135">
        <f t="shared" ca="1" si="18"/>
        <v>3.52059883895781E-2</v>
      </c>
      <c r="AN421" s="135">
        <f t="shared" ca="1" si="19"/>
        <v>7.260542520443153E-3</v>
      </c>
      <c r="AP421" s="515">
        <f t="shared" ca="1" si="20"/>
        <v>3.8373532818944124E-4</v>
      </c>
      <c r="AQ421" s="515">
        <f t="shared" ca="1" si="21"/>
        <v>8.5084295172632093E-3</v>
      </c>
      <c r="AR421" s="515">
        <f t="shared" ca="1" si="22"/>
        <v>1.7279284920418453E-3</v>
      </c>
      <c r="AT421" s="515">
        <f t="shared" ca="1" si="14"/>
        <v>2.7318355252612565E-2</v>
      </c>
      <c r="AU421" s="515">
        <f t="shared" ca="1" si="15"/>
        <v>0.4223107028146752</v>
      </c>
      <c r="AV421" s="515">
        <f t="shared" ca="1" si="16"/>
        <v>7.3433995667712457E-2</v>
      </c>
    </row>
    <row r="422" spans="1:48" ht="10.5" customHeight="1">
      <c r="A422" s="96">
        <v>411</v>
      </c>
      <c r="B422" s="68" t="s">
        <v>565</v>
      </c>
      <c r="C422" s="97">
        <v>0.4</v>
      </c>
      <c r="D422" s="69" t="s">
        <v>66</v>
      </c>
      <c r="E422" s="136"/>
      <c r="F422" s="154"/>
      <c r="G422" s="154"/>
      <c r="H422" s="154"/>
      <c r="I422" s="154">
        <v>2.9399999999999999E-3</v>
      </c>
      <c r="J422" s="154"/>
      <c r="K422" s="154">
        <v>5.1380000000000002E-3</v>
      </c>
      <c r="L422" s="154">
        <v>7.4939999999999998E-3</v>
      </c>
      <c r="M422" s="154"/>
      <c r="N422" s="137" cm="1">
        <f t="array" aca="1" ref="N422:AE422" ca="1">IF(OR(B422="",NOT($J$2)),"",GetStripDefaultProbability(A422,B422,Parameter_Date,CDSRollDate,E422:M422,SpreadCurveMaturities,D422,C422,$J$4,$J$6))</f>
        <v>0</v>
      </c>
      <c r="O422" s="155">
        <f ca="1"/>
        <v>0</v>
      </c>
      <c r="P422" s="155">
        <f ca="1"/>
        <v>0</v>
      </c>
      <c r="Q422" s="155">
        <f ca="1"/>
        <v>0</v>
      </c>
      <c r="R422" s="155">
        <f ca="1"/>
        <v>1.4996225110196715E-2</v>
      </c>
      <c r="S422" s="155">
        <f ca="1"/>
        <v>0</v>
      </c>
      <c r="T422" s="155">
        <f ca="1"/>
        <v>4.3756851044223555E-2</v>
      </c>
      <c r="U422" s="155">
        <f ca="1"/>
        <v>8.8823298971795417E-2</v>
      </c>
      <c r="V422" s="138">
        <f ca="1"/>
        <v>0</v>
      </c>
      <c r="W422" s="137">
        <f ca="1"/>
        <v>0</v>
      </c>
      <c r="X422" s="155">
        <f ca="1"/>
        <v>0</v>
      </c>
      <c r="Y422" s="155">
        <f ca="1"/>
        <v>0</v>
      </c>
      <c r="Z422" s="155">
        <f ca="1"/>
        <v>0</v>
      </c>
      <c r="AA422" s="155">
        <f ca="1"/>
        <v>1.5488603892676589E-2</v>
      </c>
      <c r="AB422" s="155">
        <f ca="1"/>
        <v>0</v>
      </c>
      <c r="AC422" s="155">
        <f ca="1"/>
        <v>4.4572169244002313E-2</v>
      </c>
      <c r="AD422" s="155">
        <f ca="1"/>
        <v>8.9910864772609234E-2</v>
      </c>
      <c r="AE422" s="138">
        <f ca="1"/>
        <v>0</v>
      </c>
      <c r="AG422" s="135"/>
      <c r="AH422" s="135">
        <v>3.153E-3</v>
      </c>
      <c r="AI422" s="135">
        <v>4.9170000000000004E-3</v>
      </c>
      <c r="AJ422" s="135">
        <v>6.8279999999999999E-3</v>
      </c>
      <c r="AK422" s="135"/>
      <c r="AL422" s="135">
        <f t="shared" ca="1" si="17"/>
        <v>2.4611382772713863E-3</v>
      </c>
      <c r="AM422" s="135">
        <f t="shared" ca="1" si="18"/>
        <v>5.7206822508775786E-3</v>
      </c>
      <c r="AN422" s="135">
        <f t="shared" ca="1" si="19"/>
        <v>1.1569424581000199E-2</v>
      </c>
      <c r="AP422" s="515">
        <f t="shared" ca="1" si="20"/>
        <v>6.4840165583135488E-4</v>
      </c>
      <c r="AQ422" s="515">
        <f t="shared" ca="1" si="21"/>
        <v>1.382549502193761E-3</v>
      </c>
      <c r="AR422" s="515">
        <f t="shared" ca="1" si="22"/>
        <v>2.7533945726165043E-3</v>
      </c>
      <c r="AT422" s="515">
        <f t="shared" ca="1" si="14"/>
        <v>4.6160114743562387E-2</v>
      </c>
      <c r="AU422" s="515">
        <f t="shared" ca="1" si="15"/>
        <v>6.862200018968137E-2</v>
      </c>
      <c r="AV422" s="515">
        <f t="shared" ca="1" si="16"/>
        <v>0.11701454432185314</v>
      </c>
    </row>
    <row r="423" spans="1:48" ht="10.5" customHeight="1">
      <c r="A423" s="96">
        <v>412</v>
      </c>
      <c r="B423" s="68" t="s">
        <v>566</v>
      </c>
      <c r="C423" s="97">
        <v>0.4</v>
      </c>
      <c r="D423" s="69" t="s">
        <v>66</v>
      </c>
      <c r="E423" s="136"/>
      <c r="F423" s="154"/>
      <c r="G423" s="154"/>
      <c r="H423" s="154"/>
      <c r="I423" s="154">
        <v>3.604E-3</v>
      </c>
      <c r="J423" s="154"/>
      <c r="K423" s="154">
        <v>6.306E-3</v>
      </c>
      <c r="L423" s="154">
        <v>9.0629999999999999E-3</v>
      </c>
      <c r="M423" s="154"/>
      <c r="N423" s="137" cm="1">
        <f t="array" aca="1" ref="N423:AE423" ca="1">IF(OR(B423="",NOT($J$2)),"",GetStripDefaultProbability(A423,B423,Parameter_Date,CDSRollDate,E423:M423,SpreadCurveMaturities,D423,C423,$J$4,$J$6))</f>
        <v>0</v>
      </c>
      <c r="O423" s="155">
        <f ca="1"/>
        <v>0</v>
      </c>
      <c r="P423" s="155">
        <f ca="1"/>
        <v>0</v>
      </c>
      <c r="Q423" s="155">
        <f ca="1"/>
        <v>0</v>
      </c>
      <c r="R423" s="155">
        <f ca="1"/>
        <v>1.8352464315243289E-2</v>
      </c>
      <c r="S423" s="155">
        <f ca="1"/>
        <v>0</v>
      </c>
      <c r="T423" s="155">
        <f ca="1"/>
        <v>5.3510512524914899E-2</v>
      </c>
      <c r="U423" s="155">
        <f ca="1"/>
        <v>0.10663781293659147</v>
      </c>
      <c r="V423" s="138">
        <f ca="1"/>
        <v>0</v>
      </c>
      <c r="W423" s="137">
        <f ca="1"/>
        <v>0</v>
      </c>
      <c r="X423" s="155">
        <f ca="1"/>
        <v>0</v>
      </c>
      <c r="Y423" s="155">
        <f ca="1"/>
        <v>0</v>
      </c>
      <c r="Z423" s="155">
        <f ca="1"/>
        <v>0</v>
      </c>
      <c r="AA423" s="155">
        <f ca="1"/>
        <v>1.8843165397581907E-2</v>
      </c>
      <c r="AB423" s="155">
        <f ca="1"/>
        <v>0</v>
      </c>
      <c r="AC423" s="155">
        <f ca="1"/>
        <v>5.4298925213549176E-2</v>
      </c>
      <c r="AD423" s="155">
        <f ca="1"/>
        <v>0.10772239694388686</v>
      </c>
      <c r="AE423" s="138">
        <f ca="1"/>
        <v>0</v>
      </c>
      <c r="AG423" s="135"/>
      <c r="AH423" s="135">
        <v>6.7999999999999996E-3</v>
      </c>
      <c r="AI423" s="135">
        <v>1.1743E-2</v>
      </c>
      <c r="AJ423" s="135">
        <v>1.5325E-2</v>
      </c>
      <c r="AK423" s="135"/>
      <c r="AL423" s="135">
        <f t="shared" ca="1" si="17"/>
        <v>5.3078783017587779E-3</v>
      </c>
      <c r="AM423" s="135">
        <f t="shared" ca="1" si="18"/>
        <v>1.3662390008553061E-2</v>
      </c>
      <c r="AN423" s="135">
        <f t="shared" ca="1" si="19"/>
        <v>2.5966817765645585E-2</v>
      </c>
      <c r="AP423" s="515">
        <f t="shared" ca="1" si="20"/>
        <v>1.398392407121222E-3</v>
      </c>
      <c r="AQ423" s="515">
        <f t="shared" ca="1" si="21"/>
        <v>3.3018667488837368E-3</v>
      </c>
      <c r="AR423" s="515">
        <f t="shared" ca="1" si="22"/>
        <v>6.1798142685043833E-3</v>
      </c>
      <c r="AT423" s="515">
        <f t="shared" ca="1" si="14"/>
        <v>9.9552419998802474E-2</v>
      </c>
      <c r="AU423" s="515">
        <f t="shared" ca="1" si="15"/>
        <v>0.16388613956221848</v>
      </c>
      <c r="AV423" s="515">
        <f t="shared" ca="1" si="16"/>
        <v>0.26263150142536607</v>
      </c>
    </row>
    <row r="424" spans="1:48" ht="10.5" customHeight="1">
      <c r="A424" s="96">
        <v>413</v>
      </c>
      <c r="B424" s="68" t="s">
        <v>576</v>
      </c>
      <c r="C424" s="97">
        <v>0.4</v>
      </c>
      <c r="D424" s="69" t="s">
        <v>66</v>
      </c>
      <c r="E424" s="136"/>
      <c r="F424" s="154"/>
      <c r="G424" s="154"/>
      <c r="H424" s="154"/>
      <c r="I424" s="154">
        <v>2.4229999999999998E-3</v>
      </c>
      <c r="J424" s="154"/>
      <c r="K424" s="154">
        <v>3.9830000000000004E-3</v>
      </c>
      <c r="L424" s="154">
        <v>6.0039999999999998E-3</v>
      </c>
      <c r="M424" s="154"/>
      <c r="N424" s="137" cm="1">
        <f t="array" aca="1" ref="N424:AE424" ca="1">IF(OR(B424="",NOT($J$2)),"",GetStripDefaultProbability(A424,B424,Parameter_Date,CDSRollDate,E424:M424,SpreadCurveMaturities,D424,C424,$J$4,$J$6))</f>
        <v>0</v>
      </c>
      <c r="O424" s="155">
        <f ca="1"/>
        <v>0</v>
      </c>
      <c r="P424" s="155">
        <f ca="1"/>
        <v>0</v>
      </c>
      <c r="Q424" s="155">
        <f ca="1"/>
        <v>0</v>
      </c>
      <c r="R424" s="155">
        <f ca="1"/>
        <v>1.2375232896872146E-2</v>
      </c>
      <c r="S424" s="155">
        <f ca="1"/>
        <v>0</v>
      </c>
      <c r="T424" s="155">
        <f ca="1"/>
        <v>3.3982803791656524E-2</v>
      </c>
      <c r="U424" s="155">
        <f ca="1"/>
        <v>7.1639574853366694E-2</v>
      </c>
      <c r="V424" s="138">
        <f ca="1"/>
        <v>0</v>
      </c>
      <c r="W424" s="137">
        <f ca="1"/>
        <v>0</v>
      </c>
      <c r="X424" s="155">
        <f ca="1"/>
        <v>0</v>
      </c>
      <c r="Y424" s="155">
        <f ca="1"/>
        <v>0</v>
      </c>
      <c r="Z424" s="155">
        <f ca="1"/>
        <v>0</v>
      </c>
      <c r="AA424" s="155">
        <f ca="1"/>
        <v>1.2868921847863923E-2</v>
      </c>
      <c r="AB424" s="155">
        <f ca="1"/>
        <v>0</v>
      </c>
      <c r="AC424" s="155">
        <f ca="1"/>
        <v>3.4807008511714366E-2</v>
      </c>
      <c r="AD424" s="155">
        <f ca="1"/>
        <v>7.2748904338161946E-2</v>
      </c>
      <c r="AE424" s="138">
        <f ca="1"/>
        <v>0</v>
      </c>
      <c r="AG424" s="135"/>
      <c r="AH424" s="135">
        <v>1.8079999999999999E-3</v>
      </c>
      <c r="AI424" s="135">
        <v>3.0379999999999999E-3</v>
      </c>
      <c r="AJ424" s="135">
        <v>4.2700000000000004E-3</v>
      </c>
      <c r="AK424" s="135"/>
      <c r="AL424" s="135">
        <f t="shared" ca="1" si="17"/>
        <v>1.4112711719970398E-3</v>
      </c>
      <c r="AM424" s="135">
        <f t="shared" ca="1" si="18"/>
        <v>3.5345602355432342E-3</v>
      </c>
      <c r="AN424" s="135">
        <f t="shared" ca="1" si="19"/>
        <v>7.2351263855991287E-3</v>
      </c>
      <c r="AP424" s="515">
        <f t="shared" ca="1" si="20"/>
        <v>3.7180786354046612E-4</v>
      </c>
      <c r="AQ424" s="515">
        <f t="shared" ca="1" si="21"/>
        <v>8.5421708107883787E-4</v>
      </c>
      <c r="AR424" s="515">
        <f t="shared" ca="1" si="22"/>
        <v>1.7218797341933909E-3</v>
      </c>
      <c r="AT424" s="515">
        <f t="shared" ca="1" si="14"/>
        <v>2.6469231670269835E-2</v>
      </c>
      <c r="AU424" s="515">
        <f t="shared" ca="1" si="15"/>
        <v>4.2398543131228796E-2</v>
      </c>
      <c r="AV424" s="515">
        <f t="shared" ca="1" si="16"/>
        <v>7.3176933839237401E-2</v>
      </c>
    </row>
    <row r="425" spans="1:48" ht="10.5" customHeight="1">
      <c r="A425" s="96">
        <v>414</v>
      </c>
      <c r="B425" s="68" t="s">
        <v>614</v>
      </c>
      <c r="C425" s="97">
        <v>0.4</v>
      </c>
      <c r="D425" s="69" t="s">
        <v>66</v>
      </c>
      <c r="E425" s="136"/>
      <c r="F425" s="154"/>
      <c r="G425" s="154"/>
      <c r="H425" s="154"/>
      <c r="I425" s="154">
        <v>4.1190000000000003E-3</v>
      </c>
      <c r="J425" s="154"/>
      <c r="K425" s="154">
        <v>6.1469999999999997E-3</v>
      </c>
      <c r="L425" s="154">
        <v>8.4799999999999997E-3</v>
      </c>
      <c r="M425" s="154"/>
      <c r="N425" s="137" cm="1">
        <f t="array" aca="1" ref="N425:AE425" ca="1">IF(OR(B425="",NOT($J$2)),"",GetStripDefaultProbability(A425,B425,Parameter_Date,CDSRollDate,E425:M425,SpreadCurveMaturities,D425,C425,$J$4,$J$6))</f>
        <v>0</v>
      </c>
      <c r="O425" s="155">
        <f ca="1"/>
        <v>0</v>
      </c>
      <c r="P425" s="155">
        <f ca="1"/>
        <v>0</v>
      </c>
      <c r="Q425" s="155">
        <f ca="1"/>
        <v>0</v>
      </c>
      <c r="R425" s="155">
        <f ca="1"/>
        <v>2.094787178572155E-2</v>
      </c>
      <c r="S425" s="155">
        <f ca="1"/>
        <v>0</v>
      </c>
      <c r="T425" s="155">
        <f ca="1"/>
        <v>5.1906379774864453E-2</v>
      </c>
      <c r="U425" s="155">
        <f ca="1"/>
        <v>9.9495723262073565E-2</v>
      </c>
      <c r="V425" s="138">
        <f ca="1"/>
        <v>0</v>
      </c>
      <c r="W425" s="137">
        <f ca="1"/>
        <v>0</v>
      </c>
      <c r="X425" s="155">
        <f ca="1"/>
        <v>0</v>
      </c>
      <c r="Y425" s="155">
        <f ca="1"/>
        <v>0</v>
      </c>
      <c r="Z425" s="155">
        <f ca="1"/>
        <v>0</v>
      </c>
      <c r="AA425" s="155">
        <f ca="1"/>
        <v>2.143727548871921E-2</v>
      </c>
      <c r="AB425" s="155">
        <f ca="1"/>
        <v>0</v>
      </c>
      <c r="AC425" s="155">
        <f ca="1"/>
        <v>5.2696128683937804E-2</v>
      </c>
      <c r="AD425" s="155">
        <f ca="1"/>
        <v>0.1005691398883175</v>
      </c>
      <c r="AE425" s="138">
        <f ca="1"/>
        <v>0</v>
      </c>
      <c r="AG425" s="135"/>
      <c r="AH425" s="135">
        <v>1.957E-3</v>
      </c>
      <c r="AI425" s="135">
        <v>2.7009999999999998E-3</v>
      </c>
      <c r="AJ425" s="135">
        <v>3.7780000000000001E-3</v>
      </c>
      <c r="AK425" s="135"/>
      <c r="AL425" s="135">
        <f t="shared" ca="1" si="17"/>
        <v>1.5275761524326365E-3</v>
      </c>
      <c r="AM425" s="135">
        <f t="shared" ca="1" si="18"/>
        <v>3.1424776814359037E-3</v>
      </c>
      <c r="AN425" s="135">
        <f t="shared" ca="1" si="19"/>
        <v>6.401477162715107E-3</v>
      </c>
      <c r="AP425" s="515">
        <f t="shared" ca="1" si="20"/>
        <v>4.0244910893179878E-4</v>
      </c>
      <c r="AQ425" s="515">
        <f t="shared" ca="1" si="21"/>
        <v>7.5946028176232419E-4</v>
      </c>
      <c r="AR425" s="515">
        <f t="shared" ca="1" si="22"/>
        <v>1.5234804767640822E-3</v>
      </c>
      <c r="AT425" s="515">
        <f t="shared" ca="1" si="14"/>
        <v>2.8650600873184773E-2</v>
      </c>
      <c r="AU425" s="515">
        <f t="shared" ca="1" si="15"/>
        <v>3.7695347267099728E-2</v>
      </c>
      <c r="AV425" s="515">
        <f t="shared" ca="1" si="16"/>
        <v>6.474530586525501E-2</v>
      </c>
    </row>
    <row r="426" spans="1:48" ht="10.5" customHeight="1">
      <c r="A426" s="96">
        <v>415</v>
      </c>
      <c r="B426" s="68" t="s">
        <v>567</v>
      </c>
      <c r="C426" s="97">
        <v>0.4</v>
      </c>
      <c r="D426" s="69" t="s">
        <v>66</v>
      </c>
      <c r="E426" s="136"/>
      <c r="F426" s="154"/>
      <c r="G426" s="154"/>
      <c r="H426" s="154"/>
      <c r="I426" s="154">
        <v>4.1130000000000003E-3</v>
      </c>
      <c r="J426" s="154"/>
      <c r="K426" s="154">
        <v>6.5919999999999998E-3</v>
      </c>
      <c r="L426" s="154">
        <v>9.4090000000000007E-3</v>
      </c>
      <c r="M426" s="154"/>
      <c r="N426" s="137" cm="1">
        <f t="array" aca="1" ref="N426:AE426" ca="1">IF(OR(B426="",NOT($J$2)),"",GetStripDefaultProbability(A426,B426,Parameter_Date,CDSRollDate,E426:M426,SpreadCurveMaturities,D426,C426,$J$4,$J$6))</f>
        <v>0</v>
      </c>
      <c r="O426" s="155">
        <f ca="1"/>
        <v>0</v>
      </c>
      <c r="P426" s="155">
        <f ca="1"/>
        <v>0</v>
      </c>
      <c r="Q426" s="155">
        <f ca="1"/>
        <v>0</v>
      </c>
      <c r="R426" s="155">
        <f ca="1"/>
        <v>2.0917672642824847E-2</v>
      </c>
      <c r="S426" s="155">
        <f ca="1"/>
        <v>0</v>
      </c>
      <c r="T426" s="155">
        <f ca="1"/>
        <v>5.5724246817947076E-2</v>
      </c>
      <c r="U426" s="155">
        <f ca="1"/>
        <v>0.11032992742337844</v>
      </c>
      <c r="V426" s="138">
        <f ca="1"/>
        <v>0</v>
      </c>
      <c r="W426" s="137">
        <f ca="1"/>
        <v>0</v>
      </c>
      <c r="X426" s="155">
        <f ca="1"/>
        <v>0</v>
      </c>
      <c r="Y426" s="155">
        <f ca="1"/>
        <v>0</v>
      </c>
      <c r="Z426" s="155">
        <f ca="1"/>
        <v>0</v>
      </c>
      <c r="AA426" s="155">
        <f ca="1"/>
        <v>2.1407091441651871E-2</v>
      </c>
      <c r="AB426" s="155">
        <f ca="1"/>
        <v>0</v>
      </c>
      <c r="AC426" s="155">
        <f ca="1"/>
        <v>5.6510815496437883E-2</v>
      </c>
      <c r="AD426" s="155">
        <f ca="1"/>
        <v>0.11140990904963455</v>
      </c>
      <c r="AE426" s="138">
        <f ca="1"/>
        <v>0</v>
      </c>
      <c r="AG426" s="135"/>
      <c r="AH426" s="135">
        <v>2.3579999999999999E-3</v>
      </c>
      <c r="AI426" s="135">
        <v>4.816E-3</v>
      </c>
      <c r="AJ426" s="135">
        <v>7.6169999999999996E-3</v>
      </c>
      <c r="AK426" s="135"/>
      <c r="AL426" s="135">
        <f t="shared" ca="1" si="17"/>
        <v>1.8405848581687057E-3</v>
      </c>
      <c r="AM426" s="135">
        <f t="shared" ca="1" si="18"/>
        <v>5.6031738296169241E-3</v>
      </c>
      <c r="AN426" s="135">
        <f t="shared" ca="1" si="19"/>
        <v>1.2906313273795916E-2</v>
      </c>
      <c r="AP426" s="515">
        <f t="shared" ca="1" si="20"/>
        <v>4.849131317635061E-4</v>
      </c>
      <c r="AQ426" s="515">
        <f t="shared" ca="1" si="21"/>
        <v>1.3541505801434111E-3</v>
      </c>
      <c r="AR426" s="515">
        <f t="shared" ca="1" si="22"/>
        <v>3.0715592354452126E-3</v>
      </c>
      <c r="AT426" s="515">
        <f t="shared" ca="1" si="14"/>
        <v>3.452126564076121E-2</v>
      </c>
      <c r="AU426" s="515">
        <f t="shared" ca="1" si="15"/>
        <v>6.7212437037523984E-2</v>
      </c>
      <c r="AV426" s="515">
        <f t="shared" ca="1" si="16"/>
        <v>0.13053599649964195</v>
      </c>
    </row>
    <row r="427" spans="1:48" ht="10.5" customHeight="1">
      <c r="A427" s="96">
        <v>416</v>
      </c>
      <c r="B427" s="68" t="s">
        <v>577</v>
      </c>
      <c r="C427" s="97">
        <v>0.4</v>
      </c>
      <c r="D427" s="69" t="s">
        <v>66</v>
      </c>
      <c r="E427" s="136"/>
      <c r="F427" s="154"/>
      <c r="G427" s="154"/>
      <c r="H427" s="154"/>
      <c r="I427" s="154">
        <v>3.3249999999999998E-3</v>
      </c>
      <c r="J427" s="154"/>
      <c r="K427" s="154">
        <v>6.195E-3</v>
      </c>
      <c r="L427" s="154">
        <v>9.2610000000000001E-3</v>
      </c>
      <c r="M427" s="154"/>
      <c r="N427" s="137" cm="1">
        <f t="array" aca="1" ref="N427:AE427" ca="1">IF(OR(B427="",NOT($J$2)),"",GetStripDefaultProbability(A427,B427,Parameter_Date,CDSRollDate,E427:M427,SpreadCurveMaturities,D427,C427,$J$4,$J$6))</f>
        <v>0</v>
      </c>
      <c r="O427" s="155">
        <f ca="1"/>
        <v>0</v>
      </c>
      <c r="P427" s="155">
        <f ca="1"/>
        <v>0</v>
      </c>
      <c r="Q427" s="155">
        <f ca="1"/>
        <v>0</v>
      </c>
      <c r="R427" s="155">
        <f ca="1"/>
        <v>1.6943602153766446E-2</v>
      </c>
      <c r="S427" s="155">
        <f ca="1"/>
        <v>0</v>
      </c>
      <c r="T427" s="155">
        <f ca="1"/>
        <v>5.2687064191967337E-2</v>
      </c>
      <c r="U427" s="155">
        <f ca="1"/>
        <v>0.1092326977830741</v>
      </c>
      <c r="V427" s="138">
        <f ca="1"/>
        <v>0</v>
      </c>
      <c r="W427" s="137">
        <f ca="1"/>
        <v>0</v>
      </c>
      <c r="X427" s="155">
        <f ca="1"/>
        <v>0</v>
      </c>
      <c r="Y427" s="155">
        <f ca="1"/>
        <v>0</v>
      </c>
      <c r="Z427" s="155">
        <f ca="1"/>
        <v>0</v>
      </c>
      <c r="AA427" s="155">
        <f ca="1"/>
        <v>1.7435007491079846E-2</v>
      </c>
      <c r="AB427" s="155">
        <f ca="1"/>
        <v>0</v>
      </c>
      <c r="AC427" s="155">
        <f ca="1"/>
        <v>5.3476162801744609E-2</v>
      </c>
      <c r="AD427" s="155">
        <f ca="1"/>
        <v>0.11031630077905785</v>
      </c>
      <c r="AE427" s="138">
        <f ca="1"/>
        <v>0</v>
      </c>
      <c r="AG427" s="135"/>
      <c r="AH427" s="135">
        <v>2.2920000000000002E-3</v>
      </c>
      <c r="AI427" s="135">
        <v>3.6840000000000002E-3</v>
      </c>
      <c r="AJ427" s="135">
        <v>5.0730000000000003E-3</v>
      </c>
      <c r="AK427" s="135"/>
      <c r="AL427" s="135">
        <f t="shared" ca="1" si="17"/>
        <v>1.7890672158281059E-3</v>
      </c>
      <c r="AM427" s="135">
        <f t="shared" ca="1" si="18"/>
        <v>4.2861487517252385E-3</v>
      </c>
      <c r="AN427" s="135">
        <f t="shared" ca="1" si="19"/>
        <v>8.5957368042492693E-3</v>
      </c>
      <c r="AP427" s="515">
        <f t="shared" ca="1" si="20"/>
        <v>4.7134049957674135E-4</v>
      </c>
      <c r="AQ427" s="515">
        <f t="shared" ca="1" si="21"/>
        <v>1.0358577112226592E-3</v>
      </c>
      <c r="AR427" s="515">
        <f t="shared" ca="1" si="22"/>
        <v>2.0456899043473239E-3</v>
      </c>
      <c r="AT427" s="515">
        <f t="shared" ca="1" si="14"/>
        <v>3.3555021564302255E-2</v>
      </c>
      <c r="AU427" s="515">
        <f t="shared" ca="1" si="15"/>
        <v>5.1414164876710626E-2</v>
      </c>
      <c r="AV427" s="515">
        <f t="shared" ca="1" si="16"/>
        <v>8.6938310390269627E-2</v>
      </c>
    </row>
    <row r="428" spans="1:48" ht="10.5" customHeight="1">
      <c r="A428" s="96">
        <v>417</v>
      </c>
      <c r="B428" s="68" t="s">
        <v>568</v>
      </c>
      <c r="C428" s="97">
        <v>0.4</v>
      </c>
      <c r="D428" s="69" t="s">
        <v>66</v>
      </c>
      <c r="E428" s="136"/>
      <c r="F428" s="154"/>
      <c r="G428" s="154"/>
      <c r="H428" s="154"/>
      <c r="I428" s="154">
        <v>2.6879999999999999E-3</v>
      </c>
      <c r="J428" s="154"/>
      <c r="K428" s="154">
        <v>4.4660000000000004E-3</v>
      </c>
      <c r="L428" s="154">
        <v>5.9670000000000001E-3</v>
      </c>
      <c r="M428" s="154"/>
      <c r="N428" s="137" cm="1">
        <f t="array" aca="1" ref="N428:AE428" ca="1">IF(OR(B428="",NOT($J$2)),"",GetStripDefaultProbability(A428,B428,Parameter_Date,CDSRollDate,E428:M428,SpreadCurveMaturities,D428,C428,$J$4,$J$6))</f>
        <v>0</v>
      </c>
      <c r="O428" s="155">
        <f ca="1"/>
        <v>0</v>
      </c>
      <c r="P428" s="155">
        <f ca="1"/>
        <v>0</v>
      </c>
      <c r="Q428" s="155">
        <f ca="1"/>
        <v>0</v>
      </c>
      <c r="R428" s="155">
        <f ca="1"/>
        <v>1.371953393761971E-2</v>
      </c>
      <c r="S428" s="155">
        <f ca="1"/>
        <v>0</v>
      </c>
      <c r="T428" s="155">
        <f ca="1"/>
        <v>3.8056908697734371E-2</v>
      </c>
      <c r="U428" s="155">
        <f ca="1"/>
        <v>7.0779486990554585E-2</v>
      </c>
      <c r="V428" s="138">
        <f ca="1"/>
        <v>0</v>
      </c>
      <c r="W428" s="137">
        <f ca="1"/>
        <v>0</v>
      </c>
      <c r="X428" s="155">
        <f ca="1"/>
        <v>0</v>
      </c>
      <c r="Y428" s="155">
        <f ca="1"/>
        <v>0</v>
      </c>
      <c r="Z428" s="155">
        <f ca="1"/>
        <v>0</v>
      </c>
      <c r="AA428" s="155">
        <f ca="1"/>
        <v>1.4212550906109067E-2</v>
      </c>
      <c r="AB428" s="155">
        <f ca="1"/>
        <v>0</v>
      </c>
      <c r="AC428" s="155">
        <f ca="1"/>
        <v>3.887745722603142E-2</v>
      </c>
      <c r="AD428" s="155">
        <f ca="1"/>
        <v>7.1889633316123969E-2</v>
      </c>
      <c r="AE428" s="138">
        <f ca="1"/>
        <v>0</v>
      </c>
      <c r="AG428" s="135"/>
      <c r="AH428" s="135">
        <v>1.598E-3</v>
      </c>
      <c r="AI428" s="135">
        <v>2.627E-3</v>
      </c>
      <c r="AJ428" s="135">
        <v>3.8070000000000001E-3</v>
      </c>
      <c r="AK428" s="135"/>
      <c r="AL428" s="135">
        <f t="shared" ca="1" si="17"/>
        <v>1.2473514009133128E-3</v>
      </c>
      <c r="AM428" s="135">
        <f t="shared" ca="1" si="18"/>
        <v>3.0563824024924541E-3</v>
      </c>
      <c r="AN428" s="135">
        <f t="shared" ca="1" si="19"/>
        <v>6.4506150234135556E-3</v>
      </c>
      <c r="AP428" s="515">
        <f t="shared" ca="1" si="20"/>
        <v>3.2862221567348719E-4</v>
      </c>
      <c r="AQ428" s="515">
        <f t="shared" ca="1" si="21"/>
        <v>7.3865315075513725E-4</v>
      </c>
      <c r="AR428" s="515">
        <f t="shared" ca="1" si="22"/>
        <v>1.5351747419377608E-3</v>
      </c>
      <c r="AT428" s="515">
        <f t="shared" ca="1" si="14"/>
        <v>2.3394818699718586E-2</v>
      </c>
      <c r="AU428" s="515">
        <f t="shared" ca="1" si="15"/>
        <v>3.6662598026905212E-2</v>
      </c>
      <c r="AV428" s="515">
        <f t="shared" ca="1" si="16"/>
        <v>6.5242292066973476E-2</v>
      </c>
    </row>
    <row r="429" spans="1:48" ht="10.5" customHeight="1">
      <c r="A429" s="96">
        <v>418</v>
      </c>
      <c r="B429" s="68" t="s">
        <v>569</v>
      </c>
      <c r="C429" s="97">
        <v>0.4</v>
      </c>
      <c r="D429" s="69" t="s">
        <v>66</v>
      </c>
      <c r="E429" s="136"/>
      <c r="F429" s="154"/>
      <c r="G429" s="154"/>
      <c r="H429" s="154"/>
      <c r="I429" s="154">
        <v>3.4719999999999998E-3</v>
      </c>
      <c r="J429" s="154"/>
      <c r="K429" s="154">
        <v>5.6010000000000001E-3</v>
      </c>
      <c r="L429" s="154">
        <v>7.7669999999999996E-3</v>
      </c>
      <c r="M429" s="154"/>
      <c r="N429" s="137" cm="1">
        <f t="array" aca="1" ref="N429:AE429" ca="1">IF(OR(B429="",NOT($J$2)),"",GetStripDefaultProbability(A429,B429,Parameter_Date,CDSRollDate,E429:M429,SpreadCurveMaturities,D429,C429,$J$4,$J$6))</f>
        <v>0</v>
      </c>
      <c r="O429" s="155">
        <f ca="1"/>
        <v>0</v>
      </c>
      <c r="P429" s="155">
        <f ca="1"/>
        <v>0</v>
      </c>
      <c r="Q429" s="155">
        <f ca="1"/>
        <v>0</v>
      </c>
      <c r="R429" s="155">
        <f ca="1"/>
        <v>1.7686152097894814E-2</v>
      </c>
      <c r="S429" s="155">
        <f ca="1"/>
        <v>0</v>
      </c>
      <c r="T429" s="155">
        <f ca="1"/>
        <v>4.751010843434389E-2</v>
      </c>
      <c r="U429" s="155">
        <f ca="1"/>
        <v>9.1573385201678348E-2</v>
      </c>
      <c r="V429" s="138">
        <f ca="1"/>
        <v>0</v>
      </c>
      <c r="W429" s="137">
        <f ca="1"/>
        <v>0</v>
      </c>
      <c r="X429" s="155">
        <f ca="1"/>
        <v>0</v>
      </c>
      <c r="Y429" s="155">
        <f ca="1"/>
        <v>0</v>
      </c>
      <c r="Z429" s="155">
        <f ca="1"/>
        <v>0</v>
      </c>
      <c r="AA429" s="155">
        <f ca="1"/>
        <v>1.8177186253069966E-2</v>
      </c>
      <c r="AB429" s="155">
        <f ca="1"/>
        <v>0</v>
      </c>
      <c r="AC429" s="155">
        <f ca="1"/>
        <v>4.8303519376829529E-2</v>
      </c>
      <c r="AD429" s="155">
        <f ca="1"/>
        <v>9.2658252559479792E-2</v>
      </c>
      <c r="AE429" s="138">
        <f ca="1"/>
        <v>0</v>
      </c>
      <c r="AG429" s="135"/>
      <c r="AH429" s="135">
        <v>4.0590000000000001E-3</v>
      </c>
      <c r="AI429" s="135">
        <v>6.953E-3</v>
      </c>
      <c r="AJ429" s="135">
        <v>1.0121E-2</v>
      </c>
      <c r="AK429" s="135"/>
      <c r="AL429" s="135">
        <f t="shared" ca="1" si="17"/>
        <v>3.1683350039468944E-3</v>
      </c>
      <c r="AM429" s="135">
        <f t="shared" ca="1" si="18"/>
        <v>8.0894658715378893E-3</v>
      </c>
      <c r="AN429" s="135">
        <f t="shared" ca="1" si="19"/>
        <v>1.7149113383758494E-2</v>
      </c>
      <c r="AP429" s="515">
        <f t="shared" ca="1" si="20"/>
        <v>8.3471687948603543E-4</v>
      </c>
      <c r="AQ429" s="515">
        <f t="shared" ca="1" si="21"/>
        <v>1.9550267823374456E-3</v>
      </c>
      <c r="AR429" s="515">
        <f t="shared" ca="1" si="22"/>
        <v>4.0812985456138897E-3</v>
      </c>
      <c r="AT429" s="515">
        <f t="shared" ca="1" si="14"/>
        <v>5.9424010702226367E-2</v>
      </c>
      <c r="AU429" s="515">
        <f t="shared" ca="1" si="15"/>
        <v>9.7036560365843919E-2</v>
      </c>
      <c r="AV429" s="515">
        <f t="shared" ca="1" si="16"/>
        <v>0.17344818439974746</v>
      </c>
    </row>
    <row r="430" spans="1:48" ht="10.5" customHeight="1">
      <c r="A430" s="96">
        <v>419</v>
      </c>
      <c r="B430" s="68" t="s">
        <v>578</v>
      </c>
      <c r="C430" s="97">
        <v>0.4</v>
      </c>
      <c r="D430" s="69" t="s">
        <v>66</v>
      </c>
      <c r="E430" s="136"/>
      <c r="F430" s="154"/>
      <c r="G430" s="154"/>
      <c r="H430" s="154"/>
      <c r="I430" s="154">
        <v>1.7849999999999999E-3</v>
      </c>
      <c r="J430" s="154"/>
      <c r="K430" s="154">
        <v>2.7560000000000002E-3</v>
      </c>
      <c r="L430" s="154">
        <v>3.7669999999999999E-3</v>
      </c>
      <c r="M430" s="154"/>
      <c r="N430" s="137" cm="1">
        <f t="array" aca="1" ref="N430:AE430" ca="1">IF(OR(B430="",NOT($J$2)),"",GetStripDefaultProbability(A430,B430,Parameter_Date,CDSRollDate,E430:M430,SpreadCurveMaturities,D430,C430,$J$4,$J$6))</f>
        <v>0</v>
      </c>
      <c r="O430" s="155">
        <f ca="1"/>
        <v>0</v>
      </c>
      <c r="P430" s="155">
        <f ca="1"/>
        <v>0</v>
      </c>
      <c r="Q430" s="155">
        <f ca="1"/>
        <v>0</v>
      </c>
      <c r="R430" s="155">
        <f ca="1"/>
        <v>9.1313894244937632E-3</v>
      </c>
      <c r="S430" s="155">
        <f ca="1"/>
        <v>0</v>
      </c>
      <c r="T430" s="155">
        <f ca="1"/>
        <v>2.3564540229029651E-2</v>
      </c>
      <c r="U430" s="155">
        <f ca="1"/>
        <v>4.5104811825124935E-2</v>
      </c>
      <c r="V430" s="138">
        <f ca="1"/>
        <v>0</v>
      </c>
      <c r="W430" s="137">
        <f ca="1"/>
        <v>0</v>
      </c>
      <c r="X430" s="155">
        <f ca="1"/>
        <v>0</v>
      </c>
      <c r="Y430" s="155">
        <f ca="1"/>
        <v>0</v>
      </c>
      <c r="Z430" s="155">
        <f ca="1"/>
        <v>0</v>
      </c>
      <c r="AA430" s="155">
        <f ca="1"/>
        <v>9.6266998918707047E-3</v>
      </c>
      <c r="AB430" s="155">
        <f ca="1"/>
        <v>0</v>
      </c>
      <c r="AC430" s="155">
        <f ca="1"/>
        <v>2.4397557095765632E-2</v>
      </c>
      <c r="AD430" s="155">
        <f ca="1"/>
        <v>4.6244779186979001E-2</v>
      </c>
      <c r="AE430" s="138">
        <f ca="1"/>
        <v>0</v>
      </c>
      <c r="AG430" s="135"/>
      <c r="AH430" s="135">
        <v>3.114E-3</v>
      </c>
      <c r="AI430" s="135">
        <v>5.1929999999999997E-3</v>
      </c>
      <c r="AJ430" s="135">
        <v>7.737E-3</v>
      </c>
      <c r="AK430" s="135"/>
      <c r="AL430" s="135">
        <f t="shared" ca="1" si="17"/>
        <v>2.430696034070123E-3</v>
      </c>
      <c r="AM430" s="135">
        <f t="shared" ca="1" si="18"/>
        <v>6.0417943723423354E-3</v>
      </c>
      <c r="AN430" s="135">
        <f t="shared" ca="1" si="19"/>
        <v>1.3109642352548117E-2</v>
      </c>
      <c r="AP430" s="515">
        <f t="shared" ca="1" si="20"/>
        <v>6.4038146408463019E-4</v>
      </c>
      <c r="AQ430" s="515">
        <f t="shared" ca="1" si="21"/>
        <v>1.4601544773016474E-3</v>
      </c>
      <c r="AR430" s="515">
        <f t="shared" ca="1" si="22"/>
        <v>3.1199492982328489E-3</v>
      </c>
      <c r="AT430" s="515">
        <f t="shared" ca="1" si="14"/>
        <v>4.5589152334745725E-2</v>
      </c>
      <c r="AU430" s="515">
        <f t="shared" ca="1" si="15"/>
        <v>7.2473875734190618E-2</v>
      </c>
      <c r="AV430" s="515">
        <f t="shared" ca="1" si="16"/>
        <v>0.13259249112744256</v>
      </c>
    </row>
    <row r="431" spans="1:48" ht="10.5" customHeight="1">
      <c r="A431" s="96">
        <v>420</v>
      </c>
      <c r="B431" s="68" t="s">
        <v>570</v>
      </c>
      <c r="C431" s="97">
        <v>0.4</v>
      </c>
      <c r="D431" s="69" t="s">
        <v>66</v>
      </c>
      <c r="E431" s="136"/>
      <c r="F431" s="154"/>
      <c r="G431" s="154"/>
      <c r="H431" s="154"/>
      <c r="I431" s="154">
        <v>2.5920000000000001E-3</v>
      </c>
      <c r="J431" s="154"/>
      <c r="K431" s="154">
        <v>4.5840000000000004E-3</v>
      </c>
      <c r="L431" s="154">
        <v>6.4619999999999999E-3</v>
      </c>
      <c r="M431" s="154"/>
      <c r="N431" s="137" cm="1">
        <f t="array" aca="1" ref="N431:AE431" ca="1">IF(OR(B431="",NOT($J$2)),"",GetStripDefaultProbability(A431,B431,Parameter_Date,CDSRollDate,E431:M431,SpreadCurveMaturities,D431,C431,$J$4,$J$6))</f>
        <v>0</v>
      </c>
      <c r="O431" s="155">
        <f ca="1"/>
        <v>0</v>
      </c>
      <c r="P431" s="155">
        <f ca="1"/>
        <v>0</v>
      </c>
      <c r="Q431" s="155">
        <f ca="1"/>
        <v>0</v>
      </c>
      <c r="R431" s="155">
        <f ca="1"/>
        <v>1.3232749137016109E-2</v>
      </c>
      <c r="S431" s="155">
        <f ca="1"/>
        <v>0</v>
      </c>
      <c r="T431" s="155">
        <f ca="1"/>
        <v>3.9119840176304321E-2</v>
      </c>
      <c r="U431" s="155">
        <f ca="1"/>
        <v>7.6790041240936247E-2</v>
      </c>
      <c r="V431" s="138">
        <f ca="1"/>
        <v>0</v>
      </c>
      <c r="W431" s="137">
        <f ca="1"/>
        <v>0</v>
      </c>
      <c r="X431" s="155">
        <f ca="1"/>
        <v>0</v>
      </c>
      <c r="Y431" s="155">
        <f ca="1"/>
        <v>0</v>
      </c>
      <c r="Z431" s="155">
        <f ca="1"/>
        <v>0</v>
      </c>
      <c r="AA431" s="155">
        <f ca="1"/>
        <v>1.3726009437134867E-2</v>
      </c>
      <c r="AB431" s="155">
        <f ca="1"/>
        <v>0</v>
      </c>
      <c r="AC431" s="155">
        <f ca="1"/>
        <v>3.9939561800278134E-2</v>
      </c>
      <c r="AD431" s="155">
        <f ca="1"/>
        <v>7.789328773802473E-2</v>
      </c>
      <c r="AE431" s="138">
        <f ca="1"/>
        <v>0</v>
      </c>
      <c r="AG431" s="135"/>
      <c r="AH431" s="135">
        <v>1.8439999999999999E-3</v>
      </c>
      <c r="AI431" s="135">
        <v>2.6050000000000001E-3</v>
      </c>
      <c r="AJ431" s="135">
        <v>3.6050000000000001E-3</v>
      </c>
      <c r="AK431" s="135"/>
      <c r="AL431" s="135">
        <f t="shared" ca="1" si="17"/>
        <v>1.4393717041828215E-3</v>
      </c>
      <c r="AM431" s="135">
        <f t="shared" ca="1" si="18"/>
        <v>3.0307865087525099E-3</v>
      </c>
      <c r="AN431" s="135">
        <f t="shared" ca="1" si="19"/>
        <v>6.1083444075140181E-3</v>
      </c>
      <c r="AP431" s="515">
        <f t="shared" ca="1" si="20"/>
        <v>3.7921111746051962E-4</v>
      </c>
      <c r="AQ431" s="515">
        <f t="shared" ca="1" si="21"/>
        <v>7.3246724694218989E-4</v>
      </c>
      <c r="AR431" s="515">
        <f t="shared" ca="1" si="22"/>
        <v>1.4537181362452398E-3</v>
      </c>
      <c r="AT431" s="515">
        <f t="shared" ca="1" si="14"/>
        <v>2.6996273893792909E-2</v>
      </c>
      <c r="AU431" s="515">
        <f t="shared" ca="1" si="15"/>
        <v>3.6355564469009553E-2</v>
      </c>
      <c r="AV431" s="515">
        <f t="shared" ca="1" si="16"/>
        <v>6.1780526110175836E-2</v>
      </c>
    </row>
    <row r="432" spans="1:48" ht="10.5" customHeight="1">
      <c r="A432" s="96">
        <v>421</v>
      </c>
      <c r="B432" s="68" t="s">
        <v>571</v>
      </c>
      <c r="C432" s="97">
        <v>0.4</v>
      </c>
      <c r="D432" s="69" t="s">
        <v>66</v>
      </c>
      <c r="E432" s="136"/>
      <c r="F432" s="154"/>
      <c r="G432" s="154"/>
      <c r="H432" s="154"/>
      <c r="I432" s="154">
        <v>2.307E-3</v>
      </c>
      <c r="J432" s="154"/>
      <c r="K432" s="154">
        <v>3.8999999999999998E-3</v>
      </c>
      <c r="L432" s="154">
        <v>5.7710000000000001E-3</v>
      </c>
      <c r="M432" s="154"/>
      <c r="N432" s="137" cm="1">
        <f t="array" aca="1" ref="N432:AE432" ca="1">IF(OR(B432="",NOT($J$2)),"",GetStripDefaultProbability(A432,B432,Parameter_Date,CDSRollDate,E432:M432,SpreadCurveMaturities,D432,C432,$J$4,$J$6))</f>
        <v>0</v>
      </c>
      <c r="O432" s="155">
        <f ca="1"/>
        <v>0</v>
      </c>
      <c r="P432" s="155">
        <f ca="1"/>
        <v>0</v>
      </c>
      <c r="Q432" s="155">
        <f ca="1"/>
        <v>0</v>
      </c>
      <c r="R432" s="155">
        <f ca="1"/>
        <v>1.1786219094577444E-2</v>
      </c>
      <c r="S432" s="155">
        <f ca="1"/>
        <v>0</v>
      </c>
      <c r="T432" s="155">
        <f ca="1"/>
        <v>3.3310919712869702E-2</v>
      </c>
      <c r="U432" s="155">
        <f ca="1"/>
        <v>6.8891129861932909E-2</v>
      </c>
      <c r="V432" s="138">
        <f ca="1"/>
        <v>0</v>
      </c>
      <c r="W432" s="137">
        <f ca="1"/>
        <v>0</v>
      </c>
      <c r="X432" s="155">
        <f ca="1"/>
        <v>0</v>
      </c>
      <c r="Y432" s="155">
        <f ca="1"/>
        <v>0</v>
      </c>
      <c r="Z432" s="155">
        <f ca="1"/>
        <v>0</v>
      </c>
      <c r="AA432" s="155">
        <f ca="1"/>
        <v>1.228020247888284E-2</v>
      </c>
      <c r="AB432" s="155">
        <f ca="1"/>
        <v>0</v>
      </c>
      <c r="AC432" s="155">
        <f ca="1"/>
        <v>3.4135799525715105E-2</v>
      </c>
      <c r="AD432" s="155">
        <f ca="1"/>
        <v>7.0003995373790207E-2</v>
      </c>
      <c r="AE432" s="138">
        <f ca="1"/>
        <v>0</v>
      </c>
      <c r="AG432" s="135"/>
      <c r="AH432" s="135">
        <v>2.9399999999999999E-3</v>
      </c>
      <c r="AI432" s="135">
        <v>5.1380000000000002E-3</v>
      </c>
      <c r="AJ432" s="135">
        <v>7.4939999999999998E-3</v>
      </c>
      <c r="AK432" s="135"/>
      <c r="AL432" s="135">
        <f t="shared" ca="1" si="17"/>
        <v>2.2948767951721776E-3</v>
      </c>
      <c r="AM432" s="135">
        <f t="shared" ca="1" si="18"/>
        <v>5.9778046379924746E-3</v>
      </c>
      <c r="AN432" s="135">
        <f t="shared" ca="1" si="19"/>
        <v>1.269790096807491E-2</v>
      </c>
      <c r="AP432" s="515">
        <f t="shared" ca="1" si="20"/>
        <v>6.0459907013770482E-4</v>
      </c>
      <c r="AQ432" s="515">
        <f t="shared" ca="1" si="21"/>
        <v>1.4446897177692788E-3</v>
      </c>
      <c r="AR432" s="515">
        <f t="shared" ca="1" si="22"/>
        <v>3.0219594210878853E-3</v>
      </c>
      <c r="AT432" s="515">
        <f t="shared" ca="1" si="14"/>
        <v>4.3041781587717542E-2</v>
      </c>
      <c r="AU432" s="515">
        <f t="shared" ca="1" si="15"/>
        <v>7.1706291839451472E-2</v>
      </c>
      <c r="AV432" s="515">
        <f t="shared" ca="1" si="16"/>
        <v>0.12842808950614637</v>
      </c>
    </row>
    <row r="433" spans="1:48" ht="10.5" customHeight="1">
      <c r="A433" s="96">
        <v>422</v>
      </c>
      <c r="B433" s="68" t="s">
        <v>572</v>
      </c>
      <c r="C433" s="97">
        <v>0.4</v>
      </c>
      <c r="D433" s="69" t="s">
        <v>66</v>
      </c>
      <c r="E433" s="136"/>
      <c r="F433" s="154"/>
      <c r="G433" s="154"/>
      <c r="H433" s="154"/>
      <c r="I433" s="154">
        <v>3.751E-3</v>
      </c>
      <c r="J433" s="154"/>
      <c r="K433" s="154">
        <v>5.8129999999999996E-3</v>
      </c>
      <c r="L433" s="154">
        <v>8.0239999999999999E-3</v>
      </c>
      <c r="M433" s="154"/>
      <c r="N433" s="137" cm="1">
        <f t="array" aca="1" ref="N433:AE433" ca="1">IF(OR(B433="",NOT($J$2)),"",GetStripDefaultProbability(A433,B433,Parameter_Date,CDSRollDate,E433:M433,SpreadCurveMaturities,D433,C433,$J$4,$J$6))</f>
        <v>0</v>
      </c>
      <c r="O433" s="155">
        <f ca="1"/>
        <v>0</v>
      </c>
      <c r="P433" s="155">
        <f ca="1"/>
        <v>0</v>
      </c>
      <c r="Q433" s="155">
        <f ca="1"/>
        <v>0</v>
      </c>
      <c r="R433" s="155">
        <f ca="1"/>
        <v>1.9093973957316157E-2</v>
      </c>
      <c r="S433" s="155">
        <f ca="1"/>
        <v>0</v>
      </c>
      <c r="T433" s="155">
        <f ca="1"/>
        <v>4.9207111005256543E-2</v>
      </c>
      <c r="U433" s="155">
        <f ca="1"/>
        <v>9.4403375003502377E-2</v>
      </c>
      <c r="V433" s="138">
        <f ca="1"/>
        <v>0</v>
      </c>
      <c r="W433" s="137">
        <f ca="1"/>
        <v>0</v>
      </c>
      <c r="X433" s="155">
        <f ca="1"/>
        <v>0</v>
      </c>
      <c r="Y433" s="155">
        <f ca="1"/>
        <v>0</v>
      </c>
      <c r="Z433" s="155">
        <f ca="1"/>
        <v>0</v>
      </c>
      <c r="AA433" s="155">
        <f ca="1"/>
        <v>1.9584304377547768E-2</v>
      </c>
      <c r="AB433" s="155">
        <f ca="1"/>
        <v>0</v>
      </c>
      <c r="AC433" s="155">
        <f ca="1"/>
        <v>4.9999108368047773E-2</v>
      </c>
      <c r="AD433" s="155">
        <f ca="1"/>
        <v>9.5484110813715439E-2</v>
      </c>
      <c r="AE433" s="138">
        <f ca="1"/>
        <v>0</v>
      </c>
      <c r="AG433" s="135"/>
      <c r="AH433" s="135">
        <v>3.604E-3</v>
      </c>
      <c r="AI433" s="135">
        <v>6.306E-3</v>
      </c>
      <c r="AJ433" s="135">
        <v>9.0629999999999999E-3</v>
      </c>
      <c r="AK433" s="135"/>
      <c r="AL433" s="135">
        <f t="shared" ca="1" si="17"/>
        <v>2.8131754999321523E-3</v>
      </c>
      <c r="AM433" s="135">
        <f t="shared" ca="1" si="18"/>
        <v>7.3367139056404324E-3</v>
      </c>
      <c r="AN433" s="135">
        <f t="shared" ca="1" si="19"/>
        <v>1.5356428672759929E-2</v>
      </c>
      <c r="AP433" s="515">
        <f t="shared" ca="1" si="20"/>
        <v>7.411479757742477E-4</v>
      </c>
      <c r="AQ433" s="515">
        <f t="shared" ca="1" si="21"/>
        <v>1.7731049747475812E-3</v>
      </c>
      <c r="AR433" s="515">
        <f t="shared" ca="1" si="22"/>
        <v>3.6546594920362297E-3</v>
      </c>
      <c r="AT433" s="515">
        <f t="shared" ca="1" si="14"/>
        <v>5.2762782599365315E-2</v>
      </c>
      <c r="AU433" s="515">
        <f t="shared" ca="1" si="15"/>
        <v>8.800698254954864E-2</v>
      </c>
      <c r="AV433" s="515">
        <f t="shared" ca="1" si="16"/>
        <v>0.15531675676463899</v>
      </c>
    </row>
    <row r="434" spans="1:48" ht="10.5" customHeight="1">
      <c r="A434" s="96">
        <v>423</v>
      </c>
      <c r="B434" s="68" t="s">
        <v>573</v>
      </c>
      <c r="C434" s="97">
        <v>0.4</v>
      </c>
      <c r="D434" s="69" t="s">
        <v>66</v>
      </c>
      <c r="E434" s="136"/>
      <c r="F434" s="154"/>
      <c r="G434" s="154"/>
      <c r="H434" s="154"/>
      <c r="I434" s="154">
        <v>2.993E-3</v>
      </c>
      <c r="J434" s="154"/>
      <c r="K434" s="154">
        <v>4.7149999999999996E-3</v>
      </c>
      <c r="L434" s="154">
        <v>6.6360000000000004E-3</v>
      </c>
      <c r="M434" s="154"/>
      <c r="N434" s="137" cm="1">
        <f t="array" aca="1" ref="N434:AE434" ca="1">IF(OR(B434="",NOT($J$2)),"",GetStripDefaultProbability(A434,B434,Parameter_Date,CDSRollDate,E434:M434,SpreadCurveMaturities,D434,C434,$J$4,$J$6))</f>
        <v>0</v>
      </c>
      <c r="O434" s="155">
        <f ca="1"/>
        <v>0</v>
      </c>
      <c r="P434" s="155">
        <f ca="1"/>
        <v>0</v>
      </c>
      <c r="Q434" s="155">
        <f ca="1"/>
        <v>0</v>
      </c>
      <c r="R434" s="155">
        <f ca="1"/>
        <v>1.5264529511134328E-2</v>
      </c>
      <c r="S434" s="155">
        <f ca="1"/>
        <v>0</v>
      </c>
      <c r="T434" s="155">
        <f ca="1"/>
        <v>4.007934619108422E-2</v>
      </c>
      <c r="U434" s="155">
        <f ca="1"/>
        <v>7.8642425523701487E-2</v>
      </c>
      <c r="V434" s="138">
        <f ca="1"/>
        <v>0</v>
      </c>
      <c r="W434" s="137">
        <f ca="1"/>
        <v>0</v>
      </c>
      <c r="X434" s="155">
        <f ca="1"/>
        <v>0</v>
      </c>
      <c r="Y434" s="155">
        <f ca="1"/>
        <v>0</v>
      </c>
      <c r="Z434" s="155">
        <f ca="1"/>
        <v>0</v>
      </c>
      <c r="AA434" s="155">
        <f ca="1"/>
        <v>1.5756774174928601E-2</v>
      </c>
      <c r="AB434" s="155">
        <f ca="1"/>
        <v>0</v>
      </c>
      <c r="AC434" s="155">
        <f ca="1"/>
        <v>4.0897884234289306E-2</v>
      </c>
      <c r="AD434" s="155">
        <f ca="1"/>
        <v>7.9742559161287918E-2</v>
      </c>
      <c r="AE434" s="138">
        <f ca="1"/>
        <v>0</v>
      </c>
      <c r="AG434" s="135"/>
      <c r="AH434" s="135">
        <v>2.4229999999999998E-3</v>
      </c>
      <c r="AI434" s="135">
        <v>3.9830000000000004E-3</v>
      </c>
      <c r="AJ434" s="135">
        <v>6.0039999999999998E-3</v>
      </c>
      <c r="AK434" s="135"/>
      <c r="AL434" s="135">
        <f t="shared" ca="1" si="17"/>
        <v>1.8913219301708115E-3</v>
      </c>
      <c r="AM434" s="135">
        <f t="shared" ca="1" si="18"/>
        <v>4.6340202166453926E-3</v>
      </c>
      <c r="AN434" s="135">
        <f t="shared" ca="1" si="19"/>
        <v>1.0173231573568423E-2</v>
      </c>
      <c r="AP434" s="515">
        <f t="shared" ca="1" si="20"/>
        <v>4.9828011800804716E-4</v>
      </c>
      <c r="AQ434" s="515">
        <f t="shared" ca="1" si="21"/>
        <v>1.1199297675895364E-3</v>
      </c>
      <c r="AR434" s="515">
        <f t="shared" ca="1" si="22"/>
        <v>2.4211161414747348E-3</v>
      </c>
      <c r="AT434" s="515">
        <f t="shared" ca="1" si="14"/>
        <v>3.5472869655455645E-2</v>
      </c>
      <c r="AU434" s="515">
        <f t="shared" ca="1" si="15"/>
        <v>5.5587030049929001E-2</v>
      </c>
      <c r="AV434" s="515">
        <f t="shared" ca="1" si="16"/>
        <v>0.1028932812109558</v>
      </c>
    </row>
    <row r="435" spans="1:48" ht="10.5" customHeight="1">
      <c r="A435" s="96">
        <v>424</v>
      </c>
      <c r="B435" s="68" t="s">
        <v>574</v>
      </c>
      <c r="C435" s="97">
        <v>0.4</v>
      </c>
      <c r="D435" s="69" t="s">
        <v>66</v>
      </c>
      <c r="E435" s="136"/>
      <c r="F435" s="154"/>
      <c r="G435" s="154"/>
      <c r="H435" s="154"/>
      <c r="I435" s="154">
        <v>4.0020000000000003E-3</v>
      </c>
      <c r="J435" s="154"/>
      <c r="K435" s="154">
        <v>6.0629999999999998E-3</v>
      </c>
      <c r="L435" s="154">
        <v>8.3820000000000006E-3</v>
      </c>
      <c r="M435" s="154"/>
      <c r="N435" s="137" cm="1">
        <f t="array" aca="1" ref="N435:AE435" ca="1">IF(OR(B435="",NOT($J$2)),"",GetStripDefaultProbability(A435,B435,Parameter_Date,CDSRollDate,E435:M435,SpreadCurveMaturities,D435,C435,$J$4,$J$6))</f>
        <v>0</v>
      </c>
      <c r="O435" s="155">
        <f ca="1"/>
        <v>0</v>
      </c>
      <c r="P435" s="155">
        <f ca="1"/>
        <v>0</v>
      </c>
      <c r="Q435" s="155">
        <f ca="1"/>
        <v>0</v>
      </c>
      <c r="R435" s="155">
        <f ca="1"/>
        <v>2.0358824457540781E-2</v>
      </c>
      <c r="S435" s="155">
        <f ca="1"/>
        <v>0</v>
      </c>
      <c r="T435" s="155">
        <f ca="1"/>
        <v>5.1239567974605715E-2</v>
      </c>
      <c r="U435" s="155">
        <f ca="1"/>
        <v>9.8430165114551271E-2</v>
      </c>
      <c r="V435" s="138">
        <f ca="1"/>
        <v>0</v>
      </c>
      <c r="W435" s="137">
        <f ca="1"/>
        <v>0</v>
      </c>
      <c r="X435" s="155">
        <f ca="1"/>
        <v>0</v>
      </c>
      <c r="Y435" s="155">
        <f ca="1"/>
        <v>0</v>
      </c>
      <c r="Z435" s="155">
        <f ca="1"/>
        <v>0</v>
      </c>
      <c r="AA435" s="155">
        <f ca="1"/>
        <v>2.084852261060921E-2</v>
      </c>
      <c r="AB435" s="155">
        <f ca="1"/>
        <v>0</v>
      </c>
      <c r="AC435" s="155">
        <f ca="1"/>
        <v>5.2029872328748117E-2</v>
      </c>
      <c r="AD435" s="155">
        <f ca="1"/>
        <v>9.950518827702981E-2</v>
      </c>
      <c r="AE435" s="138">
        <f ca="1"/>
        <v>0</v>
      </c>
      <c r="AG435" s="135"/>
      <c r="AH435" s="135">
        <v>4.1190000000000003E-3</v>
      </c>
      <c r="AI435" s="135">
        <v>6.1469999999999997E-3</v>
      </c>
      <c r="AJ435" s="135">
        <v>8.4799999999999997E-3</v>
      </c>
      <c r="AK435" s="135"/>
      <c r="AL435" s="135">
        <f t="shared" ca="1" si="17"/>
        <v>3.2151692242565308E-3</v>
      </c>
      <c r="AM435" s="135">
        <f t="shared" ca="1" si="18"/>
        <v>7.151725400883561E-3</v>
      </c>
      <c r="AN435" s="135">
        <f t="shared" ca="1" si="19"/>
        <v>1.4368588231822157E-2</v>
      </c>
      <c r="AP435" s="515">
        <f t="shared" ca="1" si="20"/>
        <v>8.4705563601945801E-4</v>
      </c>
      <c r="AQ435" s="515">
        <f t="shared" ca="1" si="21"/>
        <v>1.7283977608267334E-3</v>
      </c>
      <c r="AR435" s="515">
        <f t="shared" ca="1" si="22"/>
        <v>3.4195644369929635E-3</v>
      </c>
      <c r="AT435" s="515">
        <f t="shared" ca="1" si="14"/>
        <v>6.0302414408098158E-2</v>
      </c>
      <c r="AU435" s="515">
        <f t="shared" ca="1" si="15"/>
        <v>8.5787967290211778E-2</v>
      </c>
      <c r="AV435" s="515">
        <f t="shared" ca="1" si="16"/>
        <v>0.1453256203645745</v>
      </c>
    </row>
    <row r="436" spans="1:48" ht="10.5" customHeight="1">
      <c r="A436" s="96">
        <v>425</v>
      </c>
      <c r="B436" s="68" t="s">
        <v>579</v>
      </c>
      <c r="C436" s="97">
        <v>0.4</v>
      </c>
      <c r="D436" s="69" t="s">
        <v>66</v>
      </c>
      <c r="E436" s="136"/>
      <c r="F436" s="154"/>
      <c r="G436" s="154"/>
      <c r="H436" s="154"/>
      <c r="I436" s="154">
        <v>1.9380000000000001E-3</v>
      </c>
      <c r="J436" s="154"/>
      <c r="K436" s="154">
        <v>3.1410000000000001E-3</v>
      </c>
      <c r="L436" s="154">
        <v>4.7060000000000001E-3</v>
      </c>
      <c r="M436" s="154"/>
      <c r="N436" s="137" cm="1">
        <f t="array" aca="1" ref="N436:AE436" ca="1">IF(OR(B436="",NOT($J$2)),"",GetStripDefaultProbability(A436,B436,Parameter_Date,CDSRollDate,E436:M436,SpreadCurveMaturities,D436,C436,$J$4,$J$6))</f>
        <v>0</v>
      </c>
      <c r="O436" s="155">
        <f ca="1"/>
        <v>0</v>
      </c>
      <c r="P436" s="155">
        <f ca="1"/>
        <v>0</v>
      </c>
      <c r="Q436" s="155">
        <f ca="1"/>
        <v>0</v>
      </c>
      <c r="R436" s="155">
        <f ca="1"/>
        <v>9.9102534867313574E-3</v>
      </c>
      <c r="S436" s="155">
        <f ca="1"/>
        <v>0</v>
      </c>
      <c r="T436" s="155">
        <f ca="1"/>
        <v>2.6860760310952303E-2</v>
      </c>
      <c r="U436" s="155">
        <f ca="1"/>
        <v>5.6416241937957579E-2</v>
      </c>
      <c r="V436" s="138">
        <f ca="1"/>
        <v>0</v>
      </c>
      <c r="W436" s="137">
        <f ca="1"/>
        <v>0</v>
      </c>
      <c r="X436" s="155">
        <f ca="1"/>
        <v>0</v>
      </c>
      <c r="Y436" s="155">
        <f ca="1"/>
        <v>0</v>
      </c>
      <c r="Z436" s="155">
        <f ca="1"/>
        <v>0</v>
      </c>
      <c r="AA436" s="155">
        <f ca="1"/>
        <v>1.0405174619362745E-2</v>
      </c>
      <c r="AB436" s="155">
        <f ca="1"/>
        <v>0</v>
      </c>
      <c r="AC436" s="155">
        <f ca="1"/>
        <v>2.7691131109932154E-2</v>
      </c>
      <c r="AD436" s="155">
        <f ca="1"/>
        <v>5.754395185330774E-2</v>
      </c>
      <c r="AE436" s="138">
        <f ca="1"/>
        <v>0</v>
      </c>
      <c r="AG436" s="135"/>
      <c r="AH436" s="135">
        <v>4.1130000000000003E-3</v>
      </c>
      <c r="AI436" s="135">
        <v>6.5919999999999998E-3</v>
      </c>
      <c r="AJ436" s="135">
        <v>9.4090000000000007E-3</v>
      </c>
      <c r="AK436" s="135"/>
      <c r="AL436" s="135">
        <f t="shared" ref="AL436:AL466" ca="1" si="23">AH436*$AN$365</f>
        <v>3.2104858022255671E-3</v>
      </c>
      <c r="AM436" s="135">
        <f t="shared" ref="AM436:AM466" ca="1" si="24">AI436*$AN$366</f>
        <v>7.6694605242597098E-3</v>
      </c>
      <c r="AN436" s="135">
        <f t="shared" ref="AN436:AN466" ca="1" si="25">AJ436*$AN$367</f>
        <v>1.5942694183162107E-2</v>
      </c>
      <c r="AP436" s="515">
        <f t="shared" ref="AP436:AP466" ca="1" si="26">AH436*$AR$365</f>
        <v>8.4582176036611574E-4</v>
      </c>
      <c r="AQ436" s="515">
        <f t="shared" ref="AQ436:AQ466" ca="1" si="27">AI436*$AR$366</f>
        <v>1.8535217243158982E-3</v>
      </c>
      <c r="AR436" s="515">
        <f t="shared" ref="AR436:AR466" ca="1" si="28">AJ436*$AR$367</f>
        <v>3.7941841730739145E-3</v>
      </c>
      <c r="AT436" s="515">
        <f t="shared" ca="1" si="14"/>
        <v>6.021457403751098E-2</v>
      </c>
      <c r="AU436" s="515">
        <f t="shared" ca="1" si="15"/>
        <v>9.1998418802192297E-2</v>
      </c>
      <c r="AV436" s="515">
        <f t="shared" ca="1" si="16"/>
        <v>0.16124631627479735</v>
      </c>
    </row>
    <row r="437" spans="1:48" ht="10.5" customHeight="1">
      <c r="A437" s="96">
        <v>426</v>
      </c>
      <c r="B437" s="68" t="s">
        <v>580</v>
      </c>
      <c r="C437" s="97">
        <v>0.4</v>
      </c>
      <c r="D437" s="69" t="s">
        <v>66</v>
      </c>
      <c r="E437" s="136"/>
      <c r="F437" s="154"/>
      <c r="G437" s="154"/>
      <c r="H437" s="154"/>
      <c r="I437" s="154">
        <v>1.7650000000000001E-3</v>
      </c>
      <c r="J437" s="154"/>
      <c r="K437" s="154">
        <v>2.9750000000000002E-3</v>
      </c>
      <c r="L437" s="154">
        <v>4.2370000000000003E-3</v>
      </c>
      <c r="M437" s="154"/>
      <c r="N437" s="137" cm="1">
        <f t="array" aca="1" ref="N437:AE437" ca="1">IF(OR(B437="",NOT($J$2)),"",GetStripDefaultProbability(A437,B437,Parameter_Date,CDSRollDate,E437:M437,SpreadCurveMaturities,D437,C437,$J$4,$J$6))</f>
        <v>0</v>
      </c>
      <c r="O437" s="155">
        <f ca="1"/>
        <v>0</v>
      </c>
      <c r="P437" s="155">
        <f ca="1"/>
        <v>0</v>
      </c>
      <c r="Q437" s="155">
        <f ca="1"/>
        <v>0</v>
      </c>
      <c r="R437" s="155">
        <f ca="1"/>
        <v>9.0295326770349904E-3</v>
      </c>
      <c r="S437" s="155">
        <f ca="1"/>
        <v>0</v>
      </c>
      <c r="T437" s="155">
        <f ca="1"/>
        <v>2.5483040762775855E-2</v>
      </c>
      <c r="U437" s="155">
        <f ca="1"/>
        <v>5.0800632673837831E-2</v>
      </c>
      <c r="V437" s="138">
        <f ca="1"/>
        <v>0</v>
      </c>
      <c r="W437" s="137">
        <f ca="1"/>
        <v>0</v>
      </c>
      <c r="X437" s="155">
        <f ca="1"/>
        <v>0</v>
      </c>
      <c r="Y437" s="155">
        <f ca="1"/>
        <v>0</v>
      </c>
      <c r="Z437" s="155">
        <f ca="1"/>
        <v>0</v>
      </c>
      <c r="AA437" s="155">
        <f ca="1"/>
        <v>9.5248940600121124E-3</v>
      </c>
      <c r="AB437" s="155">
        <f ca="1"/>
        <v>0</v>
      </c>
      <c r="AC437" s="155">
        <f ca="1"/>
        <v>2.6314685551550587E-2</v>
      </c>
      <c r="AD437" s="155">
        <f ca="1"/>
        <v>5.1934755848624281E-2</v>
      </c>
      <c r="AE437" s="138">
        <f ca="1"/>
        <v>0</v>
      </c>
      <c r="AG437" s="135"/>
      <c r="AH437" s="135">
        <v>3.3249999999999998E-3</v>
      </c>
      <c r="AI437" s="135">
        <v>6.195E-3</v>
      </c>
      <c r="AJ437" s="135">
        <v>9.2610000000000001E-3</v>
      </c>
      <c r="AK437" s="135"/>
      <c r="AL437" s="135">
        <f t="shared" ca="1" si="23"/>
        <v>2.5953963754923436E-3</v>
      </c>
      <c r="AM437" s="135">
        <f t="shared" ca="1" si="24"/>
        <v>7.207570987225259E-3</v>
      </c>
      <c r="AN437" s="135">
        <f t="shared" ca="1" si="25"/>
        <v>1.5691921652701061E-2</v>
      </c>
      <c r="AP437" s="515">
        <f t="shared" ca="1" si="26"/>
        <v>6.8377275789383279E-4</v>
      </c>
      <c r="AQ437" s="515">
        <f t="shared" ca="1" si="27"/>
        <v>1.7418942782368007E-3</v>
      </c>
      <c r="AR437" s="515">
        <f t="shared" ca="1" si="28"/>
        <v>3.7345030956358297E-3</v>
      </c>
      <c r="AT437" s="515">
        <f t="shared" ref="AT437:AT466" ca="1" si="29">AH437*$AV$365</f>
        <v>4.8678205367061508E-2</v>
      </c>
      <c r="AU437" s="515">
        <f t="shared" ref="AU437:AU466" ca="1" si="30">AI437*$AV$366</f>
        <v>8.6457858689256872E-2</v>
      </c>
      <c r="AV437" s="515">
        <f t="shared" ref="AV437:AV466" ca="1" si="31">AJ437*$AV$367</f>
        <v>0.15870997290050995</v>
      </c>
    </row>
    <row r="438" spans="1:48" ht="10.5" customHeight="1">
      <c r="A438" s="96">
        <v>427</v>
      </c>
      <c r="B438" s="68" t="s">
        <v>575</v>
      </c>
      <c r="C438" s="97">
        <v>0.4</v>
      </c>
      <c r="D438" s="69" t="s">
        <v>66</v>
      </c>
      <c r="E438" s="136"/>
      <c r="F438" s="154"/>
      <c r="G438" s="154"/>
      <c r="H438" s="154"/>
      <c r="I438" s="154">
        <v>2.5079999999999998E-3</v>
      </c>
      <c r="J438" s="154"/>
      <c r="K438" s="154">
        <v>4.2789999999999998E-3</v>
      </c>
      <c r="L438" s="154">
        <v>5.8820000000000001E-3</v>
      </c>
      <c r="M438" s="154"/>
      <c r="N438" s="137" cm="1">
        <f t="array" aca="1" ref="N438:AE438" ca="1">IF(OR(B438="",NOT($J$2)),"",GetStripDefaultProbability(A438,B438,Parameter_Date,CDSRollDate,E438:M438,SpreadCurveMaturities,D438,C438,$J$4,$J$6))</f>
        <v>0</v>
      </c>
      <c r="O438" s="155">
        <f ca="1"/>
        <v>0</v>
      </c>
      <c r="P438" s="155">
        <f ca="1"/>
        <v>0</v>
      </c>
      <c r="Q438" s="155">
        <f ca="1"/>
        <v>0</v>
      </c>
      <c r="R438" s="155">
        <f ca="1"/>
        <v>1.2806619307781486E-2</v>
      </c>
      <c r="S438" s="155">
        <f ca="1"/>
        <v>0</v>
      </c>
      <c r="T438" s="155">
        <f ca="1"/>
        <v>3.6513947651228507E-2</v>
      </c>
      <c r="U438" s="155">
        <f ca="1"/>
        <v>6.9933766295815714E-2</v>
      </c>
      <c r="V438" s="138">
        <f ca="1"/>
        <v>0</v>
      </c>
      <c r="W438" s="137">
        <f ca="1"/>
        <v>0</v>
      </c>
      <c r="X438" s="155">
        <f ca="1"/>
        <v>0</v>
      </c>
      <c r="Y438" s="155">
        <f ca="1"/>
        <v>0</v>
      </c>
      <c r="Z438" s="155">
        <f ca="1"/>
        <v>0</v>
      </c>
      <c r="AA438" s="155">
        <f ca="1"/>
        <v>1.330009261955678E-2</v>
      </c>
      <c r="AB438" s="155">
        <f ca="1"/>
        <v>0</v>
      </c>
      <c r="AC438" s="155">
        <f ca="1"/>
        <v>3.7335974279785633E-2</v>
      </c>
      <c r="AD438" s="155">
        <f ca="1"/>
        <v>7.1045205349943519E-2</v>
      </c>
      <c r="AE438" s="138">
        <f ca="1"/>
        <v>0</v>
      </c>
      <c r="AG438" s="135"/>
      <c r="AH438" s="135">
        <v>2.6879999999999999E-3</v>
      </c>
      <c r="AI438" s="135">
        <v>4.4660000000000004E-3</v>
      </c>
      <c r="AJ438" s="135">
        <v>5.9670000000000001E-3</v>
      </c>
      <c r="AK438" s="135"/>
      <c r="AL438" s="135">
        <f t="shared" ca="1" si="23"/>
        <v>2.0981730698717053E-3</v>
      </c>
      <c r="AM438" s="135">
        <f t="shared" ca="1" si="24"/>
        <v>5.1959664292087178E-3</v>
      </c>
      <c r="AN438" s="135">
        <f t="shared" ca="1" si="25"/>
        <v>1.0110538440953162E-2</v>
      </c>
      <c r="AP438" s="515">
        <f t="shared" ca="1" si="26"/>
        <v>5.5277629269733007E-4</v>
      </c>
      <c r="AQ438" s="515">
        <f t="shared" ca="1" si="27"/>
        <v>1.2557384740283378E-3</v>
      </c>
      <c r="AR438" s="515">
        <f t="shared" ca="1" si="28"/>
        <v>2.4061958721152137E-3</v>
      </c>
      <c r="AT438" s="515">
        <f t="shared" ca="1" si="29"/>
        <v>3.9352486023056042E-2</v>
      </c>
      <c r="AU438" s="515">
        <f t="shared" ca="1" si="30"/>
        <v>6.2327812252820212E-2</v>
      </c>
      <c r="AV438" s="515">
        <f t="shared" ca="1" si="31"/>
        <v>0.10225919536738397</v>
      </c>
    </row>
    <row r="439" spans="1:48" ht="10.5" customHeight="1">
      <c r="A439" s="96">
        <v>428</v>
      </c>
      <c r="B439" s="68" t="s">
        <v>581</v>
      </c>
      <c r="C439" s="97">
        <v>0.4</v>
      </c>
      <c r="D439" s="69" t="s">
        <v>66</v>
      </c>
      <c r="E439" s="136"/>
      <c r="F439" s="154"/>
      <c r="G439" s="154"/>
      <c r="H439" s="154"/>
      <c r="I439" s="154">
        <v>2.1419999999999998E-3</v>
      </c>
      <c r="J439" s="154"/>
      <c r="K439" s="154">
        <v>3.333E-3</v>
      </c>
      <c r="L439" s="154">
        <v>4.7910000000000001E-3</v>
      </c>
      <c r="M439" s="154"/>
      <c r="N439" s="137" cm="1">
        <f t="array" aca="1" ref="N439:AE439" ca="1">IF(OR(B439="",NOT($J$2)),"",GetStripDefaultProbability(A439,B439,Parameter_Date,CDSRollDate,E439:M439,SpreadCurveMaturities,D439,C439,$J$4,$J$6))</f>
        <v>0</v>
      </c>
      <c r="O439" s="155">
        <f ca="1"/>
        <v>0</v>
      </c>
      <c r="P439" s="155">
        <f ca="1"/>
        <v>0</v>
      </c>
      <c r="Q439" s="155">
        <f ca="1"/>
        <v>0</v>
      </c>
      <c r="R439" s="155">
        <f ca="1"/>
        <v>1.0947804146535955E-2</v>
      </c>
      <c r="S439" s="155">
        <f ca="1"/>
        <v>0</v>
      </c>
      <c r="T439" s="155">
        <f ca="1"/>
        <v>2.8450193524503731E-2</v>
      </c>
      <c r="U439" s="155">
        <f ca="1"/>
        <v>5.7266486018647256E-2</v>
      </c>
      <c r="V439" s="138">
        <f ca="1"/>
        <v>0</v>
      </c>
      <c r="W439" s="137">
        <f ca="1"/>
        <v>0</v>
      </c>
      <c r="X439" s="155">
        <f ca="1"/>
        <v>0</v>
      </c>
      <c r="Y439" s="155">
        <f ca="1"/>
        <v>0</v>
      </c>
      <c r="Z439" s="155">
        <f ca="1"/>
        <v>0</v>
      </c>
      <c r="AA439" s="155">
        <f ca="1"/>
        <v>1.144220663352391E-2</v>
      </c>
      <c r="AB439" s="155">
        <f ca="1"/>
        <v>0</v>
      </c>
      <c r="AC439" s="155">
        <f ca="1"/>
        <v>2.927908392483114E-2</v>
      </c>
      <c r="AD439" s="155">
        <f ca="1"/>
        <v>5.8392792034077323E-2</v>
      </c>
      <c r="AE439" s="138">
        <f ca="1"/>
        <v>0</v>
      </c>
      <c r="AG439" s="135"/>
      <c r="AH439" s="135">
        <v>3.4719999999999998E-3</v>
      </c>
      <c r="AI439" s="135">
        <v>5.6010000000000001E-3</v>
      </c>
      <c r="AJ439" s="135">
        <v>7.7669999999999996E-3</v>
      </c>
      <c r="AK439" s="135"/>
      <c r="AL439" s="135">
        <f t="shared" ca="1" si="23"/>
        <v>2.7101402152509527E-3</v>
      </c>
      <c r="AM439" s="135">
        <f t="shared" ca="1" si="24"/>
        <v>6.5164818562467594E-3</v>
      </c>
      <c r="AN439" s="135">
        <f t="shared" ca="1" si="25"/>
        <v>1.3160474622236166E-2</v>
      </c>
      <c r="AP439" s="515">
        <f t="shared" ca="1" si="26"/>
        <v>7.140027114007181E-4</v>
      </c>
      <c r="AQ439" s="515">
        <f t="shared" ca="1" si="27"/>
        <v>1.5748748752872188E-3</v>
      </c>
      <c r="AR439" s="515">
        <f t="shared" ca="1" si="28"/>
        <v>3.1320468139297577E-3</v>
      </c>
      <c r="AT439" s="515">
        <f t="shared" ca="1" si="29"/>
        <v>5.0830294446447384E-2</v>
      </c>
      <c r="AU439" s="515">
        <f t="shared" ca="1" si="30"/>
        <v>7.8167952626073886E-2</v>
      </c>
      <c r="AV439" s="515">
        <f t="shared" ca="1" si="31"/>
        <v>0.1331066147843927</v>
      </c>
    </row>
    <row r="440" spans="1:48" ht="10.5" customHeight="1">
      <c r="A440" s="96">
        <v>429</v>
      </c>
      <c r="B440" s="68" t="s">
        <v>582</v>
      </c>
      <c r="C440" s="97">
        <v>0.4</v>
      </c>
      <c r="D440" s="69" t="s">
        <v>66</v>
      </c>
      <c r="E440" s="136"/>
      <c r="F440" s="154"/>
      <c r="G440" s="154"/>
      <c r="H440" s="154"/>
      <c r="I440" s="154">
        <v>3.7789999999999998E-3</v>
      </c>
      <c r="J440" s="154"/>
      <c r="K440" s="154">
        <v>7.345E-3</v>
      </c>
      <c r="L440" s="154">
        <v>1.0267999999999999E-2</v>
      </c>
      <c r="M440" s="154"/>
      <c r="N440" s="137" cm="1">
        <f t="array" aca="1" ref="N440:AE440" ca="1">IF(OR(B440="",NOT($J$2)),"",GetStripDefaultProbability(A440,B440,Parameter_Date,CDSRollDate,E440:M440,SpreadCurveMaturities,D440,C440,$J$4,$J$6))</f>
        <v>0</v>
      </c>
      <c r="O440" s="155">
        <f ca="1"/>
        <v>0</v>
      </c>
      <c r="P440" s="155">
        <f ca="1"/>
        <v>0</v>
      </c>
      <c r="Q440" s="155">
        <f ca="1"/>
        <v>0</v>
      </c>
      <c r="R440" s="155">
        <f ca="1"/>
        <v>1.9235151825597874E-2</v>
      </c>
      <c r="S440" s="155">
        <f ca="1"/>
        <v>0</v>
      </c>
      <c r="T440" s="155">
        <f ca="1"/>
        <v>6.233029640897414E-2</v>
      </c>
      <c r="U440" s="155">
        <f ca="1"/>
        <v>0.12024601963602977</v>
      </c>
      <c r="V440" s="138">
        <f ca="1"/>
        <v>0</v>
      </c>
      <c r="W440" s="137">
        <f ca="1"/>
        <v>0</v>
      </c>
      <c r="X440" s="155">
        <f ca="1"/>
        <v>0</v>
      </c>
      <c r="Y440" s="155">
        <f ca="1"/>
        <v>0</v>
      </c>
      <c r="Z440" s="155">
        <f ca="1"/>
        <v>0</v>
      </c>
      <c r="AA440" s="155">
        <f ca="1"/>
        <v>1.9725411674466842E-2</v>
      </c>
      <c r="AB440" s="155">
        <f ca="1"/>
        <v>0</v>
      </c>
      <c r="AC440" s="155">
        <f ca="1"/>
        <v>6.3111362339281385E-2</v>
      </c>
      <c r="AD440" s="155">
        <f ca="1"/>
        <v>0.12131745032375074</v>
      </c>
      <c r="AE440" s="138">
        <f ca="1"/>
        <v>0</v>
      </c>
      <c r="AG440" s="135"/>
      <c r="AH440" s="135">
        <v>1.7849999999999999E-3</v>
      </c>
      <c r="AI440" s="135">
        <v>2.7560000000000002E-3</v>
      </c>
      <c r="AJ440" s="135">
        <v>3.7669999999999999E-3</v>
      </c>
      <c r="AK440" s="135"/>
      <c r="AL440" s="135">
        <f t="shared" ca="1" si="23"/>
        <v>1.3933180542116791E-3</v>
      </c>
      <c r="AM440" s="135">
        <f t="shared" ca="1" si="24"/>
        <v>3.2064674157857649E-3</v>
      </c>
      <c r="AN440" s="135">
        <f t="shared" ca="1" si="25"/>
        <v>6.3828386638294888E-3</v>
      </c>
      <c r="AP440" s="515">
        <f t="shared" ca="1" si="26"/>
        <v>3.6707800686932077E-4</v>
      </c>
      <c r="AQ440" s="515">
        <f t="shared" ca="1" si="27"/>
        <v>7.7492504129469302E-4</v>
      </c>
      <c r="AR440" s="515">
        <f t="shared" ca="1" si="28"/>
        <v>1.5190447210085489E-3</v>
      </c>
      <c r="AT440" s="515">
        <f t="shared" ca="1" si="29"/>
        <v>2.6132510249685652E-2</v>
      </c>
      <c r="AU440" s="515">
        <f t="shared" ca="1" si="30"/>
        <v>3.8462931161838895E-2</v>
      </c>
      <c r="AV440" s="515">
        <f t="shared" ca="1" si="31"/>
        <v>6.4556793857706615E-2</v>
      </c>
    </row>
    <row r="441" spans="1:48" ht="10.5" customHeight="1">
      <c r="A441" s="96">
        <v>430</v>
      </c>
      <c r="B441" s="68" t="s">
        <v>583</v>
      </c>
      <c r="C441" s="97">
        <v>0.4</v>
      </c>
      <c r="D441" s="69" t="s">
        <v>66</v>
      </c>
      <c r="E441" s="136"/>
      <c r="F441" s="154"/>
      <c r="G441" s="154"/>
      <c r="H441" s="154"/>
      <c r="I441" s="154">
        <v>2.137E-3</v>
      </c>
      <c r="J441" s="154"/>
      <c r="K441" s="154">
        <v>3.2109999999999999E-3</v>
      </c>
      <c r="L441" s="154">
        <v>4.6039999999999996E-3</v>
      </c>
      <c r="M441" s="154"/>
      <c r="N441" s="137" cm="1">
        <f t="array" aca="1" ref="N441:AE441" ca="1">IF(OR(B441="",NOT($J$2)),"",GetStripDefaultProbability(A441,B441,Parameter_Date,CDSRollDate,E441:M441,SpreadCurveMaturities,D441,C441,$J$4,$J$6))</f>
        <v>0</v>
      </c>
      <c r="O441" s="155">
        <f ca="1"/>
        <v>0</v>
      </c>
      <c r="P441" s="155">
        <f ca="1"/>
        <v>0</v>
      </c>
      <c r="Q441" s="155">
        <f ca="1"/>
        <v>0</v>
      </c>
      <c r="R441" s="155">
        <f ca="1"/>
        <v>1.0922386742858503E-2</v>
      </c>
      <c r="S441" s="155">
        <f ca="1"/>
        <v>0</v>
      </c>
      <c r="T441" s="155">
        <f ca="1"/>
        <v>2.7390281279575768E-2</v>
      </c>
      <c r="U441" s="155">
        <f ca="1"/>
        <v>5.5035905193141943E-2</v>
      </c>
      <c r="V441" s="138">
        <f ca="1"/>
        <v>0</v>
      </c>
      <c r="W441" s="137">
        <f ca="1"/>
        <v>0</v>
      </c>
      <c r="X441" s="155">
        <f ca="1"/>
        <v>0</v>
      </c>
      <c r="Y441" s="155">
        <f ca="1"/>
        <v>0</v>
      </c>
      <c r="Z441" s="155">
        <f ca="1"/>
        <v>0</v>
      </c>
      <c r="AA441" s="155">
        <f ca="1"/>
        <v>1.1416801935360321E-2</v>
      </c>
      <c r="AB441" s="155">
        <f ca="1"/>
        <v>0</v>
      </c>
      <c r="AC441" s="155">
        <f ca="1"/>
        <v>2.8219974591443431E-2</v>
      </c>
      <c r="AD441" s="155">
        <f ca="1"/>
        <v>5.616464302136881E-2</v>
      </c>
      <c r="AE441" s="138">
        <f ca="1"/>
        <v>0</v>
      </c>
      <c r="AG441" s="135"/>
      <c r="AH441" s="135">
        <v>2.5920000000000001E-3</v>
      </c>
      <c r="AI441" s="135">
        <v>4.5840000000000004E-3</v>
      </c>
      <c r="AJ441" s="135">
        <v>6.4619999999999999E-3</v>
      </c>
      <c r="AK441" s="135"/>
      <c r="AL441" s="135">
        <f t="shared" ca="1" si="23"/>
        <v>2.0232383173762873E-3</v>
      </c>
      <c r="AM441" s="135">
        <f t="shared" ca="1" si="24"/>
        <v>5.3332534956320558E-3</v>
      </c>
      <c r="AN441" s="135">
        <f t="shared" ca="1" si="25"/>
        <v>1.0949270890805987E-2</v>
      </c>
      <c r="AP441" s="515">
        <f t="shared" ca="1" si="26"/>
        <v>5.3303428224385409E-4</v>
      </c>
      <c r="AQ441" s="515">
        <f t="shared" ca="1" si="27"/>
        <v>1.2889174126614197E-3</v>
      </c>
      <c r="AR441" s="515">
        <f t="shared" ca="1" si="28"/>
        <v>2.6058048811142135E-3</v>
      </c>
      <c r="AT441" s="515">
        <f t="shared" ca="1" si="29"/>
        <v>3.7947040093661184E-2</v>
      </c>
      <c r="AU441" s="515">
        <f t="shared" ca="1" si="30"/>
        <v>6.3974628608806053E-2</v>
      </c>
      <c r="AV441" s="515">
        <f t="shared" ca="1" si="31"/>
        <v>0.11074223570706136</v>
      </c>
    </row>
    <row r="442" spans="1:48" ht="10.5" customHeight="1">
      <c r="A442" s="96">
        <v>431</v>
      </c>
      <c r="B442" s="68" t="s">
        <v>584</v>
      </c>
      <c r="C442" s="97">
        <v>0.4</v>
      </c>
      <c r="D442" s="69" t="s">
        <v>66</v>
      </c>
      <c r="E442" s="136"/>
      <c r="F442" s="154"/>
      <c r="G442" s="154"/>
      <c r="H442" s="154"/>
      <c r="I442" s="154">
        <v>4.9890000000000004E-3</v>
      </c>
      <c r="J442" s="154"/>
      <c r="K442" s="154">
        <v>1.01E-2</v>
      </c>
      <c r="L442" s="154">
        <v>1.474E-2</v>
      </c>
      <c r="M442" s="154"/>
      <c r="N442" s="137" cm="1">
        <f t="array" aca="1" ref="N442:AE442" ca="1">IF(OR(B442="",NOT($J$2)),"",GetStripDefaultProbability(A442,B442,Parameter_Date,CDSRollDate,E442:M442,SpreadCurveMaturities,D442,C442,$J$4,$J$6))</f>
        <v>0</v>
      </c>
      <c r="O442" s="155">
        <f ca="1"/>
        <v>0</v>
      </c>
      <c r="P442" s="155">
        <f ca="1"/>
        <v>0</v>
      </c>
      <c r="Q442" s="155">
        <f ca="1"/>
        <v>0</v>
      </c>
      <c r="R442" s="155">
        <f ca="1"/>
        <v>2.5317144885940834E-2</v>
      </c>
      <c r="S442" s="155">
        <f ca="1"/>
        <v>0</v>
      </c>
      <c r="T442" s="155">
        <f ca="1"/>
        <v>8.5101004521288215E-2</v>
      </c>
      <c r="U442" s="155">
        <f ca="1"/>
        <v>0.17013985865076264</v>
      </c>
      <c r="V442" s="138">
        <f ca="1"/>
        <v>0</v>
      </c>
      <c r="W442" s="137">
        <f ca="1"/>
        <v>0</v>
      </c>
      <c r="X442" s="155">
        <f ca="1"/>
        <v>0</v>
      </c>
      <c r="Y442" s="155">
        <f ca="1"/>
        <v>0</v>
      </c>
      <c r="Z442" s="155">
        <f ca="1"/>
        <v>0</v>
      </c>
      <c r="AA442" s="155">
        <f ca="1"/>
        <v>2.5804364498485555E-2</v>
      </c>
      <c r="AB442" s="155">
        <f ca="1"/>
        <v>0</v>
      </c>
      <c r="AC442" s="155">
        <f ca="1"/>
        <v>8.5892344392245579E-2</v>
      </c>
      <c r="AD442" s="155">
        <f ca="1"/>
        <v>0.17116209956891359</v>
      </c>
      <c r="AE442" s="138">
        <f ca="1"/>
        <v>0</v>
      </c>
      <c r="AG442" s="135"/>
      <c r="AH442" s="135">
        <v>2.307E-3</v>
      </c>
      <c r="AI442" s="135">
        <v>3.8999999999999998E-3</v>
      </c>
      <c r="AJ442" s="135">
        <v>5.7710000000000001E-3</v>
      </c>
      <c r="AK442" s="135"/>
      <c r="AL442" s="135">
        <f t="shared" ca="1" si="23"/>
        <v>1.8007757709055149E-3</v>
      </c>
      <c r="AM442" s="135">
        <f t="shared" ca="1" si="24"/>
        <v>4.5374538902628742E-3</v>
      </c>
      <c r="AN442" s="135">
        <f t="shared" ca="1" si="25"/>
        <v>9.7784342789912337E-3</v>
      </c>
      <c r="AP442" s="515">
        <f t="shared" ca="1" si="26"/>
        <v>4.7442518871009697E-4</v>
      </c>
      <c r="AQ442" s="515">
        <f t="shared" ca="1" si="27"/>
        <v>1.0965920395679617E-3</v>
      </c>
      <c r="AR442" s="515">
        <f t="shared" ca="1" si="28"/>
        <v>2.3271587695620748E-3</v>
      </c>
      <c r="AT442" s="515">
        <f t="shared" ca="1" si="29"/>
        <v>3.3774622490770199E-2</v>
      </c>
      <c r="AU442" s="515">
        <f t="shared" ca="1" si="30"/>
        <v>5.4428676172413523E-2</v>
      </c>
      <c r="AV442" s="515">
        <f t="shared" ca="1" si="31"/>
        <v>9.890025414197634E-2</v>
      </c>
    </row>
    <row r="443" spans="1:48" ht="10.5" customHeight="1">
      <c r="A443" s="96">
        <v>432</v>
      </c>
      <c r="B443" s="68" t="s">
        <v>594</v>
      </c>
      <c r="C443" s="97">
        <v>0.4</v>
      </c>
      <c r="D443" s="69" t="s">
        <v>66</v>
      </c>
      <c r="E443" s="136"/>
      <c r="F443" s="154"/>
      <c r="G443" s="154"/>
      <c r="H443" s="154"/>
      <c r="I443" s="154">
        <v>2.7200000000000002E-3</v>
      </c>
      <c r="J443" s="154"/>
      <c r="K443" s="154">
        <v>4.6210000000000001E-3</v>
      </c>
      <c r="L443" s="154">
        <v>6.9170000000000004E-3</v>
      </c>
      <c r="M443" s="154"/>
      <c r="N443" s="137" cm="1">
        <f t="array" aca="1" ref="N443:AE443" ca="1">IF(OR(B443="",NOT($J$2)),"",GetStripDefaultProbability(A443,B443,Parameter_Date,CDSRollDate,E443:M443,SpreadCurveMaturities,D443,C443,$J$4,$J$6))</f>
        <v>0</v>
      </c>
      <c r="O443" s="155">
        <f ca="1"/>
        <v>0</v>
      </c>
      <c r="P443" s="155">
        <f ca="1"/>
        <v>0</v>
      </c>
      <c r="Q443" s="155">
        <f ca="1"/>
        <v>0</v>
      </c>
      <c r="R443" s="155">
        <f ca="1"/>
        <v>1.3881743247209255E-2</v>
      </c>
      <c r="S443" s="155">
        <f ca="1"/>
        <v>0</v>
      </c>
      <c r="T443" s="155">
        <f ca="1"/>
        <v>3.9384718114800821E-2</v>
      </c>
      <c r="U443" s="155">
        <f ca="1"/>
        <v>8.2247192639940292E-2</v>
      </c>
      <c r="V443" s="138">
        <f ca="1"/>
        <v>0</v>
      </c>
      <c r="W443" s="137">
        <f ca="1"/>
        <v>0</v>
      </c>
      <c r="X443" s="155">
        <f ca="1"/>
        <v>0</v>
      </c>
      <c r="Y443" s="155">
        <f ca="1"/>
        <v>0</v>
      </c>
      <c r="Z443" s="155">
        <f ca="1"/>
        <v>0</v>
      </c>
      <c r="AA443" s="155">
        <f ca="1"/>
        <v>1.4374679131294754E-2</v>
      </c>
      <c r="AB443" s="155">
        <f ca="1"/>
        <v>0</v>
      </c>
      <c r="AC443" s="155">
        <f ca="1"/>
        <v>4.0204098508316966E-2</v>
      </c>
      <c r="AD443" s="155">
        <f ca="1"/>
        <v>8.334315090669886E-2</v>
      </c>
      <c r="AE443" s="138">
        <f ca="1"/>
        <v>0</v>
      </c>
      <c r="AG443" s="135"/>
      <c r="AH443" s="135">
        <v>3.751E-3</v>
      </c>
      <c r="AI443" s="135">
        <v>5.8129999999999996E-3</v>
      </c>
      <c r="AJ443" s="135">
        <v>8.0239999999999999E-3</v>
      </c>
      <c r="AK443" s="135"/>
      <c r="AL443" s="135">
        <f t="shared" ca="1" si="23"/>
        <v>2.9279193396907614E-3</v>
      </c>
      <c r="AM443" s="135">
        <f t="shared" ca="1" si="24"/>
        <v>6.7631331959225865E-3</v>
      </c>
      <c r="AN443" s="135">
        <f t="shared" ca="1" si="25"/>
        <v>1.3595937732563795E-2</v>
      </c>
      <c r="AP443" s="515">
        <f t="shared" ca="1" si="26"/>
        <v>7.713779292811329E-4</v>
      </c>
      <c r="AQ443" s="515">
        <f t="shared" ca="1" si="27"/>
        <v>1.634484493848349E-3</v>
      </c>
      <c r="AR443" s="515">
        <f t="shared" ca="1" si="28"/>
        <v>3.2356821983999455E-3</v>
      </c>
      <c r="AT443" s="515">
        <f t="shared" ca="1" si="29"/>
        <v>5.4914871678751198E-2</v>
      </c>
      <c r="AU443" s="515">
        <f t="shared" ca="1" si="30"/>
        <v>8.1126639638523027E-2</v>
      </c>
      <c r="AV443" s="515">
        <f t="shared" ca="1" si="31"/>
        <v>0.13751094077893228</v>
      </c>
    </row>
    <row r="444" spans="1:48" ht="10.5" customHeight="1">
      <c r="A444" s="96">
        <v>433</v>
      </c>
      <c r="B444" s="68" t="s">
        <v>585</v>
      </c>
      <c r="C444" s="97">
        <v>0.4</v>
      </c>
      <c r="D444" s="69" t="s">
        <v>66</v>
      </c>
      <c r="E444" s="136"/>
      <c r="F444" s="154"/>
      <c r="G444" s="154"/>
      <c r="H444" s="154"/>
      <c r="I444" s="154">
        <v>1.753E-3</v>
      </c>
      <c r="J444" s="154"/>
      <c r="K444" s="154">
        <v>3.101E-3</v>
      </c>
      <c r="L444" s="154">
        <v>4.653E-3</v>
      </c>
      <c r="M444" s="154"/>
      <c r="N444" s="137" cm="1">
        <f t="array" aca="1" ref="N444:AE444" ca="1">IF(OR(B444="",NOT($J$2)),"",GetStripDefaultProbability(A444,B444,Parameter_Date,CDSRollDate,E444:M444,SpreadCurveMaturities,D444,C444,$J$4,$J$6))</f>
        <v>0</v>
      </c>
      <c r="O444" s="155">
        <f ca="1"/>
        <v>0</v>
      </c>
      <c r="P444" s="155">
        <f ca="1"/>
        <v>0</v>
      </c>
      <c r="Q444" s="155">
        <f ca="1"/>
        <v>0</v>
      </c>
      <c r="R444" s="155">
        <f ca="1"/>
        <v>8.9684136928006586E-3</v>
      </c>
      <c r="S444" s="155">
        <f ca="1"/>
        <v>0</v>
      </c>
      <c r="T444" s="155">
        <f ca="1"/>
        <v>2.6586488250392448E-2</v>
      </c>
      <c r="U444" s="155">
        <f ca="1"/>
        <v>5.5865400284923261E-2</v>
      </c>
      <c r="V444" s="138">
        <f ca="1"/>
        <v>0</v>
      </c>
      <c r="W444" s="137">
        <f ca="1"/>
        <v>0</v>
      </c>
      <c r="X444" s="155">
        <f ca="1"/>
        <v>0</v>
      </c>
      <c r="Y444" s="155">
        <f ca="1"/>
        <v>0</v>
      </c>
      <c r="Z444" s="155">
        <f ca="1"/>
        <v>0</v>
      </c>
      <c r="AA444" s="155">
        <f ca="1"/>
        <v>9.4638056277032145E-3</v>
      </c>
      <c r="AB444" s="155">
        <f ca="1"/>
        <v>0</v>
      </c>
      <c r="AC444" s="155">
        <f ca="1"/>
        <v>2.7417323292911244E-2</v>
      </c>
      <c r="AD444" s="155">
        <f ca="1"/>
        <v>5.6994140136137794E-2</v>
      </c>
      <c r="AE444" s="138">
        <f ca="1"/>
        <v>0</v>
      </c>
      <c r="AG444" s="135"/>
      <c r="AH444" s="135">
        <v>2.993E-3</v>
      </c>
      <c r="AI444" s="135">
        <v>4.7149999999999996E-3</v>
      </c>
      <c r="AJ444" s="135">
        <v>6.6360000000000004E-3</v>
      </c>
      <c r="AK444" s="135"/>
      <c r="AL444" s="135">
        <f t="shared" ca="1" si="23"/>
        <v>2.3362470231123563E-3</v>
      </c>
      <c r="AM444" s="135">
        <f t="shared" ca="1" si="24"/>
        <v>5.4856654083562696E-3</v>
      </c>
      <c r="AN444" s="135">
        <f t="shared" ca="1" si="25"/>
        <v>1.1244098054996678E-2</v>
      </c>
      <c r="AP444" s="515">
        <f t="shared" ca="1" si="26"/>
        <v>6.1549830507556141E-4</v>
      </c>
      <c r="AQ444" s="515">
        <f t="shared" ca="1" si="27"/>
        <v>1.3257516580930612E-3</v>
      </c>
      <c r="AR444" s="515">
        <f t="shared" ca="1" si="28"/>
        <v>2.6759704721562865E-3</v>
      </c>
      <c r="AT444" s="515">
        <f t="shared" ca="1" si="29"/>
        <v>4.3817704861237622E-2</v>
      </c>
      <c r="AU444" s="515">
        <f t="shared" ca="1" si="30"/>
        <v>6.5802873885366611E-2</v>
      </c>
      <c r="AV444" s="515">
        <f t="shared" ca="1" si="31"/>
        <v>0.11372415291737221</v>
      </c>
    </row>
    <row r="445" spans="1:48" ht="10.5" customHeight="1">
      <c r="A445" s="96">
        <v>434</v>
      </c>
      <c r="B445" s="68" t="s">
        <v>586</v>
      </c>
      <c r="C445" s="97">
        <v>0.4</v>
      </c>
      <c r="D445" s="69" t="s">
        <v>66</v>
      </c>
      <c r="E445" s="136"/>
      <c r="F445" s="154"/>
      <c r="G445" s="154"/>
      <c r="H445" s="154"/>
      <c r="I445" s="154">
        <v>3.1080000000000001E-3</v>
      </c>
      <c r="J445" s="154"/>
      <c r="K445" s="154">
        <v>5.4169999999999999E-3</v>
      </c>
      <c r="L445" s="154">
        <v>8.0789999999999994E-3</v>
      </c>
      <c r="M445" s="154"/>
      <c r="N445" s="137" cm="1">
        <f t="array" aca="1" ref="N445:AE445" ca="1">IF(OR(B445="",NOT($J$2)),"",GetStripDefaultProbability(A445,B445,Parameter_Date,CDSRollDate,E445:M445,SpreadCurveMaturities,D445,C445,$J$4,$J$6))</f>
        <v>0</v>
      </c>
      <c r="O445" s="155">
        <f ca="1"/>
        <v>0</v>
      </c>
      <c r="P445" s="155">
        <f ca="1"/>
        <v>0</v>
      </c>
      <c r="Q445" s="155">
        <f ca="1"/>
        <v>0</v>
      </c>
      <c r="R445" s="155">
        <f ca="1"/>
        <v>1.5846453439343877E-2</v>
      </c>
      <c r="S445" s="155">
        <f ca="1"/>
        <v>0</v>
      </c>
      <c r="T445" s="155">
        <f ca="1"/>
        <v>4.6088973703240388E-2</v>
      </c>
      <c r="U445" s="155">
        <f ca="1"/>
        <v>9.564238116858792E-2</v>
      </c>
      <c r="V445" s="138">
        <f ca="1"/>
        <v>0</v>
      </c>
      <c r="W445" s="137">
        <f ca="1"/>
        <v>0</v>
      </c>
      <c r="X445" s="155">
        <f ca="1"/>
        <v>0</v>
      </c>
      <c r="Y445" s="155">
        <f ca="1"/>
        <v>0</v>
      </c>
      <c r="Z445" s="155">
        <f ca="1"/>
        <v>0</v>
      </c>
      <c r="AA445" s="155">
        <f ca="1"/>
        <v>1.6338407213939754E-2</v>
      </c>
      <c r="AB445" s="155">
        <f ca="1"/>
        <v>0</v>
      </c>
      <c r="AC445" s="155">
        <f ca="1"/>
        <v>4.6902027160416138E-2</v>
      </c>
      <c r="AD445" s="155">
        <f ca="1"/>
        <v>9.6720511997044678E-2</v>
      </c>
      <c r="AE445" s="138">
        <f ca="1"/>
        <v>0</v>
      </c>
      <c r="AG445" s="135"/>
      <c r="AH445" s="135">
        <v>4.0020000000000003E-3</v>
      </c>
      <c r="AI445" s="135">
        <v>6.0629999999999998E-3</v>
      </c>
      <c r="AJ445" s="135">
        <v>8.3820000000000006E-3</v>
      </c>
      <c r="AK445" s="135"/>
      <c r="AL445" s="135">
        <f t="shared" ca="1" si="23"/>
        <v>3.1238424946527401E-3</v>
      </c>
      <c r="AM445" s="135">
        <f t="shared" ca="1" si="24"/>
        <v>7.0539956247855917E-3</v>
      </c>
      <c r="AN445" s="135">
        <f t="shared" ca="1" si="25"/>
        <v>1.4202536150841194E-2</v>
      </c>
      <c r="AP445" s="515">
        <f t="shared" ca="1" si="26"/>
        <v>8.2299506077928403E-4</v>
      </c>
      <c r="AQ445" s="515">
        <f t="shared" ca="1" si="27"/>
        <v>1.7047788553591159E-3</v>
      </c>
      <c r="AR445" s="515">
        <f t="shared" ca="1" si="28"/>
        <v>3.3800458857163942E-3</v>
      </c>
      <c r="AT445" s="515">
        <f t="shared" ca="1" si="29"/>
        <v>5.8589527181648178E-2</v>
      </c>
      <c r="AU445" s="515">
        <f t="shared" ca="1" si="30"/>
        <v>8.461565734188288E-2</v>
      </c>
      <c r="AV445" s="515">
        <f t="shared" ca="1" si="31"/>
        <v>0.14364614975187071</v>
      </c>
    </row>
    <row r="446" spans="1:48" ht="10.5" customHeight="1">
      <c r="A446" s="96">
        <v>435</v>
      </c>
      <c r="B446" s="68" t="s">
        <v>595</v>
      </c>
      <c r="C446" s="97">
        <v>0.4</v>
      </c>
      <c r="D446" s="69" t="s">
        <v>66</v>
      </c>
      <c r="E446" s="136"/>
      <c r="F446" s="154"/>
      <c r="G446" s="154"/>
      <c r="H446" s="154"/>
      <c r="I446" s="154">
        <v>2.4889999999999999E-3</v>
      </c>
      <c r="J446" s="154"/>
      <c r="K446" s="154">
        <v>4.5339999999999998E-3</v>
      </c>
      <c r="L446" s="154">
        <v>6.875E-3</v>
      </c>
      <c r="M446" s="154"/>
      <c r="N446" s="137" cm="1">
        <f t="array" aca="1" ref="N446:AE446" ca="1">IF(OR(B446="",NOT($J$2)),"",GetStripDefaultProbability(A446,B446,Parameter_Date,CDSRollDate,E446:M446,SpreadCurveMaturities,D446,C446,$J$4,$J$6))</f>
        <v>0</v>
      </c>
      <c r="O446" s="155">
        <f ca="1"/>
        <v>0</v>
      </c>
      <c r="P446" s="155">
        <f ca="1"/>
        <v>0</v>
      </c>
      <c r="Q446" s="155">
        <f ca="1"/>
        <v>0</v>
      </c>
      <c r="R446" s="155">
        <f ca="1"/>
        <v>1.2710207789432548E-2</v>
      </c>
      <c r="S446" s="155">
        <f ca="1"/>
        <v>0</v>
      </c>
      <c r="T446" s="155">
        <f ca="1"/>
        <v>3.873137554386441E-2</v>
      </c>
      <c r="U446" s="155">
        <f ca="1"/>
        <v>8.1899280451078416E-2</v>
      </c>
      <c r="V446" s="138">
        <f ca="1"/>
        <v>0</v>
      </c>
      <c r="W446" s="137">
        <f ca="1"/>
        <v>0</v>
      </c>
      <c r="X446" s="155">
        <f ca="1"/>
        <v>0</v>
      </c>
      <c r="Y446" s="155">
        <f ca="1"/>
        <v>0</v>
      </c>
      <c r="Z446" s="155">
        <f ca="1"/>
        <v>0</v>
      </c>
      <c r="AA446" s="155">
        <f ca="1"/>
        <v>1.3203729294824607E-2</v>
      </c>
      <c r="AB446" s="155">
        <f ca="1"/>
        <v>0</v>
      </c>
      <c r="AC446" s="155">
        <f ca="1"/>
        <v>3.9551523945879241E-2</v>
      </c>
      <c r="AD446" s="155">
        <f ca="1"/>
        <v>8.2996099107613741E-2</v>
      </c>
      <c r="AE446" s="138">
        <f ca="1"/>
        <v>0</v>
      </c>
      <c r="AG446" s="135"/>
      <c r="AH446" s="135">
        <v>1.9380000000000001E-3</v>
      </c>
      <c r="AI446" s="135">
        <v>3.1410000000000001E-3</v>
      </c>
      <c r="AJ446" s="135">
        <v>4.7060000000000001E-3</v>
      </c>
      <c r="AK446" s="135"/>
      <c r="AL446" s="135">
        <f t="shared" ca="1" si="23"/>
        <v>1.5127453160012519E-3</v>
      </c>
      <c r="AM446" s="135">
        <f t="shared" ca="1" si="24"/>
        <v>3.6543955562347921E-3</v>
      </c>
      <c r="AN446" s="135">
        <f t="shared" ca="1" si="25"/>
        <v>7.9738887050654558E-3</v>
      </c>
      <c r="AP446" s="515">
        <f t="shared" ca="1" si="26"/>
        <v>3.985418360295483E-4</v>
      </c>
      <c r="AQ446" s="515">
        <f t="shared" ca="1" si="27"/>
        <v>8.8317835802127385E-4</v>
      </c>
      <c r="AR446" s="515">
        <f t="shared" ca="1" si="28"/>
        <v>1.8976969623218027E-3</v>
      </c>
      <c r="AT446" s="515">
        <f t="shared" ca="1" si="29"/>
        <v>2.8372439699658709E-2</v>
      </c>
      <c r="AU446" s="515">
        <f t="shared" ca="1" si="30"/>
        <v>4.383601842501305E-2</v>
      </c>
      <c r="AV446" s="515">
        <f t="shared" ca="1" si="31"/>
        <v>8.0648864320246177E-2</v>
      </c>
    </row>
    <row r="447" spans="1:48" ht="10.5" customHeight="1">
      <c r="A447" s="96">
        <v>436</v>
      </c>
      <c r="B447" s="68" t="s">
        <v>587</v>
      </c>
      <c r="C447" s="97">
        <v>0.4</v>
      </c>
      <c r="D447" s="69" t="s">
        <v>66</v>
      </c>
      <c r="E447" s="136"/>
      <c r="F447" s="154"/>
      <c r="G447" s="154"/>
      <c r="H447" s="154"/>
      <c r="I447" s="154">
        <v>9.5580000000000005E-3</v>
      </c>
      <c r="J447" s="154"/>
      <c r="K447" s="154">
        <v>1.5862999999999999E-2</v>
      </c>
      <c r="L447" s="154">
        <v>1.9740000000000001E-2</v>
      </c>
      <c r="M447" s="154"/>
      <c r="N447" s="137" cm="1">
        <f t="array" aca="1" ref="N447:AE447" ca="1">IF(OR(B447="",NOT($J$2)),"",GetStripDefaultProbability(A447,B447,Parameter_Date,CDSRollDate,E447:M447,SpreadCurveMaturities,D447,C447,$J$4,$J$6))</f>
        <v>0</v>
      </c>
      <c r="O447" s="155">
        <f ca="1"/>
        <v>0</v>
      </c>
      <c r="P447" s="155">
        <f ca="1"/>
        <v>0</v>
      </c>
      <c r="Q447" s="155">
        <f ca="1"/>
        <v>0</v>
      </c>
      <c r="R447" s="155">
        <f ca="1"/>
        <v>4.7928937907238289E-2</v>
      </c>
      <c r="S447" s="155">
        <f ca="1"/>
        <v>0</v>
      </c>
      <c r="T447" s="155">
        <f ca="1"/>
        <v>0.13030224153025216</v>
      </c>
      <c r="U447" s="155">
        <f ca="1"/>
        <v>0.21928168638094792</v>
      </c>
      <c r="V447" s="138">
        <f ca="1"/>
        <v>0</v>
      </c>
      <c r="W447" s="137">
        <f ca="1"/>
        <v>0</v>
      </c>
      <c r="X447" s="155">
        <f ca="1"/>
        <v>0</v>
      </c>
      <c r="Y447" s="155">
        <f ca="1"/>
        <v>0</v>
      </c>
      <c r="Z447" s="155">
        <f ca="1"/>
        <v>0</v>
      </c>
      <c r="AA447" s="155">
        <f ca="1"/>
        <v>4.8404854449210166E-2</v>
      </c>
      <c r="AB447" s="155">
        <f ca="1"/>
        <v>0</v>
      </c>
      <c r="AC447" s="155">
        <f ca="1"/>
        <v>0.13105780961839286</v>
      </c>
      <c r="AD447" s="155">
        <f ca="1"/>
        <v>0.22024330783699309</v>
      </c>
      <c r="AE447" s="138">
        <f ca="1"/>
        <v>0</v>
      </c>
      <c r="AG447" s="135"/>
      <c r="AH447" s="135">
        <v>1.7650000000000001E-3</v>
      </c>
      <c r="AI447" s="135">
        <v>2.9750000000000002E-3</v>
      </c>
      <c r="AJ447" s="135">
        <v>4.2370000000000003E-3</v>
      </c>
      <c r="AK447" s="135"/>
      <c r="AL447" s="135">
        <f t="shared" ca="1" si="23"/>
        <v>1.3777066474418005E-3</v>
      </c>
      <c r="AM447" s="135">
        <f t="shared" ca="1" si="24"/>
        <v>3.461262903469757E-3</v>
      </c>
      <c r="AN447" s="135">
        <f t="shared" ca="1" si="25"/>
        <v>7.1792108889422741E-3</v>
      </c>
      <c r="AP447" s="515">
        <f t="shared" ca="1" si="26"/>
        <v>3.6296508802484661E-4</v>
      </c>
      <c r="AQ447" s="515">
        <f t="shared" ca="1" si="27"/>
        <v>8.3650290197812471E-4</v>
      </c>
      <c r="AR447" s="515">
        <f t="shared" ca="1" si="28"/>
        <v>1.7085724669267911E-3</v>
      </c>
      <c r="AT447" s="515">
        <f t="shared" ca="1" si="29"/>
        <v>2.5839709014395057E-2</v>
      </c>
      <c r="AU447" s="515">
        <f t="shared" ca="1" si="30"/>
        <v>4.1519310669982115E-2</v>
      </c>
      <c r="AV447" s="515">
        <f t="shared" ca="1" si="31"/>
        <v>7.2611397816592232E-2</v>
      </c>
    </row>
    <row r="448" spans="1:48" ht="10.5" customHeight="1">
      <c r="A448" s="96">
        <v>437</v>
      </c>
      <c r="B448" s="68" t="s">
        <v>615</v>
      </c>
      <c r="C448" s="97">
        <v>0.4</v>
      </c>
      <c r="D448" s="69" t="s">
        <v>66</v>
      </c>
      <c r="E448" s="136"/>
      <c r="F448" s="154"/>
      <c r="G448" s="154"/>
      <c r="H448" s="154"/>
      <c r="I448" s="154">
        <v>7.8799999999999996E-4</v>
      </c>
      <c r="J448" s="154"/>
      <c r="K448" s="154">
        <v>1.3649999999999999E-3</v>
      </c>
      <c r="L448" s="154">
        <v>2.568E-3</v>
      </c>
      <c r="M448" s="154"/>
      <c r="N448" s="137" cm="1">
        <f t="array" aca="1" ref="N448:AE448" ca="1">IF(OR(B448="",NOT($J$2)),"",GetStripDefaultProbability(A448,B448,Parameter_Date,CDSRollDate,E448:M448,SpreadCurveMaturities,D448,C448,$J$4,$J$6))</f>
        <v>0</v>
      </c>
      <c r="O448" s="155">
        <f ca="1"/>
        <v>0</v>
      </c>
      <c r="P448" s="155">
        <f ca="1"/>
        <v>0</v>
      </c>
      <c r="Q448" s="155">
        <f ca="1"/>
        <v>0</v>
      </c>
      <c r="R448" s="155">
        <f ca="1"/>
        <v>4.0412799589819581E-3</v>
      </c>
      <c r="S448" s="155">
        <f ca="1"/>
        <v>0</v>
      </c>
      <c r="T448" s="155">
        <f ca="1"/>
        <v>1.1760381475012682E-2</v>
      </c>
      <c r="U448" s="155">
        <f ca="1"/>
        <v>3.1331688925815837E-2</v>
      </c>
      <c r="V448" s="138">
        <f ca="1"/>
        <v>0</v>
      </c>
      <c r="W448" s="137">
        <f ca="1"/>
        <v>0</v>
      </c>
      <c r="X448" s="155">
        <f ca="1"/>
        <v>0</v>
      </c>
      <c r="Y448" s="155">
        <f ca="1"/>
        <v>0</v>
      </c>
      <c r="Z448" s="155">
        <f ca="1"/>
        <v>0</v>
      </c>
      <c r="AA448" s="155">
        <f ca="1"/>
        <v>4.5391348449133062E-3</v>
      </c>
      <c r="AB448" s="155">
        <f ca="1"/>
        <v>0</v>
      </c>
      <c r="AC448" s="155">
        <f ca="1"/>
        <v>1.2603169209018161E-2</v>
      </c>
      <c r="AD448" s="155">
        <f ca="1"/>
        <v>3.2488691528691271E-2</v>
      </c>
      <c r="AE448" s="138">
        <f ca="1"/>
        <v>0</v>
      </c>
      <c r="AG448" s="135"/>
      <c r="AH448" s="135">
        <v>2.5079999999999998E-3</v>
      </c>
      <c r="AI448" s="135">
        <v>4.2789999999999998E-3</v>
      </c>
      <c r="AJ448" s="135">
        <v>5.8820000000000001E-3</v>
      </c>
      <c r="AK448" s="135"/>
      <c r="AL448" s="135">
        <f t="shared" ca="1" si="23"/>
        <v>1.9576704089427962E-3</v>
      </c>
      <c r="AM448" s="135">
        <f t="shared" ca="1" si="24"/>
        <v>4.9784013324191898E-3</v>
      </c>
      <c r="AN448" s="135">
        <f t="shared" ca="1" si="25"/>
        <v>9.9665136768370202E-3</v>
      </c>
      <c r="AP448" s="515">
        <f t="shared" ca="1" si="26"/>
        <v>5.1576002309706244E-4</v>
      </c>
      <c r="AQ448" s="515">
        <f t="shared" ca="1" si="27"/>
        <v>1.2031582916182842E-3</v>
      </c>
      <c r="AR448" s="515">
        <f t="shared" ca="1" si="28"/>
        <v>2.3719195776406381E-3</v>
      </c>
      <c r="AT448" s="515">
        <f t="shared" ca="1" si="29"/>
        <v>3.6717274905440682E-2</v>
      </c>
      <c r="AU448" s="515">
        <f t="shared" ca="1" si="30"/>
        <v>5.9718027010707046E-2</v>
      </c>
      <c r="AV448" s="515">
        <f t="shared" ca="1" si="31"/>
        <v>0.10080251167269189</v>
      </c>
    </row>
    <row r="449" spans="1:48" ht="10.5" customHeight="1">
      <c r="A449" s="96">
        <v>438</v>
      </c>
      <c r="B449" s="68" t="s">
        <v>588</v>
      </c>
      <c r="C449" s="97">
        <v>0.4</v>
      </c>
      <c r="D449" s="69" t="s">
        <v>66</v>
      </c>
      <c r="E449" s="136"/>
      <c r="F449" s="154"/>
      <c r="G449" s="154"/>
      <c r="H449" s="154"/>
      <c r="I449" s="154">
        <v>1.861E-3</v>
      </c>
      <c r="J449" s="154"/>
      <c r="K449" s="154">
        <v>3.0709999999999999E-3</v>
      </c>
      <c r="L449" s="154">
        <v>4.4549999999999998E-3</v>
      </c>
      <c r="M449" s="154"/>
      <c r="N449" s="137" cm="1">
        <f t="array" aca="1" ref="N449:AE449" ca="1">IF(OR(B449="",NOT($J$2)),"",GetStripDefaultProbability(A449,B449,Parameter_Date,CDSRollDate,E449:M449,SpreadCurveMaturities,D449,C449,$J$4,$J$6))</f>
        <v>0</v>
      </c>
      <c r="O449" s="155">
        <f ca="1"/>
        <v>0</v>
      </c>
      <c r="P449" s="155">
        <f ca="1"/>
        <v>0</v>
      </c>
      <c r="Q449" s="155">
        <f ca="1"/>
        <v>0</v>
      </c>
      <c r="R449" s="155">
        <f ca="1"/>
        <v>9.5183513126516628E-3</v>
      </c>
      <c r="S449" s="155">
        <f ca="1"/>
        <v>0</v>
      </c>
      <c r="T449" s="155">
        <f ca="1"/>
        <v>2.6281659847856575E-2</v>
      </c>
      <c r="U449" s="155">
        <f ca="1"/>
        <v>5.339589474225015E-2</v>
      </c>
      <c r="V449" s="138">
        <f ca="1"/>
        <v>0</v>
      </c>
      <c r="W449" s="137">
        <f ca="1"/>
        <v>0</v>
      </c>
      <c r="X449" s="155">
        <f ca="1"/>
        <v>0</v>
      </c>
      <c r="Y449" s="155">
        <f ca="1"/>
        <v>0</v>
      </c>
      <c r="Z449" s="155">
        <f ca="1"/>
        <v>0</v>
      </c>
      <c r="AA449" s="155">
        <f ca="1"/>
        <v>1.0013468347441323E-2</v>
      </c>
      <c r="AB449" s="155">
        <f ca="1"/>
        <v>0</v>
      </c>
      <c r="AC449" s="155">
        <f ca="1"/>
        <v>2.7112572679899416E-2</v>
      </c>
      <c r="AD449" s="155">
        <f ca="1"/>
        <v>5.4527045314013978E-2</v>
      </c>
      <c r="AE449" s="138">
        <f ca="1"/>
        <v>0</v>
      </c>
      <c r="AG449" s="135"/>
      <c r="AH449" s="135">
        <v>2.1419999999999998E-3</v>
      </c>
      <c r="AI449" s="135">
        <v>3.333E-3</v>
      </c>
      <c r="AJ449" s="135">
        <v>4.7910000000000001E-3</v>
      </c>
      <c r="AK449" s="135"/>
      <c r="AL449" s="135">
        <f t="shared" ca="1" si="23"/>
        <v>1.671981665054015E-3</v>
      </c>
      <c r="AM449" s="135">
        <f t="shared" ca="1" si="24"/>
        <v>3.8777779016015796E-3</v>
      </c>
      <c r="AN449" s="135">
        <f t="shared" ca="1" si="25"/>
        <v>8.117913469181599E-3</v>
      </c>
      <c r="AP449" s="515">
        <f t="shared" ca="1" si="26"/>
        <v>4.404936082431849E-4</v>
      </c>
      <c r="AQ449" s="515">
        <f t="shared" ca="1" si="27"/>
        <v>9.3716442766154267E-4</v>
      </c>
      <c r="AR449" s="515">
        <f t="shared" ca="1" si="28"/>
        <v>1.9319732567963785E-3</v>
      </c>
      <c r="AT449" s="515">
        <f t="shared" ca="1" si="29"/>
        <v>3.1359012299622784E-2</v>
      </c>
      <c r="AU449" s="515">
        <f t="shared" ca="1" si="30"/>
        <v>4.6515584021193407E-2</v>
      </c>
      <c r="AV449" s="515">
        <f t="shared" ca="1" si="31"/>
        <v>8.2105548014938259E-2</v>
      </c>
    </row>
    <row r="450" spans="1:48" ht="10.5" customHeight="1">
      <c r="A450" s="96">
        <v>439</v>
      </c>
      <c r="B450" s="68" t="s">
        <v>596</v>
      </c>
      <c r="C450" s="97">
        <v>0.4</v>
      </c>
      <c r="D450" s="69" t="s">
        <v>66</v>
      </c>
      <c r="E450" s="136"/>
      <c r="F450" s="154"/>
      <c r="G450" s="154"/>
      <c r="H450" s="154"/>
      <c r="I450" s="154">
        <v>3.8760000000000001E-3</v>
      </c>
      <c r="J450" s="154"/>
      <c r="K450" s="154">
        <v>6.6940000000000003E-3</v>
      </c>
      <c r="L450" s="154">
        <v>1.0071999999999999E-2</v>
      </c>
      <c r="M450" s="154"/>
      <c r="N450" s="137" cm="1">
        <f t="array" aca="1" ref="N450:AE450" ca="1">IF(OR(B450="",NOT($J$2)),"",GetStripDefaultProbability(A450,B450,Parameter_Date,CDSRollDate,E450:M450,SpreadCurveMaturities,D450,C450,$J$4,$J$6))</f>
        <v>0</v>
      </c>
      <c r="O450" s="155">
        <f ca="1"/>
        <v>0</v>
      </c>
      <c r="P450" s="155">
        <f ca="1"/>
        <v>0</v>
      </c>
      <c r="Q450" s="155">
        <f ca="1"/>
        <v>0</v>
      </c>
      <c r="R450" s="155">
        <f ca="1"/>
        <v>1.9724078827078939E-2</v>
      </c>
      <c r="S450" s="155">
        <f ca="1"/>
        <v>0</v>
      </c>
      <c r="T450" s="155">
        <f ca="1"/>
        <v>5.6710433350418921E-2</v>
      </c>
      <c r="U450" s="155">
        <f ca="1"/>
        <v>0.11831148881954334</v>
      </c>
      <c r="V450" s="138">
        <f ca="1"/>
        <v>0</v>
      </c>
      <c r="W450" s="137">
        <f ca="1"/>
        <v>0</v>
      </c>
      <c r="X450" s="155">
        <f ca="1"/>
        <v>0</v>
      </c>
      <c r="Y450" s="155">
        <f ca="1"/>
        <v>0</v>
      </c>
      <c r="Z450" s="155">
        <f ca="1"/>
        <v>0</v>
      </c>
      <c r="AA450" s="155">
        <f ca="1"/>
        <v>2.0214094273589334E-2</v>
      </c>
      <c r="AB450" s="155">
        <f ca="1"/>
        <v>0</v>
      </c>
      <c r="AC450" s="155">
        <f ca="1"/>
        <v>5.7496180549157394E-2</v>
      </c>
      <c r="AD450" s="155">
        <f ca="1"/>
        <v>0.11938587516897192</v>
      </c>
      <c r="AE450" s="138">
        <f ca="1"/>
        <v>0</v>
      </c>
      <c r="AG450" s="135"/>
      <c r="AH450" s="135">
        <v>3.7789999999999998E-3</v>
      </c>
      <c r="AI450" s="135">
        <v>7.345E-3</v>
      </c>
      <c r="AJ450" s="135">
        <v>1.0267999999999999E-2</v>
      </c>
      <c r="AK450" s="135"/>
      <c r="AL450" s="135">
        <f t="shared" ca="1" si="23"/>
        <v>2.9497753091685913E-3</v>
      </c>
      <c r="AM450" s="135">
        <f t="shared" ca="1" si="24"/>
        <v>8.5455381599950798E-3</v>
      </c>
      <c r="AN450" s="135">
        <f t="shared" ca="1" si="25"/>
        <v>1.7398191505229942E-2</v>
      </c>
      <c r="AP450" s="515">
        <f t="shared" ca="1" si="26"/>
        <v>7.7713601566339679E-4</v>
      </c>
      <c r="AQ450" s="515">
        <f t="shared" ca="1" si="27"/>
        <v>2.0652483411863279E-3</v>
      </c>
      <c r="AR450" s="515">
        <f t="shared" ca="1" si="28"/>
        <v>4.1405763725287439E-3</v>
      </c>
      <c r="AT450" s="515">
        <f t="shared" ca="1" si="29"/>
        <v>5.5324793408158025E-2</v>
      </c>
      <c r="AU450" s="515">
        <f t="shared" ca="1" si="30"/>
        <v>0.10250734012471215</v>
      </c>
      <c r="AV450" s="515">
        <f t="shared" ca="1" si="31"/>
        <v>0.17596739031880315</v>
      </c>
    </row>
    <row r="451" spans="1:48" ht="10.5" customHeight="1">
      <c r="A451" s="96">
        <v>440</v>
      </c>
      <c r="B451" s="68" t="s">
        <v>589</v>
      </c>
      <c r="C451" s="97">
        <v>0.4</v>
      </c>
      <c r="D451" s="69" t="s">
        <v>66</v>
      </c>
      <c r="E451" s="136"/>
      <c r="F451" s="154"/>
      <c r="G451" s="154"/>
      <c r="H451" s="154"/>
      <c r="I451" s="154">
        <v>1.3079999999999999E-3</v>
      </c>
      <c r="J451" s="154"/>
      <c r="K451" s="154">
        <v>2.3080000000000002E-3</v>
      </c>
      <c r="L451" s="154">
        <v>3.643E-3</v>
      </c>
      <c r="M451" s="154"/>
      <c r="N451" s="137" cm="1">
        <f t="array" aca="1" ref="N451:AE451" ca="1">IF(OR(B451="",NOT($J$2)),"",GetStripDefaultProbability(A451,B451,Parameter_Date,CDSRollDate,E451:M451,SpreadCurveMaturities,D451,C451,$J$4,$J$6))</f>
        <v>0</v>
      </c>
      <c r="O451" s="155">
        <f ca="1"/>
        <v>0</v>
      </c>
      <c r="P451" s="155">
        <f ca="1"/>
        <v>0</v>
      </c>
      <c r="Q451" s="155">
        <f ca="1"/>
        <v>0</v>
      </c>
      <c r="R451" s="155">
        <f ca="1"/>
        <v>6.6993009603736331E-3</v>
      </c>
      <c r="S451" s="155">
        <f ca="1"/>
        <v>0</v>
      </c>
      <c r="T451" s="155">
        <f ca="1"/>
        <v>1.9835367072084775E-2</v>
      </c>
      <c r="U451" s="155">
        <f ca="1"/>
        <v>4.4004470280547214E-2</v>
      </c>
      <c r="V451" s="138">
        <f ca="1"/>
        <v>0</v>
      </c>
      <c r="W451" s="137">
        <f ca="1"/>
        <v>0</v>
      </c>
      <c r="X451" s="155">
        <f ca="1"/>
        <v>0</v>
      </c>
      <c r="Y451" s="155">
        <f ca="1"/>
        <v>0</v>
      </c>
      <c r="Z451" s="155">
        <f ca="1"/>
        <v>0</v>
      </c>
      <c r="AA451" s="155">
        <f ca="1"/>
        <v>7.1958271679601893E-3</v>
      </c>
      <c r="AB451" s="155">
        <f ca="1"/>
        <v>0</v>
      </c>
      <c r="AC451" s="155">
        <f ca="1"/>
        <v>2.0671793416659812E-2</v>
      </c>
      <c r="AD451" s="155">
        <f ca="1"/>
        <v>4.5146979676042531E-2</v>
      </c>
      <c r="AE451" s="138">
        <f ca="1"/>
        <v>0</v>
      </c>
      <c r="AG451" s="135"/>
      <c r="AH451" s="135">
        <v>2.137E-3</v>
      </c>
      <c r="AI451" s="135">
        <v>3.2109999999999999E-3</v>
      </c>
      <c r="AJ451" s="135">
        <v>4.6039999999999996E-3</v>
      </c>
      <c r="AK451" s="135"/>
      <c r="AL451" s="135">
        <f t="shared" ca="1" si="23"/>
        <v>1.6680788133615456E-3</v>
      </c>
      <c r="AM451" s="135">
        <f t="shared" ca="1" si="24"/>
        <v>3.7358370363164335E-3</v>
      </c>
      <c r="AN451" s="135">
        <f t="shared" ca="1" si="25"/>
        <v>7.8010589881260849E-3</v>
      </c>
      <c r="AP451" s="515">
        <f t="shared" ca="1" si="26"/>
        <v>4.3946537853206642E-4</v>
      </c>
      <c r="AQ451" s="515">
        <f t="shared" ca="1" si="27"/>
        <v>9.0286077924428847E-4</v>
      </c>
      <c r="AR451" s="515">
        <f t="shared" ca="1" si="28"/>
        <v>1.8565654089523116E-3</v>
      </c>
      <c r="AT451" s="515">
        <f t="shared" ca="1" si="29"/>
        <v>3.1285811990800133E-2</v>
      </c>
      <c r="AU451" s="515">
        <f t="shared" ca="1" si="30"/>
        <v>4.4812943381953803E-2</v>
      </c>
      <c r="AV451" s="515">
        <f t="shared" ca="1" si="31"/>
        <v>7.8900843886615668E-2</v>
      </c>
    </row>
    <row r="452" spans="1:48" ht="10.5" customHeight="1">
      <c r="A452" s="96">
        <v>441</v>
      </c>
      <c r="B452" s="68" t="s">
        <v>597</v>
      </c>
      <c r="C452" s="97">
        <v>0.4</v>
      </c>
      <c r="D452" s="69" t="s">
        <v>66</v>
      </c>
      <c r="E452" s="136"/>
      <c r="F452" s="154"/>
      <c r="G452" s="154"/>
      <c r="H452" s="154"/>
      <c r="I452" s="154">
        <v>1.5479999999999999E-3</v>
      </c>
      <c r="J452" s="154"/>
      <c r="K452" s="154">
        <v>2.565E-3</v>
      </c>
      <c r="L452" s="154">
        <v>3.594E-3</v>
      </c>
      <c r="M452" s="154"/>
      <c r="N452" s="137" cm="1">
        <f t="array" aca="1" ref="N452:AE452" ca="1">IF(OR(B452="",NOT($J$2)),"",GetStripDefaultProbability(A452,B452,Parameter_Date,CDSRollDate,E452:M452,SpreadCurveMaturities,D452,C452,$J$4,$J$6))</f>
        <v>0</v>
      </c>
      <c r="O452" s="155">
        <f ca="1"/>
        <v>0</v>
      </c>
      <c r="P452" s="155">
        <f ca="1"/>
        <v>0</v>
      </c>
      <c r="Q452" s="155">
        <f ca="1"/>
        <v>0</v>
      </c>
      <c r="R452" s="155">
        <f ca="1"/>
        <v>7.9237255901861703E-3</v>
      </c>
      <c r="S452" s="155">
        <f ca="1"/>
        <v>0</v>
      </c>
      <c r="T452" s="155">
        <f ca="1"/>
        <v>2.1989579228838596E-2</v>
      </c>
      <c r="U452" s="155">
        <f ca="1"/>
        <v>4.3162741743885236E-2</v>
      </c>
      <c r="V452" s="138">
        <f ca="1"/>
        <v>0</v>
      </c>
      <c r="W452" s="137">
        <f ca="1"/>
        <v>0</v>
      </c>
      <c r="X452" s="155">
        <f ca="1"/>
        <v>0</v>
      </c>
      <c r="Y452" s="155">
        <f ca="1"/>
        <v>0</v>
      </c>
      <c r="Z452" s="155">
        <f ca="1"/>
        <v>0</v>
      </c>
      <c r="AA452" s="155">
        <f ca="1"/>
        <v>8.419639738501794E-3</v>
      </c>
      <c r="AB452" s="155">
        <f ca="1"/>
        <v>0</v>
      </c>
      <c r="AC452" s="155">
        <f ca="1"/>
        <v>2.2824094870242062E-2</v>
      </c>
      <c r="AD452" s="155">
        <f ca="1"/>
        <v>4.4305324930620227E-2</v>
      </c>
      <c r="AE452" s="138">
        <f ca="1"/>
        <v>0</v>
      </c>
      <c r="AG452" s="135"/>
      <c r="AH452" s="135">
        <v>4.9890000000000004E-3</v>
      </c>
      <c r="AI452" s="135">
        <v>1.01E-2</v>
      </c>
      <c r="AJ452" s="135">
        <v>1.474E-2</v>
      </c>
      <c r="AK452" s="135"/>
      <c r="AL452" s="135">
        <f t="shared" ca="1" si="23"/>
        <v>3.8942654187462569E-3</v>
      </c>
      <c r="AM452" s="135">
        <f t="shared" ca="1" si="24"/>
        <v>1.1750842126065393E-2</v>
      </c>
      <c r="AN452" s="135">
        <f t="shared" ca="1" si="25"/>
        <v>2.4975588506728607E-2</v>
      </c>
      <c r="AP452" s="515">
        <f t="shared" ca="1" si="26"/>
        <v>1.0259676057540849E-3</v>
      </c>
      <c r="AQ452" s="515">
        <f t="shared" ca="1" si="27"/>
        <v>2.8398922050349778E-3</v>
      </c>
      <c r="AR452" s="515">
        <f t="shared" ca="1" si="28"/>
        <v>5.9439127124146559E-3</v>
      </c>
      <c r="AT452" s="515">
        <f t="shared" ca="1" si="29"/>
        <v>7.3039268143239064E-2</v>
      </c>
      <c r="AU452" s="515">
        <f t="shared" ca="1" si="30"/>
        <v>0.14095631521573759</v>
      </c>
      <c r="AV452" s="515">
        <f t="shared" ca="1" si="31"/>
        <v>0.2526060901148382</v>
      </c>
    </row>
    <row r="453" spans="1:48" ht="10.5" customHeight="1">
      <c r="A453" s="96">
        <v>442</v>
      </c>
      <c r="B453" s="68" t="s">
        <v>590</v>
      </c>
      <c r="C453" s="97">
        <v>0.4</v>
      </c>
      <c r="D453" s="69" t="s">
        <v>66</v>
      </c>
      <c r="E453" s="136"/>
      <c r="F453" s="154"/>
      <c r="G453" s="154"/>
      <c r="H453" s="154"/>
      <c r="I453" s="154">
        <v>1.606E-3</v>
      </c>
      <c r="J453" s="154"/>
      <c r="K453" s="154">
        <v>2.6679999999999998E-3</v>
      </c>
      <c r="L453" s="154">
        <v>3.9750000000000002E-3</v>
      </c>
      <c r="M453" s="154"/>
      <c r="N453" s="137" cm="1">
        <f t="array" aca="1" ref="N453:AE453" ca="1">IF(OR(B453="",NOT($J$2)),"",GetStripDefaultProbability(A453,B453,Parameter_Date,CDSRollDate,E453:M453,SpreadCurveMaturities,D453,C453,$J$4,$J$6))</f>
        <v>0</v>
      </c>
      <c r="O453" s="155">
        <f ca="1"/>
        <v>0</v>
      </c>
      <c r="P453" s="155">
        <f ca="1"/>
        <v>0</v>
      </c>
      <c r="Q453" s="155">
        <f ca="1"/>
        <v>0</v>
      </c>
      <c r="R453" s="155">
        <f ca="1"/>
        <v>8.2194055798254784E-3</v>
      </c>
      <c r="S453" s="155">
        <f ca="1"/>
        <v>0</v>
      </c>
      <c r="T453" s="155">
        <f ca="1"/>
        <v>2.2866653879808796E-2</v>
      </c>
      <c r="U453" s="155">
        <f ca="1"/>
        <v>4.7798042001053975E-2</v>
      </c>
      <c r="V453" s="138">
        <f ca="1"/>
        <v>0</v>
      </c>
      <c r="W453" s="137">
        <f ca="1"/>
        <v>0</v>
      </c>
      <c r="X453" s="155">
        <f ca="1"/>
        <v>0</v>
      </c>
      <c r="Y453" s="155">
        <f ca="1"/>
        <v>0</v>
      </c>
      <c r="Z453" s="155">
        <f ca="1"/>
        <v>0</v>
      </c>
      <c r="AA453" s="155">
        <f ca="1"/>
        <v>8.7151719250772031E-3</v>
      </c>
      <c r="AB453" s="155">
        <f ca="1"/>
        <v>0</v>
      </c>
      <c r="AC453" s="155">
        <f ca="1"/>
        <v>2.3700449874206497E-2</v>
      </c>
      <c r="AD453" s="155">
        <f ca="1"/>
        <v>4.8935781676119339E-2</v>
      </c>
      <c r="AE453" s="138">
        <f ca="1"/>
        <v>0</v>
      </c>
      <c r="AG453" s="135"/>
      <c r="AH453" s="135">
        <v>2.7200000000000002E-3</v>
      </c>
      <c r="AI453" s="135">
        <v>4.6210000000000001E-3</v>
      </c>
      <c r="AJ453" s="135">
        <v>6.9170000000000004E-3</v>
      </c>
      <c r="AK453" s="135"/>
      <c r="AL453" s="135">
        <f t="shared" ca="1" si="23"/>
        <v>2.1231513207035113E-3</v>
      </c>
      <c r="AM453" s="135">
        <f t="shared" ca="1" si="24"/>
        <v>5.3763011351037806E-3</v>
      </c>
      <c r="AN453" s="135">
        <f t="shared" ca="1" si="25"/>
        <v>1.1720226981074748E-2</v>
      </c>
      <c r="AP453" s="515">
        <f t="shared" ca="1" si="26"/>
        <v>5.5935696284848888E-4</v>
      </c>
      <c r="AQ453" s="515">
        <f t="shared" ca="1" si="27"/>
        <v>1.299320978165013E-3</v>
      </c>
      <c r="AR453" s="515">
        <f t="shared" ca="1" si="28"/>
        <v>2.7892838691840013E-3</v>
      </c>
      <c r="AT453" s="515">
        <f t="shared" ca="1" si="29"/>
        <v>3.9820967999520999E-2</v>
      </c>
      <c r="AU453" s="515">
        <f t="shared" ca="1" si="30"/>
        <v>6.4491003228903318E-2</v>
      </c>
      <c r="AV453" s="515">
        <f t="shared" ca="1" si="31"/>
        <v>0.11853977783747191</v>
      </c>
    </row>
    <row r="454" spans="1:48" ht="10.5" customHeight="1">
      <c r="A454" s="96">
        <v>443</v>
      </c>
      <c r="B454" s="68" t="s">
        <v>591</v>
      </c>
      <c r="C454" s="97">
        <v>0.4</v>
      </c>
      <c r="D454" s="69" t="s">
        <v>66</v>
      </c>
      <c r="E454" s="136"/>
      <c r="F454" s="154"/>
      <c r="G454" s="154"/>
      <c r="H454" s="154"/>
      <c r="I454" s="154">
        <v>3.0330000000000001E-3</v>
      </c>
      <c r="J454" s="154"/>
      <c r="K454" s="154">
        <v>5.5510000000000004E-3</v>
      </c>
      <c r="L454" s="154">
        <v>8.4740000000000006E-3</v>
      </c>
      <c r="M454" s="154"/>
      <c r="N454" s="137" cm="1">
        <f t="array" aca="1" ref="N454:AE454" ca="1">IF(OR(B454="",NOT($J$2)),"",GetStripDefaultProbability(A454,B454,Parameter_Date,CDSRollDate,E454:M454,SpreadCurveMaturities,D454,C454,$J$4,$J$6))</f>
        <v>0</v>
      </c>
      <c r="O454" s="155">
        <f ca="1"/>
        <v>0</v>
      </c>
      <c r="P454" s="155">
        <f ca="1"/>
        <v>0</v>
      </c>
      <c r="Q454" s="155">
        <f ca="1"/>
        <v>0</v>
      </c>
      <c r="R454" s="155">
        <f ca="1"/>
        <v>1.5466976023593815E-2</v>
      </c>
      <c r="S454" s="155">
        <f ca="1"/>
        <v>0</v>
      </c>
      <c r="T454" s="155">
        <f ca="1"/>
        <v>4.7277940595910506E-2</v>
      </c>
      <c r="U454" s="155">
        <f ca="1"/>
        <v>0.1003428856409847</v>
      </c>
      <c r="V454" s="138">
        <f ca="1"/>
        <v>0</v>
      </c>
      <c r="W454" s="137">
        <f ca="1"/>
        <v>0</v>
      </c>
      <c r="X454" s="155">
        <f ca="1"/>
        <v>0</v>
      </c>
      <c r="Y454" s="155">
        <f ca="1"/>
        <v>0</v>
      </c>
      <c r="Z454" s="155">
        <f ca="1"/>
        <v>0</v>
      </c>
      <c r="AA454" s="155">
        <f ca="1"/>
        <v>1.5959119489408757E-2</v>
      </c>
      <c r="AB454" s="155">
        <f ca="1"/>
        <v>0</v>
      </c>
      <c r="AC454" s="155">
        <f ca="1"/>
        <v>4.8071544931045929E-2</v>
      </c>
      <c r="AD454" s="155">
        <f ca="1"/>
        <v>0.10143540571951326</v>
      </c>
      <c r="AE454" s="138">
        <f ca="1"/>
        <v>0</v>
      </c>
      <c r="AG454" s="135"/>
      <c r="AH454" s="135">
        <v>1.753E-3</v>
      </c>
      <c r="AI454" s="135">
        <v>3.101E-3</v>
      </c>
      <c r="AJ454" s="135">
        <v>4.653E-3</v>
      </c>
      <c r="AK454" s="135"/>
      <c r="AL454" s="135">
        <f t="shared" ca="1" si="23"/>
        <v>1.3683398033798734E-3</v>
      </c>
      <c r="AM454" s="135">
        <f t="shared" ca="1" si="24"/>
        <v>3.6078575676167114E-3</v>
      </c>
      <c r="AN454" s="135">
        <f t="shared" ca="1" si="25"/>
        <v>7.8840850286165682E-3</v>
      </c>
      <c r="AP454" s="515">
        <f t="shared" ca="1" si="26"/>
        <v>3.6049733671816213E-4</v>
      </c>
      <c r="AQ454" s="515">
        <f t="shared" ca="1" si="27"/>
        <v>8.7193126017955113E-4</v>
      </c>
      <c r="AR454" s="515">
        <f t="shared" ca="1" si="28"/>
        <v>1.8763246845905966E-3</v>
      </c>
      <c r="AT454" s="515">
        <f t="shared" ca="1" si="29"/>
        <v>2.5664028273220701E-2</v>
      </c>
      <c r="AU454" s="515">
        <f t="shared" ca="1" si="30"/>
        <v>4.3277775592475476E-2</v>
      </c>
      <c r="AV454" s="515">
        <f t="shared" ca="1" si="31"/>
        <v>7.9740579192967578E-2</v>
      </c>
    </row>
    <row r="455" spans="1:48" ht="10.5" customHeight="1">
      <c r="A455" s="96">
        <v>444</v>
      </c>
      <c r="B455" s="68" t="s">
        <v>592</v>
      </c>
      <c r="C455" s="97">
        <v>0.4</v>
      </c>
      <c r="D455" s="69" t="s">
        <v>66</v>
      </c>
      <c r="E455" s="136"/>
      <c r="F455" s="154"/>
      <c r="G455" s="154"/>
      <c r="H455" s="154"/>
      <c r="I455" s="154">
        <v>3.7399999999999998E-3</v>
      </c>
      <c r="J455" s="154"/>
      <c r="K455" s="154">
        <v>6.6239999999999997E-3</v>
      </c>
      <c r="L455" s="154">
        <v>9.2910000000000006E-3</v>
      </c>
      <c r="M455" s="154"/>
      <c r="N455" s="137" cm="1">
        <f t="array" aca="1" ref="N455:AE455" ca="1">IF(OR(B455="",NOT($J$2)),"",GetStripDefaultProbability(A455,B455,Parameter_Date,CDSRollDate,E455:M455,SpreadCurveMaturities,D455,C455,$J$4,$J$6))</f>
        <v>0</v>
      </c>
      <c r="O455" s="155">
        <f ca="1"/>
        <v>0</v>
      </c>
      <c r="P455" s="155">
        <f ca="1"/>
        <v>0</v>
      </c>
      <c r="Q455" s="155">
        <f ca="1"/>
        <v>0</v>
      </c>
      <c r="R455" s="155">
        <f ca="1"/>
        <v>1.9038505791449833E-2</v>
      </c>
      <c r="S455" s="155">
        <f ca="1"/>
        <v>0</v>
      </c>
      <c r="T455" s="155">
        <f ca="1"/>
        <v>5.6174936553831101E-2</v>
      </c>
      <c r="U455" s="155">
        <f ca="1"/>
        <v>0.10908766872214504</v>
      </c>
      <c r="V455" s="138">
        <f ca="1"/>
        <v>0</v>
      </c>
      <c r="W455" s="137">
        <f ca="1"/>
        <v>0</v>
      </c>
      <c r="X455" s="155">
        <f ca="1"/>
        <v>0</v>
      </c>
      <c r="Y455" s="155">
        <f ca="1"/>
        <v>0</v>
      </c>
      <c r="Z455" s="155">
        <f ca="1"/>
        <v>0</v>
      </c>
      <c r="AA455" s="155">
        <f ca="1"/>
        <v>1.952886393885167E-2</v>
      </c>
      <c r="AB455" s="155">
        <f ca="1"/>
        <v>0</v>
      </c>
      <c r="AC455" s="155">
        <f ca="1"/>
        <v>5.6961129814018685E-2</v>
      </c>
      <c r="AD455" s="155">
        <f ca="1"/>
        <v>0.11016929576551293</v>
      </c>
      <c r="AE455" s="138">
        <f ca="1"/>
        <v>0</v>
      </c>
      <c r="AG455" s="135"/>
      <c r="AH455" s="135">
        <v>3.1080000000000001E-3</v>
      </c>
      <c r="AI455" s="135">
        <v>5.4169999999999999E-3</v>
      </c>
      <c r="AJ455" s="135">
        <v>8.0789999999999994E-3</v>
      </c>
      <c r="AK455" s="135"/>
      <c r="AL455" s="135">
        <f t="shared" ca="1" si="23"/>
        <v>2.4260126120391593E-3</v>
      </c>
      <c r="AM455" s="135">
        <f t="shared" ca="1" si="24"/>
        <v>6.3024071086035874E-3</v>
      </c>
      <c r="AN455" s="135">
        <f t="shared" ca="1" si="25"/>
        <v>1.3689130226991886E-2</v>
      </c>
      <c r="AP455" s="515">
        <f t="shared" ca="1" si="26"/>
        <v>6.3914758843128803E-4</v>
      </c>
      <c r="AQ455" s="515">
        <f t="shared" ca="1" si="27"/>
        <v>1.5231382252152944E-3</v>
      </c>
      <c r="AR455" s="515">
        <f t="shared" ca="1" si="28"/>
        <v>3.2578609771776123E-3</v>
      </c>
      <c r="AT455" s="515">
        <f t="shared" ca="1" si="29"/>
        <v>4.5501311964158547E-2</v>
      </c>
      <c r="AU455" s="515">
        <f t="shared" ca="1" si="30"/>
        <v>7.560003559640105E-2</v>
      </c>
      <c r="AV455" s="515">
        <f t="shared" ca="1" si="31"/>
        <v>0.13845350081667421</v>
      </c>
    </row>
    <row r="456" spans="1:48" ht="10.5" customHeight="1">
      <c r="A456" s="96">
        <v>445</v>
      </c>
      <c r="B456" s="68" t="s">
        <v>593</v>
      </c>
      <c r="C456" s="97">
        <v>0.4</v>
      </c>
      <c r="D456" s="69" t="s">
        <v>66</v>
      </c>
      <c r="E456" s="136"/>
      <c r="F456" s="154"/>
      <c r="G456" s="154"/>
      <c r="H456" s="154"/>
      <c r="I456" s="154">
        <v>3.8470000000000002E-3</v>
      </c>
      <c r="J456" s="154"/>
      <c r="K456" s="154">
        <v>6.4609999999999997E-3</v>
      </c>
      <c r="L456" s="154">
        <v>8.9420000000000003E-3</v>
      </c>
      <c r="M456" s="154"/>
      <c r="N456" s="137" cm="1">
        <f t="array" aca="1" ref="N456:AE456" ca="1">IF(OR(B456="",NOT($J$2)),"",GetStripDefaultProbability(A456,B456,Parameter_Date,CDSRollDate,E456:M456,SpreadCurveMaturities,D456,C456,$J$4,$J$6))</f>
        <v>0</v>
      </c>
      <c r="O456" s="155">
        <f ca="1"/>
        <v>0</v>
      </c>
      <c r="P456" s="155">
        <f ca="1"/>
        <v>0</v>
      </c>
      <c r="Q456" s="155">
        <f ca="1"/>
        <v>0</v>
      </c>
      <c r="R456" s="155">
        <f ca="1"/>
        <v>1.9577929729449273E-2</v>
      </c>
      <c r="S456" s="155">
        <f ca="1"/>
        <v>0</v>
      </c>
      <c r="T456" s="155">
        <f ca="1"/>
        <v>5.4726704228966971E-2</v>
      </c>
      <c r="U456" s="155">
        <f ca="1"/>
        <v>0.10497584792642833</v>
      </c>
      <c r="V456" s="138">
        <f ca="1"/>
        <v>0</v>
      </c>
      <c r="W456" s="137">
        <f ca="1"/>
        <v>0</v>
      </c>
      <c r="X456" s="155">
        <f ca="1"/>
        <v>0</v>
      </c>
      <c r="Y456" s="155">
        <f ca="1"/>
        <v>0</v>
      </c>
      <c r="Z456" s="155">
        <f ca="1"/>
        <v>0</v>
      </c>
      <c r="AA456" s="155">
        <f ca="1"/>
        <v>2.0068018232239249E-2</v>
      </c>
      <c r="AB456" s="155">
        <f ca="1"/>
        <v>0</v>
      </c>
      <c r="AC456" s="155">
        <f ca="1"/>
        <v>5.551410384666744E-2</v>
      </c>
      <c r="AD456" s="155">
        <f ca="1"/>
        <v>0.106042781914228</v>
      </c>
      <c r="AE456" s="138">
        <f ca="1"/>
        <v>0</v>
      </c>
      <c r="AG456" s="135"/>
      <c r="AH456" s="135">
        <v>2.4889999999999999E-3</v>
      </c>
      <c r="AI456" s="135">
        <v>4.5339999999999998E-3</v>
      </c>
      <c r="AJ456" s="135">
        <v>6.875E-3</v>
      </c>
      <c r="AK456" s="135"/>
      <c r="AL456" s="135">
        <f t="shared" ca="1" si="23"/>
        <v>1.9428395725114116E-3</v>
      </c>
      <c r="AM456" s="135">
        <f t="shared" ca="1" si="24"/>
        <v>5.2750810098594544E-3</v>
      </c>
      <c r="AN456" s="135">
        <f t="shared" ca="1" si="25"/>
        <v>1.1649061803511477E-2</v>
      </c>
      <c r="AP456" s="515">
        <f t="shared" ca="1" si="26"/>
        <v>5.1185275019481201E-4</v>
      </c>
      <c r="AQ456" s="515">
        <f t="shared" ca="1" si="27"/>
        <v>1.2748585403592663E-3</v>
      </c>
      <c r="AR456" s="515">
        <f t="shared" ca="1" si="28"/>
        <v>2.7723473472083282E-3</v>
      </c>
      <c r="AT456" s="515">
        <f t="shared" ca="1" si="29"/>
        <v>3.6439113731914614E-2</v>
      </c>
      <c r="AU456" s="515">
        <f t="shared" ca="1" si="30"/>
        <v>6.3276825068134077E-2</v>
      </c>
      <c r="AV456" s="515">
        <f t="shared" ca="1" si="31"/>
        <v>0.11782000471774171</v>
      </c>
    </row>
    <row r="457" spans="1:48" ht="10.5" customHeight="1">
      <c r="A457" s="96"/>
      <c r="B457" s="68"/>
      <c r="C457" s="97"/>
      <c r="D457" s="69"/>
      <c r="E457" s="136"/>
      <c r="F457" s="154"/>
      <c r="G457" s="154"/>
      <c r="H457" s="154"/>
      <c r="I457" s="154"/>
      <c r="J457" s="154"/>
      <c r="K457" s="154"/>
      <c r="L457" s="154"/>
      <c r="M457" s="154"/>
      <c r="N457" s="137"/>
      <c r="O457" s="155"/>
      <c r="P457" s="155"/>
      <c r="Q457" s="155"/>
      <c r="R457" s="155"/>
      <c r="S457" s="155"/>
      <c r="T457" s="155"/>
      <c r="U457" s="155"/>
      <c r="V457" s="138"/>
      <c r="W457" s="137"/>
      <c r="X457" s="155"/>
      <c r="Y457" s="155"/>
      <c r="Z457" s="155"/>
      <c r="AA457" s="155"/>
      <c r="AB457" s="155"/>
      <c r="AC457" s="155"/>
      <c r="AD457" s="155"/>
      <c r="AE457" s="138"/>
      <c r="AG457" s="135"/>
      <c r="AH457" s="135">
        <v>9.5580000000000005E-3</v>
      </c>
      <c r="AI457" s="135">
        <v>1.5862999999999999E-2</v>
      </c>
      <c r="AJ457" s="135">
        <v>1.9740000000000001E-2</v>
      </c>
      <c r="AK457" s="135"/>
      <c r="AL457" s="135">
        <f t="shared" ca="1" si="23"/>
        <v>7.4606912953250597E-3</v>
      </c>
      <c r="AM457" s="135">
        <f t="shared" ca="1" si="24"/>
        <v>1.8455802836215379E-2</v>
      </c>
      <c r="AN457" s="135">
        <f t="shared" ca="1" si="25"/>
        <v>3.3447633454736954E-2</v>
      </c>
      <c r="AP457" s="515">
        <f t="shared" ca="1" si="26"/>
        <v>1.9655639157742121E-3</v>
      </c>
      <c r="AQ457" s="515">
        <f t="shared" ca="1" si="27"/>
        <v>4.4603178265811734E-3</v>
      </c>
      <c r="AR457" s="515">
        <f t="shared" ca="1" si="28"/>
        <v>7.9601653285661673E-3</v>
      </c>
      <c r="AT457" s="515">
        <f t="shared" ca="1" si="29"/>
        <v>0.13992971034537563</v>
      </c>
      <c r="AU457" s="515">
        <f t="shared" ca="1" si="30"/>
        <v>0.22138515131358866</v>
      </c>
      <c r="AV457" s="515">
        <f t="shared" ca="1" si="31"/>
        <v>0.33829336627319584</v>
      </c>
    </row>
    <row r="458" spans="1:48" ht="10.5" customHeight="1">
      <c r="A458" s="96"/>
      <c r="B458" s="68"/>
      <c r="C458" s="97"/>
      <c r="D458" s="69"/>
      <c r="E458" s="136"/>
      <c r="F458" s="154"/>
      <c r="G458" s="154"/>
      <c r="H458" s="154"/>
      <c r="I458" s="154"/>
      <c r="J458" s="154"/>
      <c r="K458" s="154"/>
      <c r="L458" s="154"/>
      <c r="M458" s="154"/>
      <c r="N458" s="137"/>
      <c r="O458" s="155"/>
      <c r="P458" s="155"/>
      <c r="Q458" s="155"/>
      <c r="R458" s="155"/>
      <c r="S458" s="155"/>
      <c r="T458" s="155"/>
      <c r="U458" s="155"/>
      <c r="V458" s="138"/>
      <c r="W458" s="137"/>
      <c r="X458" s="155"/>
      <c r="Y458" s="155"/>
      <c r="Z458" s="155"/>
      <c r="AA458" s="155"/>
      <c r="AB458" s="155"/>
      <c r="AC458" s="155"/>
      <c r="AD458" s="155"/>
      <c r="AE458" s="138"/>
      <c r="AG458" s="135"/>
      <c r="AH458" s="135">
        <v>7.8799999999999996E-4</v>
      </c>
      <c r="AI458" s="135">
        <v>1.3649999999999999E-3</v>
      </c>
      <c r="AJ458" s="135">
        <v>2.568E-3</v>
      </c>
      <c r="AK458" s="135"/>
      <c r="AL458" s="135">
        <f t="shared" ca="1" si="23"/>
        <v>6.1508942673322306E-4</v>
      </c>
      <c r="AM458" s="135">
        <f t="shared" ca="1" si="24"/>
        <v>1.588108861592006E-3</v>
      </c>
      <c r="AN458" s="135">
        <f t="shared" ca="1" si="25"/>
        <v>4.3512422852970871E-3</v>
      </c>
      <c r="AP458" s="515">
        <f t="shared" ca="1" si="26"/>
        <v>1.6204900247228279E-4</v>
      </c>
      <c r="AQ458" s="515">
        <f t="shared" ca="1" si="27"/>
        <v>3.8380721384878656E-4</v>
      </c>
      <c r="AR458" s="515">
        <f t="shared" ca="1" si="28"/>
        <v>1.0355473436554164E-3</v>
      </c>
      <c r="AT458" s="515">
        <f t="shared" ca="1" si="29"/>
        <v>1.1536368670449463E-2</v>
      </c>
      <c r="AU458" s="515">
        <f t="shared" ca="1" si="30"/>
        <v>1.9050036660344733E-2</v>
      </c>
      <c r="AV458" s="515">
        <f t="shared" ca="1" si="31"/>
        <v>4.400898503493246E-2</v>
      </c>
    </row>
    <row r="459" spans="1:48" ht="10.5" customHeight="1">
      <c r="A459" s="96"/>
      <c r="B459" s="68"/>
      <c r="C459" s="97"/>
      <c r="D459" s="69"/>
      <c r="E459" s="136"/>
      <c r="F459" s="154"/>
      <c r="G459" s="154"/>
      <c r="H459" s="154"/>
      <c r="I459" s="154"/>
      <c r="J459" s="154"/>
      <c r="K459" s="154"/>
      <c r="L459" s="154"/>
      <c r="M459" s="154"/>
      <c r="N459" s="137"/>
      <c r="O459" s="155"/>
      <c r="P459" s="155"/>
      <c r="Q459" s="155"/>
      <c r="R459" s="155"/>
      <c r="S459" s="155"/>
      <c r="T459" s="155"/>
      <c r="U459" s="155"/>
      <c r="V459" s="138"/>
      <c r="W459" s="137"/>
      <c r="X459" s="155"/>
      <c r="Y459" s="155"/>
      <c r="Z459" s="155"/>
      <c r="AA459" s="155"/>
      <c r="AB459" s="155"/>
      <c r="AC459" s="155"/>
      <c r="AD459" s="155"/>
      <c r="AE459" s="138"/>
      <c r="AG459" s="135"/>
      <c r="AH459" s="135">
        <v>1.861E-3</v>
      </c>
      <c r="AI459" s="135">
        <v>3.0709999999999999E-3</v>
      </c>
      <c r="AJ459" s="135">
        <v>4.4549999999999998E-3</v>
      </c>
      <c r="AK459" s="135"/>
      <c r="AL459" s="135">
        <f t="shared" ca="1" si="23"/>
        <v>1.4526413999372185E-3</v>
      </c>
      <c r="AM459" s="135">
        <f t="shared" ca="1" si="24"/>
        <v>3.5729540761531508E-3</v>
      </c>
      <c r="AN459" s="135">
        <f t="shared" ca="1" si="25"/>
        <v>7.5485920486754367E-3</v>
      </c>
      <c r="AP459" s="515">
        <f t="shared" ca="1" si="26"/>
        <v>3.827070984783227E-4</v>
      </c>
      <c r="AQ459" s="515">
        <f t="shared" ca="1" si="27"/>
        <v>8.6349593679825901E-4</v>
      </c>
      <c r="AR459" s="515">
        <f t="shared" ca="1" si="28"/>
        <v>1.7964810809909966E-3</v>
      </c>
      <c r="AT459" s="515">
        <f t="shared" ca="1" si="29"/>
        <v>2.7245154943789915E-2</v>
      </c>
      <c r="AU459" s="515">
        <f t="shared" ca="1" si="30"/>
        <v>4.285909346807229E-2</v>
      </c>
      <c r="AV459" s="515">
        <f t="shared" ca="1" si="31"/>
        <v>7.6347363057096621E-2</v>
      </c>
    </row>
    <row r="460" spans="1:48" ht="10.5" customHeight="1">
      <c r="A460" s="96"/>
      <c r="B460" s="68"/>
      <c r="C460" s="97"/>
      <c r="D460" s="69"/>
      <c r="E460" s="136"/>
      <c r="F460" s="154"/>
      <c r="G460" s="154"/>
      <c r="H460" s="154"/>
      <c r="I460" s="154"/>
      <c r="J460" s="154"/>
      <c r="K460" s="154"/>
      <c r="L460" s="154"/>
      <c r="M460" s="154"/>
      <c r="N460" s="137"/>
      <c r="O460" s="155"/>
      <c r="P460" s="155"/>
      <c r="Q460" s="155"/>
      <c r="R460" s="155"/>
      <c r="S460" s="155"/>
      <c r="T460" s="155"/>
      <c r="U460" s="155"/>
      <c r="V460" s="138"/>
      <c r="W460" s="137"/>
      <c r="X460" s="155"/>
      <c r="Y460" s="155"/>
      <c r="Z460" s="155"/>
      <c r="AA460" s="155"/>
      <c r="AB460" s="155"/>
      <c r="AC460" s="155"/>
      <c r="AD460" s="155"/>
      <c r="AE460" s="138"/>
      <c r="AG460" s="135"/>
      <c r="AH460" s="135">
        <v>3.8760000000000001E-3</v>
      </c>
      <c r="AI460" s="135">
        <v>6.6940000000000003E-3</v>
      </c>
      <c r="AJ460" s="135">
        <v>1.0071999999999999E-2</v>
      </c>
      <c r="AK460" s="135"/>
      <c r="AL460" s="135">
        <f t="shared" ca="1" si="23"/>
        <v>3.0254906320025038E-3</v>
      </c>
      <c r="AM460" s="135">
        <f t="shared" ca="1" si="24"/>
        <v>7.7881323952358169E-3</v>
      </c>
      <c r="AN460" s="135">
        <f t="shared" ca="1" si="25"/>
        <v>1.7066087343268012E-2</v>
      </c>
      <c r="AP460" s="515">
        <f t="shared" ca="1" si="26"/>
        <v>7.970836720590966E-4</v>
      </c>
      <c r="AQ460" s="515">
        <f t="shared" ca="1" si="27"/>
        <v>1.8822018238122912E-3</v>
      </c>
      <c r="AR460" s="515">
        <f t="shared" ca="1" si="28"/>
        <v>4.0615392699756047E-3</v>
      </c>
      <c r="AT460" s="515">
        <f t="shared" ca="1" si="29"/>
        <v>5.6744879399317417E-2</v>
      </c>
      <c r="AU460" s="515">
        <f t="shared" ca="1" si="30"/>
        <v>9.3421938025163118E-2</v>
      </c>
      <c r="AV460" s="515">
        <f t="shared" ca="1" si="31"/>
        <v>0.17260844909339554</v>
      </c>
    </row>
    <row r="461" spans="1:48" ht="10.5" customHeight="1">
      <c r="A461" s="96"/>
      <c r="B461" s="68"/>
      <c r="C461" s="97"/>
      <c r="D461" s="69"/>
      <c r="E461" s="136"/>
      <c r="F461" s="154"/>
      <c r="G461" s="154"/>
      <c r="H461" s="154"/>
      <c r="I461" s="154"/>
      <c r="J461" s="154"/>
      <c r="K461" s="154"/>
      <c r="L461" s="154"/>
      <c r="M461" s="154"/>
      <c r="N461" s="137"/>
      <c r="O461" s="155"/>
      <c r="P461" s="155"/>
      <c r="Q461" s="155"/>
      <c r="R461" s="155"/>
      <c r="S461" s="155"/>
      <c r="T461" s="155"/>
      <c r="U461" s="155"/>
      <c r="V461" s="138"/>
      <c r="W461" s="137"/>
      <c r="X461" s="155"/>
      <c r="Y461" s="155"/>
      <c r="Z461" s="155"/>
      <c r="AA461" s="155"/>
      <c r="AB461" s="155"/>
      <c r="AC461" s="155"/>
      <c r="AD461" s="155"/>
      <c r="AE461" s="138"/>
      <c r="AG461" s="135"/>
      <c r="AH461" s="135">
        <v>1.3079999999999999E-3</v>
      </c>
      <c r="AI461" s="135">
        <v>2.3080000000000002E-3</v>
      </c>
      <c r="AJ461" s="135">
        <v>3.643E-3</v>
      </c>
      <c r="AK461" s="135"/>
      <c r="AL461" s="135">
        <f t="shared" ca="1" si="23"/>
        <v>1.0209860027500708E-3</v>
      </c>
      <c r="AM461" s="135">
        <f t="shared" ca="1" si="24"/>
        <v>2.6852419432632606E-3</v>
      </c>
      <c r="AN461" s="135">
        <f t="shared" ca="1" si="25"/>
        <v>6.1727319491188815E-3</v>
      </c>
      <c r="AP461" s="515">
        <f t="shared" ca="1" si="26"/>
        <v>2.6898489242861153E-4</v>
      </c>
      <c r="AQ461" s="515">
        <f t="shared" ca="1" si="27"/>
        <v>6.4895754546739892E-4</v>
      </c>
      <c r="AR461" s="515">
        <f t="shared" ca="1" si="28"/>
        <v>1.4690416561279913E-3</v>
      </c>
      <c r="AT461" s="515">
        <f t="shared" ca="1" si="29"/>
        <v>1.9149200788004948E-2</v>
      </c>
      <c r="AU461" s="515">
        <f t="shared" ca="1" si="30"/>
        <v>3.221061143741806E-2</v>
      </c>
      <c r="AV461" s="515">
        <f t="shared" ca="1" si="31"/>
        <v>6.2431749408979345E-2</v>
      </c>
    </row>
    <row r="462" spans="1:48" ht="10.5" customHeight="1" thickBot="1">
      <c r="A462" s="326"/>
      <c r="B462" s="74"/>
      <c r="C462" s="508"/>
      <c r="D462" s="75"/>
      <c r="E462" s="509"/>
      <c r="F462" s="510"/>
      <c r="G462" s="510"/>
      <c r="H462" s="510"/>
      <c r="I462" s="510"/>
      <c r="J462" s="510"/>
      <c r="K462" s="510"/>
      <c r="L462" s="510"/>
      <c r="M462" s="510"/>
      <c r="N462" s="511"/>
      <c r="O462" s="512"/>
      <c r="P462" s="512"/>
      <c r="Q462" s="512"/>
      <c r="R462" s="512"/>
      <c r="S462" s="512"/>
      <c r="T462" s="512"/>
      <c r="U462" s="512"/>
      <c r="V462" s="513"/>
      <c r="W462" s="511"/>
      <c r="X462" s="512"/>
      <c r="Y462" s="512"/>
      <c r="Z462" s="512"/>
      <c r="AA462" s="512"/>
      <c r="AB462" s="512"/>
      <c r="AC462" s="512"/>
      <c r="AD462" s="512"/>
      <c r="AE462" s="513"/>
      <c r="AG462" s="135"/>
      <c r="AH462" s="135">
        <v>1.5479999999999999E-3</v>
      </c>
      <c r="AI462" s="135">
        <v>2.565E-3</v>
      </c>
      <c r="AJ462" s="135">
        <v>3.594E-3</v>
      </c>
      <c r="AK462" s="135"/>
      <c r="AL462" s="135">
        <f t="shared" ca="1" si="23"/>
        <v>1.208322883988616E-3</v>
      </c>
      <c r="AM462" s="135">
        <f t="shared" ca="1" si="24"/>
        <v>2.9842485201344291E-3</v>
      </c>
      <c r="AN462" s="135">
        <f t="shared" ca="1" si="25"/>
        <v>6.0897059086283999E-3</v>
      </c>
      <c r="AP462" s="515">
        <f t="shared" ca="1" si="26"/>
        <v>3.1833991856230169E-4</v>
      </c>
      <c r="AQ462" s="515">
        <f t="shared" ca="1" si="27"/>
        <v>7.2122014910046717E-4</v>
      </c>
      <c r="AR462" s="515">
        <f t="shared" ca="1" si="28"/>
        <v>1.4492823804897065E-3</v>
      </c>
      <c r="AT462" s="515">
        <f t="shared" ca="1" si="29"/>
        <v>2.2662815611492092E-2</v>
      </c>
      <c r="AU462" s="515">
        <f t="shared" ca="1" si="30"/>
        <v>3.5797321636471972E-2</v>
      </c>
      <c r="AV462" s="515">
        <f t="shared" ca="1" si="31"/>
        <v>6.1592014102627442E-2</v>
      </c>
    </row>
    <row r="463" spans="1:48" ht="10.5" customHeight="1">
      <c r="AH463" s="135">
        <v>1.606E-3</v>
      </c>
      <c r="AI463" s="135">
        <v>2.6679999999999998E-3</v>
      </c>
      <c r="AJ463" s="135">
        <v>3.9750000000000002E-3</v>
      </c>
      <c r="AL463" s="135">
        <f t="shared" ca="1" si="23"/>
        <v>1.2535959636212643E-3</v>
      </c>
      <c r="AM463" s="135">
        <f t="shared" ca="1" si="24"/>
        <v>3.1040838408259866E-3</v>
      </c>
      <c r="AN463" s="135">
        <f t="shared" ca="1" si="25"/>
        <v>6.7352757336666359E-3</v>
      </c>
      <c r="AP463" s="515">
        <f t="shared" ca="1" si="26"/>
        <v>3.3026738321127687E-4</v>
      </c>
      <c r="AQ463" s="515">
        <f t="shared" ca="1" si="27"/>
        <v>7.5018142604290293E-4</v>
      </c>
      <c r="AR463" s="515">
        <f t="shared" ca="1" si="28"/>
        <v>1.6029208298404519E-3</v>
      </c>
      <c r="AT463" s="515">
        <f t="shared" ca="1" si="29"/>
        <v>2.3511939193834822E-2</v>
      </c>
      <c r="AU463" s="515">
        <f t="shared" ca="1" si="30"/>
        <v>3.7234796930256227E-2</v>
      </c>
      <c r="AV463" s="515">
        <f t="shared" ca="1" si="31"/>
        <v>6.8121384545894295E-2</v>
      </c>
    </row>
    <row r="464" spans="1:48" ht="10.5" customHeight="1">
      <c r="AH464" s="135">
        <v>3.0330000000000001E-3</v>
      </c>
      <c r="AI464" s="135">
        <v>5.5510000000000004E-3</v>
      </c>
      <c r="AJ464" s="135">
        <v>8.4740000000000006E-3</v>
      </c>
      <c r="AL464" s="135">
        <f t="shared" ca="1" si="23"/>
        <v>2.367469836652114E-3</v>
      </c>
      <c r="AM464" s="135">
        <f t="shared" ca="1" si="24"/>
        <v>6.4583093704741589E-3</v>
      </c>
      <c r="AN464" s="135">
        <f t="shared" ca="1" si="25"/>
        <v>1.4358421777884548E-2</v>
      </c>
      <c r="AP464" s="515">
        <f t="shared" ca="1" si="26"/>
        <v>6.2372414276450983E-4</v>
      </c>
      <c r="AQ464" s="515">
        <f t="shared" ca="1" si="27"/>
        <v>1.5608160029850656E-3</v>
      </c>
      <c r="AR464" s="515">
        <f t="shared" ca="1" si="28"/>
        <v>3.4171449338535821E-3</v>
      </c>
      <c r="AT464" s="515">
        <f t="shared" ca="1" si="29"/>
        <v>4.4403307331818818E-2</v>
      </c>
      <c r="AU464" s="515">
        <f t="shared" ca="1" si="30"/>
        <v>7.7470149085401924E-2</v>
      </c>
      <c r="AV464" s="515">
        <f t="shared" ca="1" si="31"/>
        <v>0.14522279563318446</v>
      </c>
    </row>
    <row r="465" spans="34:48" ht="10.5" customHeight="1">
      <c r="AH465" s="135">
        <v>3.7399999999999998E-3</v>
      </c>
      <c r="AI465" s="135">
        <v>6.6239999999999997E-3</v>
      </c>
      <c r="AJ465" s="135">
        <v>9.2910000000000006E-3</v>
      </c>
      <c r="AL465" s="135">
        <f t="shared" ca="1" si="23"/>
        <v>2.919333065967328E-3</v>
      </c>
      <c r="AM465" s="135">
        <f t="shared" ca="1" si="24"/>
        <v>7.7066909151541742E-3</v>
      </c>
      <c r="AN465" s="135">
        <f t="shared" ca="1" si="25"/>
        <v>1.5742753922389111E-2</v>
      </c>
      <c r="AP465" s="515">
        <f t="shared" ca="1" si="26"/>
        <v>7.691158239166721E-4</v>
      </c>
      <c r="AQ465" s="515">
        <f t="shared" ca="1" si="27"/>
        <v>1.8625194025892763E-3</v>
      </c>
      <c r="AR465" s="515">
        <f t="shared" ca="1" si="28"/>
        <v>3.7466006113327389E-3</v>
      </c>
      <c r="AT465" s="515">
        <f t="shared" ca="1" si="29"/>
        <v>5.4753830999341363E-2</v>
      </c>
      <c r="AU465" s="515">
        <f t="shared" ca="1" si="30"/>
        <v>9.2445013068222351E-2</v>
      </c>
      <c r="AV465" s="515">
        <f t="shared" ca="1" si="31"/>
        <v>0.15922409655746012</v>
      </c>
    </row>
    <row r="466" spans="34:48" ht="10.5" customHeight="1">
      <c r="AH466" s="135">
        <v>3.8470000000000002E-3</v>
      </c>
      <c r="AI466" s="135">
        <v>6.4609999999999997E-3</v>
      </c>
      <c r="AJ466" s="135">
        <v>8.9420000000000003E-3</v>
      </c>
      <c r="AL466" s="135">
        <f t="shared" ca="1" si="23"/>
        <v>3.0028540921861794E-3</v>
      </c>
      <c r="AM466" s="135">
        <f t="shared" ca="1" si="24"/>
        <v>7.5170486115354951E-3</v>
      </c>
      <c r="AN466" s="135">
        <f t="shared" ca="1" si="25"/>
        <v>1.5151405185018129E-2</v>
      </c>
      <c r="AP466" s="515">
        <f t="shared" ca="1" si="26"/>
        <v>7.911199397346091E-4</v>
      </c>
      <c r="AQ466" s="515">
        <f t="shared" ca="1" si="27"/>
        <v>1.8166874788842565E-3</v>
      </c>
      <c r="AR466" s="515">
        <f t="shared" ca="1" si="28"/>
        <v>3.6058661787253632E-3</v>
      </c>
      <c r="AT466" s="515">
        <f t="shared" ca="1" si="29"/>
        <v>5.6320317608146056E-2</v>
      </c>
      <c r="AU466" s="515">
        <f t="shared" ca="1" si="30"/>
        <v>9.0170173525631739E-2</v>
      </c>
      <c r="AV466" s="515">
        <f t="shared" ca="1" si="31"/>
        <v>0.15324312468160675</v>
      </c>
    </row>
    <row r="467" spans="34:48" ht="10.5" customHeight="1"/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31750</xdr:colOff>
                    <xdr:row>4</xdr:row>
                    <xdr:rowOff>184150</xdr:rowOff>
                  </from>
                  <to>
                    <xdr:col>5</xdr:col>
                    <xdr:colOff>755650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CurrentRegionCalculate">
                <anchor moveWithCells="1">
                  <from>
                    <xdr:col>44</xdr:col>
                    <xdr:colOff>514350</xdr:colOff>
                    <xdr:row>362</xdr:row>
                    <xdr:rowOff>127000</xdr:rowOff>
                  </from>
                  <to>
                    <xdr:col>45</xdr:col>
                    <xdr:colOff>298450</xdr:colOff>
                    <xdr:row>364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106" zoomScaleNormal="99" workbookViewId="0">
      <selection activeCell="D10" sqref="D10"/>
    </sheetView>
  </sheetViews>
  <sheetFormatPr defaultColWidth="11.453125" defaultRowHeight="14.5"/>
  <sheetData>
    <row r="2" spans="2:11">
      <c r="J2" s="257"/>
      <c r="K2" s="168"/>
    </row>
    <row r="3" spans="2:11">
      <c r="J3" s="257"/>
    </row>
    <row r="5" spans="2:11" ht="15" thickBot="1"/>
    <row r="6" spans="2:11" ht="15" thickBot="1">
      <c r="B6" s="172" t="s">
        <v>423</v>
      </c>
      <c r="C6" s="178" t="b">
        <v>1</v>
      </c>
      <c r="H6" s="173" t="s">
        <v>424</v>
      </c>
      <c r="I6" s="667">
        <v>1</v>
      </c>
      <c r="J6" s="668"/>
      <c r="K6" s="669"/>
    </row>
    <row r="7" spans="2:11" ht="15" thickBot="1">
      <c r="D7" s="162"/>
      <c r="H7" s="174" t="s">
        <v>425</v>
      </c>
      <c r="I7" s="670" t="str" cm="1">
        <f t="array" aca="1" ref="I7" ca="1">GetGetCDSName(I6)</f>
        <v>ABNAMRO_MMR.EUR.SU</v>
      </c>
      <c r="J7" s="671"/>
      <c r="K7" s="672"/>
    </row>
    <row r="8" spans="2:11" ht="15" thickBot="1"/>
    <row r="9" spans="2:11" ht="15" thickBot="1">
      <c r="B9" s="165"/>
      <c r="C9" s="166" t="s">
        <v>426</v>
      </c>
      <c r="D9" s="167" t="s">
        <v>427</v>
      </c>
      <c r="E9" s="164" t="s">
        <v>428</v>
      </c>
    </row>
    <row r="10" spans="2:11">
      <c r="B10" s="175" t="str">
        <f ca="1">ROW()-ROW($B$9)&amp;"M"</f>
        <v>1M</v>
      </c>
      <c r="C10" s="206">
        <f ca="1">MAX(0,(DATE(YEAR(CDSRollDate),MONTH(CDSRollDate)+ROW()-ROW($B$9),DAY(CDSRollDate))-Parameter_Date)/365)</f>
        <v>0.13698630136986301</v>
      </c>
      <c r="D10" s="169">
        <f ca="1">IF(NOT($C$6),"",IF(GetConvertDate(CDSRollDate,B10)&lt;Parameter_Date,0,GetGetDefaultprob($I$6,B10)))</f>
        <v>3.062239096787156E-4</v>
      </c>
      <c r="E10" s="207">
        <f ca="1">IF(NOT($C$6),"",IF(C11=0,0,-LN(1-D11)/$C11))</f>
        <v>2.2357768822976452E-3</v>
      </c>
    </row>
    <row r="11" spans="2:11">
      <c r="B11" s="176" t="str">
        <f t="shared" ref="B11:B74" ca="1" si="0">ROW()-ROW($B$9)&amp;"M"</f>
        <v>2M</v>
      </c>
      <c r="C11" s="208">
        <f ca="1">MAX(0,(DATE(YEAR(CDSRollDate),MONTH(CDSRollDate)+ROW()-ROW($B$9),DAY(CDSRollDate))-Parameter_Date)/365)</f>
        <v>0.22191780821917809</v>
      </c>
      <c r="D11" s="161">
        <f ca="1">IF(NOT($C$6),"",IF(GetConvertDate(CDSRollDate,B11)&lt;Parameter_Date,0,GetGetDefaultprob($I$6,B11)))</f>
        <v>4.9603563901046144E-4</v>
      </c>
      <c r="E11" s="170">
        <f ca="1">IF(NOT($C$6),"",IF(C11=0,0,-LN((1-D11)/(1-D10))/($C11-$C10)))</f>
        <v>2.2357768822977211E-3</v>
      </c>
      <c r="F11" s="156"/>
      <c r="G11" s="157"/>
    </row>
    <row r="12" spans="2:11">
      <c r="B12" s="176" t="str">
        <f t="shared" ca="1" si="0"/>
        <v>3M</v>
      </c>
      <c r="C12" s="208">
        <f ca="1">MAX(0,(DATE(YEAR(CDSRollDate),MONTH(CDSRollDate)+ROW()-ROW($B$9),DAY(CDSRollDate))-Parameter_Date)/365)</f>
        <v>0.30136986301369861</v>
      </c>
      <c r="D12" s="161">
        <f ca="1">IF(NOT($C$6),"",IF(GetConvertDate(CDSRollDate,B12)&lt;Parameter_Date,0,GetGetDefaultprob($I$6,B12)))</f>
        <v>6.7356882335090074E-4</v>
      </c>
      <c r="E12" s="170">
        <f ca="1">IF(NOT($C$6),"",IF(C12=0,0,-LN((1-D12)/(1-D11))/($C12-$C11)))</f>
        <v>2.2357768822979379E-3</v>
      </c>
      <c r="F12" s="156"/>
      <c r="G12" s="157"/>
    </row>
    <row r="13" spans="2:11">
      <c r="B13" s="176" t="str">
        <f t="shared" ca="1" si="0"/>
        <v>4M</v>
      </c>
      <c r="C13" s="208">
        <f t="shared" ref="C13:C41" ca="1" si="1">MAX(0,(DATE(YEAR(CDSRollDate),MONTH(CDSRollDate)+ROW()-ROW($B$9),DAY(CDSRollDate))-Parameter_Date)/365)</f>
        <v>0.38630136986301372</v>
      </c>
      <c r="D13" s="161">
        <f ca="1">IF(NOT($C$6),"",IF(GetConvertDate(CDSRollDate,B13)&lt;Parameter_Date,0,GetGetDefaultprob($I$6,B13)))</f>
        <v>8.6331080495094525E-4</v>
      </c>
      <c r="E13" s="170">
        <f t="shared" ref="E13:E75" ca="1" si="2">IF(NOT($C$6),"",IF(C13=0,0,-LN((1-D13)/(1-D12))/($C13-$C12)))</f>
        <v>2.2357768822977202E-3</v>
      </c>
      <c r="F13" s="156"/>
      <c r="G13" s="157"/>
    </row>
    <row r="14" spans="2:11">
      <c r="B14" s="176" t="str">
        <f t="shared" ca="1" si="0"/>
        <v>5M</v>
      </c>
      <c r="C14" s="208">
        <f t="shared" ca="1" si="1"/>
        <v>0.46849315068493153</v>
      </c>
      <c r="D14" s="161">
        <f ca="1">IF(NOT($C$6),"",IF(GetConvertDate(CDSRollDate,B14)&lt;Parameter_Date,0,GetGetDefaultprob($I$6,B14)))</f>
        <v>1.0468977755744291E-3</v>
      </c>
      <c r="E14" s="170">
        <f t="shared" ca="1" si="2"/>
        <v>2.23577688229747E-3</v>
      </c>
      <c r="F14" s="156"/>
      <c r="G14" s="157"/>
    </row>
    <row r="15" spans="2:11">
      <c r="B15" s="176" t="str">
        <f t="shared" ca="1" si="0"/>
        <v>6M</v>
      </c>
      <c r="C15" s="208">
        <f t="shared" ca="1" si="1"/>
        <v>0.55342465753424652</v>
      </c>
      <c r="D15" s="161">
        <f ca="1">IF(NOT($C$6),"",IF(GetConvertDate(CDSRollDate,B15)&lt;Parameter_Date,0,GetGetDefaultprob($I$6,B15)))</f>
        <v>1.2365688732540736E-3</v>
      </c>
      <c r="E15" s="170">
        <f t="shared" ca="1" si="2"/>
        <v>2.2357768822977232E-3</v>
      </c>
      <c r="F15" s="156"/>
      <c r="G15" s="157"/>
    </row>
    <row r="16" spans="2:11">
      <c r="B16" s="176" t="str">
        <f t="shared" ca="1" si="0"/>
        <v>7M</v>
      </c>
      <c r="C16" s="208">
        <f t="shared" ca="1" si="1"/>
        <v>0.63561643835616444</v>
      </c>
      <c r="D16" s="161">
        <f ca="1">IF(NOT($C$6),"",IF(GetConvertDate(CDSRollDate,B16)&lt;Parameter_Date,0,GetGetDefaultprob($I$6,B16)))</f>
        <v>1.61650542937819E-3</v>
      </c>
      <c r="E16" s="170">
        <f t="shared" ca="1" si="2"/>
        <v>4.6291651646950564E-3</v>
      </c>
      <c r="F16" s="156"/>
      <c r="G16" s="157"/>
    </row>
    <row r="17" spans="2:7">
      <c r="B17" s="176" t="str">
        <f t="shared" ca="1" si="0"/>
        <v>8M</v>
      </c>
      <c r="C17" s="208">
        <f t="shared" ca="1" si="1"/>
        <v>0.72054794520547949</v>
      </c>
      <c r="D17" s="161">
        <f ca="1">IF(NOT($C$6),"",IF(GetConvertDate(CDSRollDate,B17)&lt;Parameter_Date,0,GetGetDefaultprob($I$6,B17)))</f>
        <v>2.008954700686072E-3</v>
      </c>
      <c r="E17" s="170">
        <f t="shared" ca="1" si="2"/>
        <v>4.6291651646945733E-3</v>
      </c>
      <c r="F17" s="156"/>
      <c r="G17" s="157"/>
    </row>
    <row r="18" spans="2:7">
      <c r="B18" s="176" t="str">
        <f t="shared" ca="1" si="0"/>
        <v>9M</v>
      </c>
      <c r="C18" s="208">
        <f t="shared" ca="1" si="1"/>
        <v>0.80547945205479454</v>
      </c>
      <c r="D18" s="161">
        <f ca="1">IF(NOT($C$6),"",IF(GetConvertDate(CDSRollDate,B18)&lt;Parameter_Date,0,GetGetDefaultprob($I$6,B18)))</f>
        <v>2.4012497061920435E-3</v>
      </c>
      <c r="E18" s="170">
        <f t="shared" ca="1" si="2"/>
        <v>4.6291651646958813E-3</v>
      </c>
      <c r="F18" s="156"/>
      <c r="G18" s="157"/>
    </row>
    <row r="19" spans="2:7">
      <c r="B19" s="176" t="str">
        <f t="shared" ca="1" si="0"/>
        <v>10M</v>
      </c>
      <c r="C19" s="208">
        <f t="shared" ca="1" si="1"/>
        <v>0.88767123287671235</v>
      </c>
      <c r="D19" s="161">
        <f ca="1">IF(NOT($C$6),"",IF(GetConvertDate(CDSRollDate,B19)&lt;Parameter_Date,0,GetGetDefaultprob($I$6,B19)))</f>
        <v>2.7807432096262907E-3</v>
      </c>
      <c r="E19" s="170">
        <f t="shared" ca="1" si="2"/>
        <v>4.6291651646950625E-3</v>
      </c>
      <c r="F19" s="156"/>
      <c r="G19" s="157"/>
    </row>
    <row r="20" spans="2:7">
      <c r="B20" s="176" t="str">
        <f t="shared" ca="1" si="0"/>
        <v>11M</v>
      </c>
      <c r="C20" s="208">
        <f t="shared" ca="1" si="1"/>
        <v>0.9726027397260274</v>
      </c>
      <c r="D20" s="161">
        <f ca="1">IF(NOT($C$6),"",IF(GetConvertDate(CDSRollDate,B20)&lt;Parameter_Date,0,GetGetDefaultprob($I$6,B20)))</f>
        <v>3.1727348368816299E-3</v>
      </c>
      <c r="E20" s="170">
        <f t="shared" ca="1" si="2"/>
        <v>4.6291651646945733E-3</v>
      </c>
      <c r="F20" s="156"/>
      <c r="G20" s="157"/>
    </row>
    <row r="21" spans="2:7">
      <c r="B21" s="176" t="str">
        <f t="shared" ca="1" si="0"/>
        <v>12M</v>
      </c>
      <c r="C21" s="208">
        <f t="shared" ca="1" si="1"/>
        <v>1.0547945205479452</v>
      </c>
      <c r="D21" s="161">
        <f ca="1">IF(NOT($C$6),"",IF(GetConvertDate(CDSRollDate,B21)&lt;Parameter_Date,0,GetGetDefaultprob($I$6,B21)))</f>
        <v>3.551934862006112E-3</v>
      </c>
      <c r="E21" s="170">
        <f t="shared" ca="1" si="2"/>
        <v>4.6291651646950625E-3</v>
      </c>
      <c r="F21" s="156"/>
      <c r="G21" s="157"/>
    </row>
    <row r="22" spans="2:7">
      <c r="B22" s="176" t="str">
        <f t="shared" ca="1" si="0"/>
        <v>13M</v>
      </c>
      <c r="C22" s="208">
        <f t="shared" ca="1" si="1"/>
        <v>1.1397260273972603</v>
      </c>
      <c r="D22" s="161">
        <f ca="1">IF(NOT($C$6),"",IF(GetConvertDate(CDSRollDate,B22)&lt;Parameter_Date,0,GetGetDefaultprob($I$6,B22)))</f>
        <v>4.0153554566170202E-3</v>
      </c>
      <c r="E22" s="170">
        <f t="shared" ca="1" si="2"/>
        <v>5.4771273801504285E-3</v>
      </c>
      <c r="F22" s="156"/>
      <c r="G22" s="157"/>
    </row>
    <row r="23" spans="2:7">
      <c r="B23" s="176" t="str">
        <f t="shared" ca="1" si="0"/>
        <v>14M</v>
      </c>
      <c r="C23" s="208">
        <f t="shared" ca="1" si="1"/>
        <v>1.2246575342465753</v>
      </c>
      <c r="D23" s="161">
        <f ca="1">IF(NOT($C$6),"",IF(GetConvertDate(CDSRollDate,B23)&lt;Parameter_Date,0,GetGetDefaultprob($I$6,B23)))</f>
        <v>4.4785605270526441E-3</v>
      </c>
      <c r="E23" s="170">
        <f t="shared" ca="1" si="2"/>
        <v>5.4771273801504285E-3</v>
      </c>
      <c r="F23" s="156"/>
      <c r="G23" s="157"/>
    </row>
    <row r="24" spans="2:7">
      <c r="B24" s="176" t="str">
        <f t="shared" ca="1" si="0"/>
        <v>15M</v>
      </c>
      <c r="C24" s="208">
        <f t="shared" ca="1" si="1"/>
        <v>1.3013698630136987</v>
      </c>
      <c r="D24" s="161">
        <f ca="1">IF(NOT($C$6),"",IF(GetConvertDate(CDSRollDate,B24)&lt;Parameter_Date,0,GetGetDefaultprob($I$6,B24)))</f>
        <v>4.896754136098469E-3</v>
      </c>
      <c r="E24" s="170">
        <f t="shared" ca="1" si="2"/>
        <v>5.477127380150805E-3</v>
      </c>
      <c r="F24" s="156"/>
      <c r="G24" s="157"/>
    </row>
    <row r="25" spans="2:7">
      <c r="B25" s="176" t="str">
        <f t="shared" ca="1" si="0"/>
        <v>16M</v>
      </c>
      <c r="C25" s="208">
        <f t="shared" ca="1" si="1"/>
        <v>1.3863013698630138</v>
      </c>
      <c r="D25" s="161">
        <f ca="1">IF(NOT($C$6),"",IF(GetConvertDate(CDSRollDate,B25)&lt;Parameter_Date,0,GetGetDefaultprob($I$6,B25)))</f>
        <v>5.359549292245136E-3</v>
      </c>
      <c r="E25" s="170">
        <f t="shared" ca="1" si="2"/>
        <v>5.4771273801517365E-3</v>
      </c>
      <c r="F25" s="156"/>
      <c r="G25" s="157"/>
    </row>
    <row r="26" spans="2:7">
      <c r="B26" s="176" t="str">
        <f t="shared" ca="1" si="0"/>
        <v>17M</v>
      </c>
      <c r="C26" s="208">
        <f t="shared" ca="1" si="1"/>
        <v>1.4684931506849315</v>
      </c>
      <c r="D26" s="161">
        <f ca="1">IF(NOT($C$6),"",IF(GetConvertDate(CDSRollDate,B26)&lt;Parameter_Date,0,GetGetDefaultprob($I$6,B26)))</f>
        <v>5.8072106405915314E-3</v>
      </c>
      <c r="E26" s="170">
        <f t="shared" ca="1" si="2"/>
        <v>5.4771273801513948E-3</v>
      </c>
      <c r="F26" s="156"/>
      <c r="G26" s="157"/>
    </row>
    <row r="27" spans="2:7">
      <c r="B27" s="176" t="str">
        <f t="shared" ca="1" si="0"/>
        <v>18M</v>
      </c>
      <c r="C27" s="208">
        <f t="shared" ca="1" si="1"/>
        <v>1.5534246575342465</v>
      </c>
      <c r="D27" s="161">
        <f ca="1">IF(NOT($C$6),"",IF(GetConvertDate(CDSRollDate,B27)&lt;Parameter_Date,0,GetGetDefaultprob($I$6,B27)))</f>
        <v>6.2695823684538743E-3</v>
      </c>
      <c r="E27" s="170">
        <f t="shared" ca="1" si="2"/>
        <v>5.4771273801517365E-3</v>
      </c>
      <c r="F27" s="156"/>
      <c r="G27" s="157"/>
    </row>
    <row r="28" spans="2:7">
      <c r="B28" s="176" t="str">
        <f t="shared" ca="1" si="0"/>
        <v>19M</v>
      </c>
      <c r="C28" s="208">
        <f t="shared" ca="1" si="1"/>
        <v>1.6356164383561644</v>
      </c>
      <c r="D28" s="161">
        <f ca="1">IF(NOT($C$6),"",IF(GetConvertDate(CDSRollDate,B28)&lt;Parameter_Date,0,GetGetDefaultprob($I$6,B28)))</f>
        <v>6.7168341349924665E-3</v>
      </c>
      <c r="E28" s="170">
        <f t="shared" ca="1" si="2"/>
        <v>5.4771273801513792E-3</v>
      </c>
      <c r="F28" s="156"/>
      <c r="G28" s="157"/>
    </row>
    <row r="29" spans="2:7">
      <c r="B29" s="176" t="str">
        <f t="shared" ca="1" si="0"/>
        <v>20M</v>
      </c>
      <c r="C29" s="208">
        <f t="shared" ca="1" si="1"/>
        <v>1.7205479452054795</v>
      </c>
      <c r="D29" s="161">
        <f ca="1">IF(NOT($C$6),"",IF(GetConvertDate(CDSRollDate,B29)&lt;Parameter_Date,0,GetGetDefaultprob($I$6,B29)))</f>
        <v>7.1787828219804783E-3</v>
      </c>
      <c r="E29" s="170">
        <f t="shared" ca="1" si="2"/>
        <v>5.4771273801517365E-3</v>
      </c>
      <c r="F29" s="156"/>
      <c r="G29" s="157"/>
    </row>
    <row r="30" spans="2:7">
      <c r="B30" s="176" t="str">
        <f t="shared" ca="1" si="0"/>
        <v>21M</v>
      </c>
      <c r="C30" s="208">
        <f t="shared" ca="1" si="1"/>
        <v>1.8054794520547945</v>
      </c>
      <c r="D30" s="161">
        <f ca="1">IF(NOT($C$6),"",IF(GetConvertDate(CDSRollDate,B30)&lt;Parameter_Date,0,GetGetDefaultprob($I$6,B30)))</f>
        <v>7.6405166693368498E-3</v>
      </c>
      <c r="E30" s="170">
        <f t="shared" ca="1" si="2"/>
        <v>5.4771273801504285E-3</v>
      </c>
      <c r="F30" s="156"/>
      <c r="G30" s="157"/>
    </row>
    <row r="31" spans="2:7">
      <c r="B31" s="176" t="str">
        <f t="shared" ca="1" si="0"/>
        <v>22M</v>
      </c>
      <c r="C31" s="208">
        <f t="shared" ca="1" si="1"/>
        <v>1.8876712328767122</v>
      </c>
      <c r="D31" s="161">
        <f ca="1">IF(NOT($C$6),"",IF(GetConvertDate(CDSRollDate,B31)&lt;Parameter_Date,0,GetGetDefaultprob($I$6,B31)))</f>
        <v>8.0871514146221291E-3</v>
      </c>
      <c r="E31" s="170">
        <f t="shared" ca="1" si="2"/>
        <v>5.4771273801527461E-3</v>
      </c>
      <c r="F31" s="156"/>
      <c r="G31" s="157"/>
    </row>
    <row r="32" spans="2:7">
      <c r="B32" s="176" t="str">
        <f t="shared" ca="1" si="0"/>
        <v>23M</v>
      </c>
      <c r="C32" s="208">
        <f t="shared" ca="1" si="1"/>
        <v>1.9726027397260273</v>
      </c>
      <c r="D32" s="161">
        <f ca="1">IF(NOT($C$6),"",IF(GetConvertDate(CDSRollDate,B32)&lt;Parameter_Date,0,GetGetDefaultprob($I$6,B32)))</f>
        <v>8.5484628047245437E-3</v>
      </c>
      <c r="E32" s="170">
        <f t="shared" ca="1" si="2"/>
        <v>5.4771273801504285E-3</v>
      </c>
      <c r="F32" s="156"/>
      <c r="G32" s="157"/>
    </row>
    <row r="33" spans="2:7">
      <c r="B33" s="176" t="str">
        <f t="shared" ca="1" si="0"/>
        <v>24M</v>
      </c>
      <c r="C33" s="208">
        <f t="shared" ca="1" si="1"/>
        <v>2.0547945205479454</v>
      </c>
      <c r="D33" s="161">
        <f ca="1">IF(NOT($C$6),"",IF(GetConvertDate(CDSRollDate,B33)&lt;Parameter_Date,0,GetGetDefaultprob($I$6,B33)))</f>
        <v>8.9946889074786762E-3</v>
      </c>
      <c r="E33" s="170">
        <f t="shared" ca="1" si="2"/>
        <v>5.4771273801513644E-3</v>
      </c>
      <c r="F33" s="156"/>
      <c r="G33" s="157"/>
    </row>
    <row r="34" spans="2:7">
      <c r="B34" s="176" t="str">
        <f t="shared" ca="1" si="0"/>
        <v>25M</v>
      </c>
      <c r="C34" s="208">
        <f t="shared" ca="1" si="1"/>
        <v>2.1397260273972605</v>
      </c>
      <c r="D34" s="161">
        <f ca="1">IF(NOT($C$6),"",IF(GetConvertDate(CDSRollDate,B34)&lt;Parameter_Date,0,GetGetDefaultprob($I$6,B34)))</f>
        <v>9.6581677052792747E-3</v>
      </c>
      <c r="E34" s="170">
        <f t="shared" ca="1" si="2"/>
        <v>7.8854713558091198E-3</v>
      </c>
      <c r="F34" s="156"/>
      <c r="G34" s="157"/>
    </row>
    <row r="35" spans="2:7">
      <c r="B35" s="176" t="str">
        <f t="shared" ca="1" si="0"/>
        <v>26M</v>
      </c>
      <c r="C35" s="208">
        <f t="shared" ca="1" si="1"/>
        <v>2.2246575342465755</v>
      </c>
      <c r="D35" s="161">
        <f ca="1">IF(NOT($C$6),"",IF(GetConvertDate(CDSRollDate,B35)&lt;Parameter_Date,0,GetGetDefaultprob($I$6,B35)))</f>
        <v>1.0321202303527954E-2</v>
      </c>
      <c r="E35" s="170">
        <f t="shared" ca="1" si="2"/>
        <v>7.8854713558091198E-3</v>
      </c>
      <c r="F35" s="156"/>
      <c r="G35" s="157"/>
    </row>
    <row r="36" spans="2:7">
      <c r="B36" s="176" t="str">
        <f t="shared" ca="1" si="0"/>
        <v>27M</v>
      </c>
      <c r="C36" s="208">
        <f t="shared" ca="1" si="1"/>
        <v>2.3013698630136985</v>
      </c>
      <c r="D36" s="161">
        <f ca="1">IF(NOT($C$6),"",IF(GetConvertDate(CDSRollDate,B36)&lt;Parameter_Date,0,GetGetDefaultprob($I$6,B36)))</f>
        <v>1.0919690711619134E-2</v>
      </c>
      <c r="E36" s="170">
        <f t="shared" ca="1" si="2"/>
        <v>7.8854713558100618E-3</v>
      </c>
      <c r="F36" s="156"/>
      <c r="G36" s="157"/>
    </row>
    <row r="37" spans="2:7">
      <c r="B37" s="176" t="str">
        <f t="shared" ca="1" si="0"/>
        <v>28M</v>
      </c>
      <c r="C37" s="208">
        <f t="shared" ca="1" si="1"/>
        <v>2.3863013698630136</v>
      </c>
      <c r="D37" s="161">
        <f ca="1">IF(NOT($C$6),"",IF(GetConvertDate(CDSRollDate,B37)&lt;Parameter_Date,0,GetGetDefaultprob($I$6,B37)))</f>
        <v>1.1581880719270465E-2</v>
      </c>
      <c r="E37" s="170">
        <f t="shared" ca="1" si="2"/>
        <v>7.8854713558078118E-3</v>
      </c>
      <c r="F37" s="156"/>
      <c r="G37" s="157"/>
    </row>
    <row r="38" spans="2:7">
      <c r="B38" s="176" t="str">
        <f t="shared" ca="1" si="0"/>
        <v>29M</v>
      </c>
      <c r="C38" s="208">
        <f t="shared" ca="1" si="1"/>
        <v>2.4684931506849317</v>
      </c>
      <c r="D38" s="161">
        <f ca="1">IF(NOT($C$6),"",IF(GetConvertDate(CDSRollDate,B38)&lt;Parameter_Date,0,GetGetDefaultprob($I$6,B38)))</f>
        <v>1.2222287640299645E-2</v>
      </c>
      <c r="E38" s="170">
        <f t="shared" ca="1" si="2"/>
        <v>7.8854713558088665E-3</v>
      </c>
      <c r="F38" s="156"/>
      <c r="G38" s="157"/>
    </row>
    <row r="39" spans="2:7">
      <c r="B39" s="176" t="str">
        <f t="shared" ca="1" si="0"/>
        <v>30M</v>
      </c>
      <c r="C39" s="208">
        <f t="shared" ca="1" si="1"/>
        <v>2.5534246575342467</v>
      </c>
      <c r="D39" s="161">
        <f ca="1">IF(NOT($C$6),"",IF(GetConvertDate(CDSRollDate,B39)&lt;Parameter_Date,0,GetGetDefaultprob($I$6,B39)))</f>
        <v>1.2883605558332012E-2</v>
      </c>
      <c r="E39" s="170">
        <f t="shared" ca="1" si="2"/>
        <v>7.8854713558091198E-3</v>
      </c>
      <c r="F39" s="156"/>
      <c r="G39" s="157"/>
    </row>
    <row r="40" spans="2:7">
      <c r="B40" s="176" t="str">
        <f t="shared" ca="1" si="0"/>
        <v>31M</v>
      </c>
      <c r="C40" s="208">
        <f t="shared" ca="1" si="1"/>
        <v>2.6356164383561644</v>
      </c>
      <c r="D40" s="161">
        <f ca="1">IF(NOT($C$6),"",IF(GetConvertDate(CDSRollDate,B40)&lt;Parameter_Date,0,GetGetDefaultprob($I$6,B40)))</f>
        <v>1.3523169077586217E-2</v>
      </c>
      <c r="E40" s="170">
        <f t="shared" ca="1" si="2"/>
        <v>7.8854713558089082E-3</v>
      </c>
      <c r="F40" s="156"/>
      <c r="G40" s="157"/>
    </row>
    <row r="41" spans="2:7">
      <c r="B41" s="176" t="str">
        <f t="shared" ca="1" si="0"/>
        <v>32M</v>
      </c>
      <c r="C41" s="208">
        <f t="shared" ca="1" si="1"/>
        <v>2.7205479452054795</v>
      </c>
      <c r="D41" s="161">
        <f ca="1">IF(NOT($C$6),"",IF(GetConvertDate(CDSRollDate,B41)&lt;Parameter_Date,0,GetGetDefaultprob($I$6,B41)))</f>
        <v>1.4183616054522119E-2</v>
      </c>
      <c r="E41" s="170">
        <f t="shared" ca="1" si="2"/>
        <v>7.8854713558078118E-3</v>
      </c>
      <c r="F41" s="156"/>
      <c r="G41" s="157"/>
    </row>
    <row r="42" spans="2:7">
      <c r="B42" s="176" t="str">
        <f t="shared" ca="1" si="0"/>
        <v>33M</v>
      </c>
      <c r="C42" s="208">
        <f t="shared" ref="C42:C73" ca="1" si="3">MAX(0,(DATE(YEAR(CDSRollDate),MONTH(CDSRollDate)+ROW()-ROW($B$9),DAY(CDSRollDate))-Parameter_Date)/365)</f>
        <v>2.8054794520547945</v>
      </c>
      <c r="D42" s="161">
        <f ca="1">IF(NOT($C$6),"",IF(GetConvertDate(CDSRollDate,B42)&lt;Parameter_Date,0,GetGetDefaultprob($I$6,B42)))</f>
        <v>1.4843620861712536E-2</v>
      </c>
      <c r="E42" s="170">
        <f t="shared" ca="1" si="2"/>
        <v>7.8854713558091198E-3</v>
      </c>
      <c r="F42" s="156"/>
      <c r="G42" s="157"/>
    </row>
    <row r="43" spans="2:7">
      <c r="B43" s="176" t="str">
        <f t="shared" ca="1" si="0"/>
        <v>34M</v>
      </c>
      <c r="C43" s="208">
        <f t="shared" ca="1" si="3"/>
        <v>2.8876712328767122</v>
      </c>
      <c r="D43" s="161">
        <f ca="1">IF(NOT($C$6),"",IF(GetConvertDate(CDSRollDate,B43)&lt;Parameter_Date,0,GetGetDefaultprob($I$6,B43)))</f>
        <v>1.5481914465592772E-2</v>
      </c>
      <c r="E43" s="170">
        <f t="shared" ca="1" si="2"/>
        <v>7.8854713558089082E-3</v>
      </c>
      <c r="F43" s="156"/>
      <c r="G43" s="157"/>
    </row>
    <row r="44" spans="2:7">
      <c r="B44" s="176" t="str">
        <f t="shared" ca="1" si="0"/>
        <v>35M</v>
      </c>
      <c r="C44" s="208">
        <f t="shared" ca="1" si="3"/>
        <v>2.9726027397260273</v>
      </c>
      <c r="D44" s="161">
        <f ca="1">IF(NOT($C$6),"",IF(GetConvertDate(CDSRollDate,B44)&lt;Parameter_Date,0,GetGetDefaultprob($I$6,B44)))</f>
        <v>1.6141050061024842E-2</v>
      </c>
      <c r="E44" s="170">
        <f t="shared" ca="1" si="2"/>
        <v>7.8854713558091198E-3</v>
      </c>
      <c r="F44" s="156"/>
      <c r="G44" s="157"/>
    </row>
    <row r="45" spans="2:7">
      <c r="B45" s="176" t="str">
        <f t="shared" ca="1" si="0"/>
        <v>36M</v>
      </c>
      <c r="C45" s="208">
        <f t="shared" ca="1" si="3"/>
        <v>3.0547945205479454</v>
      </c>
      <c r="D45" s="161">
        <f ca="1">IF(NOT($C$6),"",IF(GetConvertDate(CDSRollDate,B45)&lt;Parameter_Date,0,GetGetDefaultprob($I$6,B45)))</f>
        <v>1.6778503046322224E-2</v>
      </c>
      <c r="E45" s="170">
        <f t="shared" ca="1" si="2"/>
        <v>7.8854713558102179E-3</v>
      </c>
      <c r="F45" s="156"/>
      <c r="G45" s="157"/>
    </row>
    <row r="46" spans="2:7">
      <c r="B46" s="176" t="str">
        <f t="shared" ca="1" si="0"/>
        <v>37M</v>
      </c>
      <c r="C46" s="208">
        <f t="shared" ca="1" si="3"/>
        <v>3.1397260273972605</v>
      </c>
      <c r="D46" s="161">
        <f ca="1">IF(NOT($C$6),"",IF(GetConvertDate(CDSRollDate,B46)&lt;Parameter_Date,0,GetGetDefaultprob($I$6,B46)))</f>
        <v>1.751283425138539E-2</v>
      </c>
      <c r="E46" s="170">
        <f t="shared" ca="1" si="2"/>
        <v>8.7969883872345018E-3</v>
      </c>
      <c r="F46" s="156"/>
      <c r="G46" s="157"/>
    </row>
    <row r="47" spans="2:7">
      <c r="B47" s="176" t="str">
        <f t="shared" ca="1" si="0"/>
        <v>38M</v>
      </c>
      <c r="C47" s="208">
        <f t="shared" ca="1" si="3"/>
        <v>3.2246575342465755</v>
      </c>
      <c r="D47" s="161">
        <f ca="1">IF(NOT($C$6),"",IF(GetConvertDate(CDSRollDate,B47)&lt;Parameter_Date,0,GetGetDefaultprob($I$6,B47)))</f>
        <v>1.8246617012053767E-2</v>
      </c>
      <c r="E47" s="170">
        <f t="shared" ca="1" si="2"/>
        <v>8.7969883872331938E-3</v>
      </c>
      <c r="F47" s="156"/>
      <c r="G47" s="157"/>
    </row>
    <row r="48" spans="2:7">
      <c r="B48" s="176" t="str">
        <f t="shared" ca="1" si="0"/>
        <v>39M</v>
      </c>
      <c r="C48" s="208">
        <f t="shared" ca="1" si="3"/>
        <v>3.3013698630136985</v>
      </c>
      <c r="D48" s="161">
        <f ca="1">IF(NOT($C$6),"",IF(GetConvertDate(CDSRollDate,B48)&lt;Parameter_Date,0,GetGetDefaultprob($I$6,B48)))</f>
        <v>1.8908917478881904E-2</v>
      </c>
      <c r="E48" s="170">
        <f t="shared" ca="1" si="2"/>
        <v>8.796988387233971E-3</v>
      </c>
      <c r="F48" s="156"/>
      <c r="G48" s="157"/>
    </row>
    <row r="49" spans="2:7">
      <c r="B49" s="176" t="str">
        <f t="shared" ca="1" si="0"/>
        <v>40M</v>
      </c>
      <c r="C49" s="208">
        <f t="shared" ca="1" si="3"/>
        <v>3.3863013698630136</v>
      </c>
      <c r="D49" s="161">
        <f ca="1">IF(NOT($C$6),"",IF(GetConvertDate(CDSRollDate,B49)&lt;Parameter_Date,0,GetGetDefaultprob($I$6,B49)))</f>
        <v>1.9641657557426417E-2</v>
      </c>
      <c r="E49" s="170">
        <f t="shared" ca="1" si="2"/>
        <v>8.7969883872345018E-3</v>
      </c>
      <c r="F49" s="156"/>
      <c r="G49" s="157"/>
    </row>
    <row r="50" spans="2:7">
      <c r="B50" s="176" t="str">
        <f t="shared" ca="1" si="0"/>
        <v>41M</v>
      </c>
      <c r="C50" s="208">
        <f t="shared" ca="1" si="3"/>
        <v>3.4684931506849317</v>
      </c>
      <c r="D50" s="161">
        <f ca="1">IF(NOT($C$6),"",IF(GetConvertDate(CDSRollDate,B50)&lt;Parameter_Date,0,GetGetDefaultprob($I$6,B50)))</f>
        <v>2.0350239794414637E-2</v>
      </c>
      <c r="E50" s="170">
        <f t="shared" ca="1" si="2"/>
        <v>8.7969883872333291E-3</v>
      </c>
      <c r="F50" s="156"/>
      <c r="G50" s="157"/>
    </row>
    <row r="51" spans="2:7">
      <c r="B51" s="176" t="str">
        <f t="shared" ca="1" si="0"/>
        <v>42M</v>
      </c>
      <c r="C51" s="208">
        <f t="shared" ca="1" si="3"/>
        <v>3.5534246575342467</v>
      </c>
      <c r="D51" s="161">
        <f ca="1">IF(NOT($C$6),"",IF(GetConvertDate(CDSRollDate,B51)&lt;Parameter_Date,0,GetGetDefaultprob($I$6,B51)))</f>
        <v>2.108190340345939E-2</v>
      </c>
      <c r="E51" s="170">
        <f t="shared" ca="1" si="2"/>
        <v>8.7969883872331938E-3</v>
      </c>
      <c r="F51" s="156"/>
      <c r="G51" s="157"/>
    </row>
    <row r="52" spans="2:7">
      <c r="B52" s="176" t="str">
        <f t="shared" ca="1" si="0"/>
        <v>43M</v>
      </c>
      <c r="C52" s="208">
        <f t="shared" ca="1" si="3"/>
        <v>3.6356164383561644</v>
      </c>
      <c r="D52" s="161">
        <f ca="1">IF(NOT($C$6),"",IF(GetConvertDate(CDSRollDate,B52)&lt;Parameter_Date,0,GetGetDefaultprob($I$6,B52)))</f>
        <v>2.1789444661267754E-2</v>
      </c>
      <c r="E52" s="170">
        <f t="shared" ca="1" si="2"/>
        <v>8.7969883872347273E-3</v>
      </c>
      <c r="F52" s="156"/>
      <c r="G52" s="157"/>
    </row>
    <row r="53" spans="2:7">
      <c r="B53" s="176" t="str">
        <f t="shared" ca="1" si="0"/>
        <v>44M</v>
      </c>
      <c r="C53" s="208">
        <f t="shared" ca="1" si="3"/>
        <v>3.7205479452054795</v>
      </c>
      <c r="D53" s="161">
        <f ca="1">IF(NOT($C$6),"",IF(GetConvertDate(CDSRollDate,B53)&lt;Parameter_Date,0,GetGetDefaultprob($I$6,B53)))</f>
        <v>2.2520033382255833E-2</v>
      </c>
      <c r="E53" s="170">
        <f t="shared" ca="1" si="2"/>
        <v>8.7969883872345018E-3</v>
      </c>
      <c r="F53" s="156"/>
      <c r="G53" s="157"/>
    </row>
    <row r="54" spans="2:7">
      <c r="B54" s="176" t="str">
        <f t="shared" ca="1" si="0"/>
        <v>45M</v>
      </c>
      <c r="C54" s="208">
        <f t="shared" ca="1" si="3"/>
        <v>3.8054794520547945</v>
      </c>
      <c r="D54" s="161">
        <f ca="1">IF(NOT($C$6),"",IF(GetConvertDate(CDSRollDate,B54)&lt;Parameter_Date,0,GetGetDefaultprob($I$6,B54)))</f>
        <v>2.3250076453970037E-2</v>
      </c>
      <c r="E54" s="170">
        <f t="shared" ca="1" si="2"/>
        <v>8.7969883872345018E-3</v>
      </c>
      <c r="F54" s="156"/>
      <c r="G54" s="157"/>
    </row>
    <row r="55" spans="2:7">
      <c r="B55" s="176" t="str">
        <f t="shared" ca="1" si="0"/>
        <v>46M</v>
      </c>
      <c r="C55" s="208">
        <f t="shared" ca="1" si="3"/>
        <v>3.8876712328767122</v>
      </c>
      <c r="D55" s="161">
        <f ca="1">IF(NOT($C$6),"",IF(GetConvertDate(CDSRollDate,B55)&lt;Parameter_Date,0,GetGetDefaultprob($I$6,B55)))</f>
        <v>2.3956050602239043E-2</v>
      </c>
      <c r="E55" s="170">
        <f t="shared" ca="1" si="2"/>
        <v>8.796988387233376E-3</v>
      </c>
      <c r="F55" s="156"/>
      <c r="G55" s="157"/>
    </row>
    <row r="56" spans="2:7">
      <c r="B56" s="176" t="str">
        <f t="shared" ca="1" si="0"/>
        <v>47M</v>
      </c>
      <c r="C56" s="208">
        <f t="shared" ca="1" si="3"/>
        <v>3.9726027397260273</v>
      </c>
      <c r="D56" s="161">
        <f ca="1">IF(NOT($C$6),"",IF(GetConvertDate(CDSRollDate,B56)&lt;Parameter_Date,0,GetGetDefaultprob($I$6,B56)))</f>
        <v>2.4685021166630183E-2</v>
      </c>
      <c r="E56" s="170">
        <f t="shared" ca="1" si="2"/>
        <v>8.7969883872345018E-3</v>
      </c>
      <c r="F56" s="156"/>
      <c r="G56" s="157"/>
    </row>
    <row r="57" spans="2:7">
      <c r="B57" s="176" t="str">
        <f t="shared" ca="1" si="0"/>
        <v>48M</v>
      </c>
      <c r="C57" s="208">
        <f t="shared" ca="1" si="3"/>
        <v>4.0547945205479454</v>
      </c>
      <c r="D57" s="161">
        <f ca="1">IF(NOT($C$6),"",IF(GetConvertDate(CDSRollDate,B57)&lt;Parameter_Date,0,GetGetDefaultprob($I$6,B57)))</f>
        <v>2.5389958167266191E-2</v>
      </c>
      <c r="E57" s="170">
        <f t="shared" ca="1" si="2"/>
        <v>8.7969883872346787E-3</v>
      </c>
      <c r="F57" s="156"/>
      <c r="G57" s="157"/>
    </row>
    <row r="58" spans="2:7">
      <c r="B58" s="176" t="str">
        <f t="shared" ca="1" si="0"/>
        <v>49M</v>
      </c>
      <c r="C58" s="208">
        <f t="shared" ca="1" si="3"/>
        <v>4.13972602739726</v>
      </c>
      <c r="D58" s="161">
        <f ca="1">IF(NOT($C$6),"",IF(GetConvertDate(CDSRollDate,B58)&lt;Parameter_Date,0,GetGetDefaultprob($I$6,B58)))</f>
        <v>2.6117857799956345E-2</v>
      </c>
      <c r="E58" s="170">
        <f t="shared" ca="1" si="2"/>
        <v>8.7969883872345486E-3</v>
      </c>
      <c r="F58" s="156"/>
      <c r="G58" s="157"/>
    </row>
    <row r="59" spans="2:7">
      <c r="B59" s="176" t="str">
        <f t="shared" ca="1" si="0"/>
        <v>50M</v>
      </c>
      <c r="C59" s="208">
        <f t="shared" ca="1" si="3"/>
        <v>4.2246575342465755</v>
      </c>
      <c r="D59" s="161">
        <f ca="1">IF(NOT($C$6),"",IF(GetConvertDate(CDSRollDate,B59)&lt;Parameter_Date,0,GetGetDefaultprob($I$6,B59)))</f>
        <v>2.6845213791751643E-2</v>
      </c>
      <c r="E59" s="170">
        <f t="shared" ca="1" si="2"/>
        <v>8.7969883872331487E-3</v>
      </c>
      <c r="F59" s="156"/>
      <c r="G59" s="157"/>
    </row>
    <row r="60" spans="2:7">
      <c r="B60" s="176" t="str">
        <f t="shared" ca="1" si="0"/>
        <v>51M</v>
      </c>
      <c r="C60" s="208">
        <f t="shared" ca="1" si="3"/>
        <v>4.3041095890410963</v>
      </c>
      <c r="D60" s="161">
        <f ca="1">IF(NOT($C$6),"",IF(GetConvertDate(CDSRollDate,B60)&lt;Parameter_Date,0,GetGetDefaultprob($I$6,B60)))</f>
        <v>2.7525151788312274E-2</v>
      </c>
      <c r="E60" s="170">
        <f t="shared" ca="1" si="2"/>
        <v>8.7969883872345105E-3</v>
      </c>
      <c r="F60" s="156"/>
      <c r="G60" s="157"/>
    </row>
    <row r="61" spans="2:7">
      <c r="B61" s="176" t="str">
        <f t="shared" ca="1" si="0"/>
        <v>52M</v>
      </c>
      <c r="C61" s="208">
        <f t="shared" ca="1" si="3"/>
        <v>4.3890410958904109</v>
      </c>
      <c r="D61" s="161">
        <f ca="1">IF(NOT($C$6),"",IF(GetConvertDate(CDSRollDate,B61)&lt;Parameter_Date,0,GetGetDefaultprob($I$6,B61)))</f>
        <v>2.8251456725087332E-2</v>
      </c>
      <c r="E61" s="170">
        <f t="shared" ca="1" si="2"/>
        <v>8.7969883872332406E-3</v>
      </c>
      <c r="F61" s="156"/>
      <c r="G61" s="157"/>
    </row>
    <row r="62" spans="2:7">
      <c r="B62" s="176" t="str">
        <f t="shared" ca="1" si="0"/>
        <v>53M</v>
      </c>
      <c r="C62" s="208">
        <f t="shared" ca="1" si="3"/>
        <v>4.4712328767123291</v>
      </c>
      <c r="D62" s="161">
        <f ca="1">IF(NOT($C$6),"",IF(GetConvertDate(CDSRollDate,B62)&lt;Parameter_Date,0,GetGetDefaultprob($I$6,B62)))</f>
        <v>2.8953815981671238E-2</v>
      </c>
      <c r="E62" s="170">
        <f t="shared" ca="1" si="2"/>
        <v>8.7969883872333291E-3</v>
      </c>
      <c r="F62" s="156"/>
      <c r="G62" s="157"/>
    </row>
    <row r="63" spans="2:7">
      <c r="B63" s="176" t="str">
        <f t="shared" ca="1" si="0"/>
        <v>54M</v>
      </c>
      <c r="C63" s="208">
        <f t="shared" ca="1" si="3"/>
        <v>4.5561643835616437</v>
      </c>
      <c r="D63" s="161">
        <f ca="1">IF(NOT($C$6),"",IF(GetConvertDate(CDSRollDate,B63)&lt;Parameter_Date,0,GetGetDefaultprob($I$6,B63)))</f>
        <v>2.9679053902822772E-2</v>
      </c>
      <c r="E63" s="170">
        <f t="shared" ca="1" si="2"/>
        <v>8.7969883872345486E-3</v>
      </c>
      <c r="F63" s="156"/>
      <c r="G63" s="157"/>
    </row>
    <row r="64" spans="2:7">
      <c r="B64" s="176" t="str">
        <f t="shared" ca="1" si="0"/>
        <v>55M</v>
      </c>
      <c r="C64" s="208">
        <f t="shared" ca="1" si="3"/>
        <v>4.6383561643835618</v>
      </c>
      <c r="D64" s="161">
        <f ca="1">IF(NOT($C$6),"",IF(GetConvertDate(CDSRollDate,B64)&lt;Parameter_Date,0,GetGetDefaultprob($I$6,B64)))</f>
        <v>3.0380381322416272E-2</v>
      </c>
      <c r="E64" s="170">
        <f t="shared" ca="1" si="2"/>
        <v>8.7969883872346787E-3</v>
      </c>
      <c r="F64" s="156"/>
      <c r="G64" s="157"/>
    </row>
    <row r="65" spans="2:7">
      <c r="B65" s="176" t="str">
        <f t="shared" ca="1" si="0"/>
        <v>56M</v>
      </c>
      <c r="C65" s="208">
        <f t="shared" ca="1" si="3"/>
        <v>4.7232876712328764</v>
      </c>
      <c r="D65" s="161">
        <f ca="1">IF(NOT($C$6),"",IF(GetConvertDate(CDSRollDate,B65)&lt;Parameter_Date,0,GetGetDefaultprob($I$6,B65)))</f>
        <v>3.1104553795498258E-2</v>
      </c>
      <c r="E65" s="170">
        <f t="shared" ca="1" si="2"/>
        <v>8.7969883872332406E-3</v>
      </c>
      <c r="F65" s="156"/>
      <c r="G65" s="157"/>
    </row>
    <row r="66" spans="2:7">
      <c r="B66" s="176" t="str">
        <f t="shared" ca="1" si="0"/>
        <v>57M</v>
      </c>
      <c r="C66" s="208">
        <f t="shared" ca="1" si="3"/>
        <v>4.8082191780821919</v>
      </c>
      <c r="D66" s="161">
        <f ca="1">IF(NOT($C$6),"",IF(GetConvertDate(CDSRollDate,B66)&lt;Parameter_Date,0,GetGetDefaultprob($I$6,B66)))</f>
        <v>3.1828185411360899E-2</v>
      </c>
      <c r="E66" s="170">
        <f t="shared" ca="1" si="2"/>
        <v>8.7969883872331487E-3</v>
      </c>
      <c r="F66" s="156"/>
      <c r="G66" s="157"/>
    </row>
    <row r="67" spans="2:7">
      <c r="B67" s="176" t="str">
        <f t="shared" ca="1" si="0"/>
        <v>58M</v>
      </c>
      <c r="C67" s="208">
        <f t="shared" ca="1" si="3"/>
        <v>4.8904109589041092</v>
      </c>
      <c r="D67" s="161">
        <f ca="1">IF(NOT($C$6),"",IF(GetConvertDate(CDSRollDate,B67)&lt;Parameter_Date,0,GetGetDefaultprob($I$6,B67)))</f>
        <v>3.2527959484238145E-2</v>
      </c>
      <c r="E67" s="170">
        <f t="shared" ca="1" si="2"/>
        <v>8.7969883872334228E-3</v>
      </c>
      <c r="F67" s="156"/>
      <c r="G67" s="157"/>
    </row>
    <row r="68" spans="2:7">
      <c r="B68" s="176" t="str">
        <f t="shared" ca="1" si="0"/>
        <v>59M</v>
      </c>
      <c r="C68" s="208">
        <f t="shared" ca="1" si="3"/>
        <v>4.9753424657534246</v>
      </c>
      <c r="D68" s="161">
        <f ca="1">IF(NOT($C$6),"",IF(GetConvertDate(CDSRollDate,B68)&lt;Parameter_Date,0,GetGetDefaultprob($I$6,B68)))</f>
        <v>3.3250528011856795E-2</v>
      </c>
      <c r="E68" s="170">
        <f t="shared" ca="1" si="2"/>
        <v>8.7969883872344567E-3</v>
      </c>
      <c r="F68" s="156"/>
      <c r="G68" s="157"/>
    </row>
    <row r="69" spans="2:7">
      <c r="B69" s="176" t="str">
        <f t="shared" ca="1" si="0"/>
        <v>60M</v>
      </c>
      <c r="C69" s="208">
        <f t="shared" ca="1" si="3"/>
        <v>5.0575342465753428</v>
      </c>
      <c r="D69" s="161">
        <f ca="1">IF(NOT($C$6),"",IF(GetConvertDate(CDSRollDate,B69)&lt;Parameter_Date,0,GetGetDefaultprob($I$6,B69)))</f>
        <v>3.3949274045640521E-2</v>
      </c>
      <c r="E69" s="170">
        <f t="shared" ca="1" si="2"/>
        <v>8.7969883872333291E-3</v>
      </c>
      <c r="F69" s="156"/>
      <c r="G69" s="157"/>
    </row>
    <row r="70" spans="2:7">
      <c r="B70" s="176" t="str">
        <f t="shared" ca="1" si="0"/>
        <v>61M</v>
      </c>
      <c r="C70" s="208">
        <f t="shared" ca="1" si="3"/>
        <v>5.1424657534246574</v>
      </c>
      <c r="D70" s="161">
        <f ca="1">IF(NOT($C$6),"",IF(GetConvertDate(CDSRollDate,B70)&lt;Parameter_Date,0,GetGetDefaultprob($I$6,B70)))</f>
        <v>3.4713515142700158E-2</v>
      </c>
      <c r="E70" s="170">
        <f t="shared" ca="1" si="2"/>
        <v>9.3182309269464001E-3</v>
      </c>
      <c r="F70" s="156"/>
      <c r="G70" s="157"/>
    </row>
    <row r="71" spans="2:7">
      <c r="B71" s="176" t="str">
        <f t="shared" ca="1" si="0"/>
        <v>62M</v>
      </c>
      <c r="C71" s="208">
        <f t="shared" ca="1" si="3"/>
        <v>5.2273972602739729</v>
      </c>
      <c r="D71" s="161">
        <f ca="1">IF(NOT($C$6),"",IF(GetConvertDate(CDSRollDate,B71)&lt;Parameter_Date,0,GetGetDefaultprob($I$6,B71)))</f>
        <v>3.547715164991927E-2</v>
      </c>
      <c r="E71" s="170">
        <f t="shared" ca="1" si="2"/>
        <v>9.3182309269476109E-3</v>
      </c>
      <c r="F71" s="156"/>
      <c r="G71" s="157"/>
    </row>
    <row r="72" spans="2:7">
      <c r="B72" s="176" t="str">
        <f t="shared" ca="1" si="0"/>
        <v>63M</v>
      </c>
      <c r="C72" s="208">
        <f t="shared" ca="1" si="3"/>
        <v>5.3041095890410963</v>
      </c>
      <c r="D72" s="161">
        <f ca="1">IF(NOT($C$6),"",IF(GetConvertDate(CDSRollDate,B72)&lt;Parameter_Date,0,GetGetDefaultprob($I$6,B72)))</f>
        <v>3.61663685899698E-2</v>
      </c>
      <c r="E72" s="170">
        <f t="shared" ca="1" si="2"/>
        <v>9.3182309269470315E-3</v>
      </c>
      <c r="F72" s="156"/>
      <c r="G72" s="157"/>
    </row>
    <row r="73" spans="2:7">
      <c r="B73" s="176" t="str">
        <f t="shared" ca="1" si="0"/>
        <v>64M</v>
      </c>
      <c r="C73" s="208">
        <f t="shared" ca="1" si="3"/>
        <v>5.3890410958904109</v>
      </c>
      <c r="D73" s="161">
        <f ca="1">IF(NOT($C$6),"",IF(GetConvertDate(CDSRollDate,B73)&lt;Parameter_Date,0,GetGetDefaultprob($I$6,B73)))</f>
        <v>3.6928855747281442E-2</v>
      </c>
      <c r="E73" s="170">
        <f t="shared" ca="1" si="2"/>
        <v>9.3182309269464001E-3</v>
      </c>
      <c r="F73" s="156"/>
      <c r="G73" s="157"/>
    </row>
    <row r="74" spans="2:7">
      <c r="B74" s="176" t="str">
        <f t="shared" ca="1" si="0"/>
        <v>65M</v>
      </c>
      <c r="C74" s="208">
        <f t="shared" ref="C74:C105" ca="1" si="4">MAX(0,(DATE(YEAR(CDSRollDate),MONTH(CDSRollDate)+ROW()-ROW($B$9),DAY(CDSRollDate))-Parameter_Date)/365)</f>
        <v>5.4712328767123291</v>
      </c>
      <c r="D74" s="161">
        <f ca="1">IF(NOT($C$6),"",IF(GetConvertDate(CDSRollDate,B74)&lt;Parameter_Date,0,GetGetDefaultprob($I$6,B74)))</f>
        <v>3.7666172210858662E-2</v>
      </c>
      <c r="E74" s="170">
        <f t="shared" ca="1" si="2"/>
        <v>9.3182309269461121E-3</v>
      </c>
      <c r="F74" s="156"/>
      <c r="G74" s="157"/>
    </row>
    <row r="75" spans="2:7">
      <c r="B75" s="176" t="str">
        <f t="shared" ref="B75:B129" ca="1" si="5">ROW()-ROW($B$9)&amp;"M"</f>
        <v>66M</v>
      </c>
      <c r="C75" s="208">
        <f t="shared" ca="1" si="4"/>
        <v>5.5561643835616437</v>
      </c>
      <c r="D75" s="161">
        <f ca="1">IF(NOT($C$6),"",IF(GetConvertDate(CDSRollDate,B75)&lt;Parameter_Date,0,GetGetDefaultprob($I$6,B75)))</f>
        <v>3.8427472876060076E-2</v>
      </c>
      <c r="E75" s="170">
        <f t="shared" ca="1" si="2"/>
        <v>9.3182309269477081E-3</v>
      </c>
      <c r="F75" s="156"/>
      <c r="G75" s="157"/>
    </row>
    <row r="76" spans="2:7">
      <c r="B76" s="176" t="str">
        <f t="shared" ca="1" si="5"/>
        <v>67M</v>
      </c>
      <c r="C76" s="208">
        <f t="shared" ca="1" si="4"/>
        <v>5.6383561643835618</v>
      </c>
      <c r="D76" s="161">
        <f ca="1">IF(NOT($C$6),"",IF(GetConvertDate(CDSRollDate,B76)&lt;Parameter_Date,0,GetGetDefaultprob($I$6,B76)))</f>
        <v>3.9163642015176192E-2</v>
      </c>
      <c r="E76" s="170">
        <f t="shared" ref="E76:E129" ca="1" si="6">IF(NOT($C$6),"",IF(C76=0,0,-LN((1-D76)/(1-D75))/($C76-$C75)))</f>
        <v>9.3182309269461121E-3</v>
      </c>
      <c r="F76" s="156"/>
      <c r="G76" s="157"/>
    </row>
    <row r="77" spans="2:7">
      <c r="B77" s="176" t="str">
        <f t="shared" ca="1" si="5"/>
        <v>68M</v>
      </c>
      <c r="C77" s="208">
        <f t="shared" ca="1" si="4"/>
        <v>5.7232876712328764</v>
      </c>
      <c r="D77" s="161">
        <f ca="1">IF(NOT($C$6),"",IF(GetConvertDate(CDSRollDate,B77)&lt;Parameter_Date,0,GetGetDefaultprob($I$6,B77)))</f>
        <v>3.9923758034545398E-2</v>
      </c>
      <c r="E77" s="170">
        <f t="shared" ca="1" si="6"/>
        <v>9.3182309269464001E-3</v>
      </c>
      <c r="F77" s="156"/>
      <c r="G77" s="157"/>
    </row>
    <row r="78" spans="2:7">
      <c r="B78" s="176" t="str">
        <f t="shared" ca="1" si="5"/>
        <v>69M</v>
      </c>
      <c r="C78" s="208">
        <f t="shared" ca="1" si="4"/>
        <v>5.8082191780821919</v>
      </c>
      <c r="D78" s="161">
        <f ca="1">IF(NOT($C$6),"",IF(GetConvertDate(CDSRollDate,B78)&lt;Parameter_Date,0,GetGetDefaultprob($I$6,B78)))</f>
        <v>4.0683272727415898E-2</v>
      </c>
      <c r="E78" s="170">
        <f t="shared" ca="1" si="6"/>
        <v>9.318230926944995E-3</v>
      </c>
      <c r="F78" s="156"/>
      <c r="G78" s="157"/>
    </row>
    <row r="79" spans="2:7">
      <c r="B79" s="176" t="str">
        <f t="shared" ca="1" si="5"/>
        <v>70M</v>
      </c>
      <c r="C79" s="208">
        <f t="shared" ca="1" si="4"/>
        <v>5.8904109589041092</v>
      </c>
      <c r="D79" s="161">
        <f ca="1">IF(NOT($C$6),"",IF(GetConvertDate(CDSRollDate,B79)&lt;Parameter_Date,0,GetGetDefaultprob($I$6,B79)))</f>
        <v>4.1417714851473053E-2</v>
      </c>
      <c r="E79" s="170">
        <f t="shared" ca="1" si="6"/>
        <v>9.3182309269462128E-3</v>
      </c>
      <c r="F79" s="156"/>
      <c r="G79" s="157"/>
    </row>
    <row r="80" spans="2:7">
      <c r="B80" s="176" t="str">
        <f t="shared" ca="1" si="5"/>
        <v>71M</v>
      </c>
      <c r="C80" s="208">
        <f t="shared" ca="1" si="4"/>
        <v>5.9753424657534246</v>
      </c>
      <c r="D80" s="161">
        <f ca="1">IF(NOT($C$6),"",IF(GetConvertDate(CDSRollDate,B80)&lt;Parameter_Date,0,GetGetDefaultprob($I$6,B80)))</f>
        <v>4.2176047677629946E-2</v>
      </c>
      <c r="E80" s="170">
        <f t="shared" ca="1" si="6"/>
        <v>9.318230926946303E-3</v>
      </c>
      <c r="F80" s="156"/>
      <c r="G80" s="157"/>
    </row>
    <row r="81" spans="2:7">
      <c r="B81" s="176" t="str">
        <f t="shared" ca="1" si="5"/>
        <v>72M</v>
      </c>
      <c r="C81" s="208">
        <f t="shared" ca="1" si="4"/>
        <v>6.0575342465753428</v>
      </c>
      <c r="D81" s="161">
        <f ca="1">IF(NOT($C$6),"",IF(GetConvertDate(CDSRollDate,B81)&lt;Parameter_Date,0,GetGetDefaultprob($I$6,B81)))</f>
        <v>4.2909346949932314E-2</v>
      </c>
      <c r="E81" s="170">
        <f t="shared" ca="1" si="6"/>
        <v>9.3182309269461121E-3</v>
      </c>
      <c r="F81" s="156"/>
      <c r="G81" s="157"/>
    </row>
    <row r="82" spans="2:7">
      <c r="B82" s="176" t="str">
        <f t="shared" ca="1" si="5"/>
        <v>73M</v>
      </c>
      <c r="C82" s="208">
        <f t="shared" ca="1" si="4"/>
        <v>6.1424657534246574</v>
      </c>
      <c r="D82" s="161">
        <f ca="1">IF(NOT($C$6),"",IF(GetConvertDate(CDSRollDate,B82)&lt;Parameter_Date,0,GetGetDefaultprob($I$6,B82)))</f>
        <v>4.3666499748456378E-2</v>
      </c>
      <c r="E82" s="170">
        <f t="shared" ca="1" si="6"/>
        <v>9.3182309269464001E-3</v>
      </c>
      <c r="F82" s="156"/>
      <c r="G82" s="157"/>
    </row>
    <row r="83" spans="2:7">
      <c r="B83" s="176" t="str">
        <f t="shared" ca="1" si="5"/>
        <v>74M</v>
      </c>
      <c r="C83" s="208">
        <f t="shared" ca="1" si="4"/>
        <v>6.2273972602739729</v>
      </c>
      <c r="D83" s="161">
        <f ca="1">IF(NOT($C$6),"",IF(GetConvertDate(CDSRollDate,B83)&lt;Parameter_Date,0,GetGetDefaultprob($I$6,B83)))</f>
        <v>4.4423053564680792E-2</v>
      </c>
      <c r="E83" s="170">
        <f t="shared" ca="1" si="6"/>
        <v>9.318230926946303E-3</v>
      </c>
      <c r="F83" s="156"/>
      <c r="G83" s="157"/>
    </row>
    <row r="84" spans="2:7">
      <c r="B84" s="176" t="str">
        <f t="shared" ca="1" si="5"/>
        <v>75M</v>
      </c>
      <c r="C84" s="208">
        <f t="shared" ca="1" si="4"/>
        <v>6.3041095890410963</v>
      </c>
      <c r="D84" s="161">
        <f ca="1">IF(NOT($C$6),"",IF(GetConvertDate(CDSRollDate,B84)&lt;Parameter_Date,0,GetGetDefaultprob($I$6,B84)))</f>
        <v>4.5105878051556969E-2</v>
      </c>
      <c r="E84" s="170">
        <f t="shared" ca="1" si="6"/>
        <v>9.3182309269470315E-3</v>
      </c>
      <c r="F84" s="156"/>
      <c r="G84" s="157"/>
    </row>
    <row r="85" spans="2:7">
      <c r="B85" s="176" t="str">
        <f t="shared" ca="1" si="5"/>
        <v>76M</v>
      </c>
      <c r="C85" s="208">
        <f t="shared" ca="1" si="4"/>
        <v>6.3890410958904109</v>
      </c>
      <c r="D85" s="161">
        <f ca="1">IF(NOT($C$6),"",IF(GetConvertDate(CDSRollDate,B85)&lt;Parameter_Date,0,GetGetDefaultprob($I$6,B85)))</f>
        <v>4.5861293178037887E-2</v>
      </c>
      <c r="E85" s="170">
        <f t="shared" ca="1" si="6"/>
        <v>9.3182309269477081E-3</v>
      </c>
      <c r="F85" s="156"/>
      <c r="G85" s="157"/>
    </row>
    <row r="86" spans="2:7">
      <c r="B86" s="176" t="str">
        <f t="shared" ca="1" si="5"/>
        <v>77M</v>
      </c>
      <c r="C86" s="208">
        <f t="shared" ca="1" si="4"/>
        <v>6.4712328767123291</v>
      </c>
      <c r="D86" s="161">
        <f ca="1">IF(NOT($C$6),"",IF(GetConvertDate(CDSRollDate,B86)&lt;Parameter_Date,0,GetGetDefaultprob($I$6,B86)))</f>
        <v>4.6591771067728938E-2</v>
      </c>
      <c r="E86" s="170">
        <f t="shared" ca="1" si="6"/>
        <v>9.3182309269447608E-3</v>
      </c>
      <c r="F86" s="156"/>
      <c r="G86" s="157"/>
    </row>
    <row r="87" spans="2:7">
      <c r="B87" s="176" t="str">
        <f t="shared" ca="1" si="5"/>
        <v>78M</v>
      </c>
      <c r="C87" s="208">
        <f t="shared" ca="1" si="4"/>
        <v>6.5561643835616437</v>
      </c>
      <c r="D87" s="161">
        <f ca="1">IF(NOT($C$6),"",IF(GetConvertDate(CDSRollDate,B87)&lt;Parameter_Date,0,GetGetDefaultprob($I$6,B87)))</f>
        <v>4.7346010706755259E-2</v>
      </c>
      <c r="E87" s="170">
        <f t="shared" ca="1" si="6"/>
        <v>9.3182309269464001E-3</v>
      </c>
      <c r="F87" s="156"/>
      <c r="G87" s="157"/>
    </row>
    <row r="88" spans="2:7">
      <c r="B88" s="176" t="str">
        <f t="shared" ca="1" si="5"/>
        <v>79M</v>
      </c>
      <c r="C88" s="208">
        <f t="shared" ca="1" si="4"/>
        <v>6.6383561643835618</v>
      </c>
      <c r="D88" s="161">
        <f ca="1">IF(NOT($C$6),"",IF(GetConvertDate(CDSRollDate,B88)&lt;Parameter_Date,0,GetGetDefaultprob($I$6,B88)))</f>
        <v>4.8075351913363207E-2</v>
      </c>
      <c r="E88" s="170">
        <f t="shared" ca="1" si="6"/>
        <v>9.3182309269474635E-3</v>
      </c>
      <c r="F88" s="156"/>
      <c r="G88" s="157"/>
    </row>
    <row r="89" spans="2:7">
      <c r="B89" s="176" t="str">
        <f t="shared" ca="1" si="5"/>
        <v>80M</v>
      </c>
      <c r="C89" s="208">
        <f t="shared" ca="1" si="4"/>
        <v>6.7232876712328764</v>
      </c>
      <c r="D89" s="161">
        <f ca="1">IF(NOT($C$6),"",IF(GetConvertDate(CDSRollDate,B89)&lt;Parameter_Date,0,GetGetDefaultprob($I$6,B89)))</f>
        <v>4.8828417894089093E-2</v>
      </c>
      <c r="E89" s="170">
        <f t="shared" ca="1" si="6"/>
        <v>9.3182309269450939E-3</v>
      </c>
      <c r="F89" s="156"/>
      <c r="G89" s="157"/>
    </row>
    <row r="90" spans="2:7">
      <c r="B90" s="176" t="str">
        <f t="shared" ca="1" si="5"/>
        <v>81M</v>
      </c>
      <c r="C90" s="208">
        <f t="shared" ca="1" si="4"/>
        <v>6.8082191780821919</v>
      </c>
      <c r="D90" s="161">
        <f ca="1">IF(NOT($C$6),"",IF(GetConvertDate(CDSRollDate,B90)&lt;Parameter_Date,0,GetGetDefaultprob($I$6,B90)))</f>
        <v>4.9580888125590139E-2</v>
      </c>
      <c r="E90" s="170">
        <f t="shared" ca="1" si="6"/>
        <v>9.318230926946303E-3</v>
      </c>
      <c r="F90" s="156"/>
      <c r="G90" s="157"/>
    </row>
    <row r="91" spans="2:7">
      <c r="B91" s="176" t="str">
        <f t="shared" ca="1" si="5"/>
        <v>82M</v>
      </c>
      <c r="C91" s="208">
        <f t="shared" ca="1" si="4"/>
        <v>6.8904109589041092</v>
      </c>
      <c r="D91" s="161">
        <f ca="1">IF(NOT($C$6),"",IF(GetConvertDate(CDSRollDate,B91)&lt;Parameter_Date,0,GetGetDefaultprob($I$6,B91)))</f>
        <v>5.0308518335118735E-2</v>
      </c>
      <c r="E91" s="170">
        <f t="shared" ca="1" si="6"/>
        <v>9.3182309269475641E-3</v>
      </c>
      <c r="F91" s="156"/>
      <c r="G91" s="157"/>
    </row>
    <row r="92" spans="2:7">
      <c r="B92" s="176" t="str">
        <f t="shared" ca="1" si="5"/>
        <v>83M</v>
      </c>
      <c r="C92" s="208">
        <f t="shared" ca="1" si="4"/>
        <v>6.9753424657534246</v>
      </c>
      <c r="D92" s="161">
        <f ca="1">IF(NOT($C$6),"",IF(GetConvertDate(CDSRollDate,B92)&lt;Parameter_Date,0,GetGetDefaultprob($I$6,B92)))</f>
        <v>5.1059817661661566E-2</v>
      </c>
      <c r="E92" s="170">
        <f t="shared" ca="1" si="6"/>
        <v>9.318230926944995E-3</v>
      </c>
      <c r="F92" s="156"/>
      <c r="G92" s="157"/>
    </row>
    <row r="93" spans="2:7">
      <c r="B93" s="176" t="str">
        <f t="shared" ca="1" si="5"/>
        <v>84M</v>
      </c>
      <c r="C93" s="208">
        <f t="shared" ca="1" si="4"/>
        <v>7.0575342465753428</v>
      </c>
      <c r="D93" s="161">
        <f ca="1">IF(NOT($C$6),"",IF(GetConvertDate(CDSRollDate,B93)&lt;Parameter_Date,0,GetGetDefaultprob($I$6,B93)))</f>
        <v>5.1786315619329115E-2</v>
      </c>
      <c r="E93" s="170">
        <f t="shared" ca="1" si="6"/>
        <v>9.3182309269474635E-3</v>
      </c>
      <c r="F93" s="156"/>
      <c r="G93" s="157"/>
    </row>
    <row r="94" spans="2:7">
      <c r="B94" s="176" t="str">
        <f t="shared" ca="1" si="5"/>
        <v>85M</v>
      </c>
      <c r="C94" s="208">
        <f t="shared" ca="1" si="4"/>
        <v>7.1424657534246574</v>
      </c>
      <c r="D94" s="161">
        <f ca="1">IF(NOT($C$6),"",IF(GetConvertDate(CDSRollDate,B94)&lt;Parameter_Date,0,GetGetDefaultprob($I$6,B94)))</f>
        <v>5.2588235521618287E-2</v>
      </c>
      <c r="E94" s="170">
        <f t="shared" ca="1" si="6"/>
        <v>9.9618421020719189E-3</v>
      </c>
      <c r="F94" s="156"/>
      <c r="G94" s="157"/>
    </row>
    <row r="95" spans="2:7">
      <c r="B95" s="176" t="str">
        <f t="shared" ca="1" si="5"/>
        <v>86M</v>
      </c>
      <c r="C95" s="208">
        <f t="shared" ca="1" si="4"/>
        <v>7.2273972602739729</v>
      </c>
      <c r="D95" s="161">
        <f ca="1">IF(NOT($C$6),"",IF(GetConvertDate(CDSRollDate,B95)&lt;Parameter_Date,0,GetGetDefaultprob($I$6,B95)))</f>
        <v>5.3389477227061666E-2</v>
      </c>
      <c r="E95" s="170">
        <f t="shared" ca="1" si="6"/>
        <v>9.9618421020691971E-3</v>
      </c>
      <c r="F95" s="156"/>
      <c r="G95" s="157"/>
    </row>
    <row r="96" spans="2:7">
      <c r="B96" s="176" t="str">
        <f t="shared" ca="1" si="5"/>
        <v>87M</v>
      </c>
      <c r="C96" s="208">
        <f t="shared" ca="1" si="4"/>
        <v>7.3041095890410963</v>
      </c>
      <c r="D96" s="161">
        <f ca="1">IF(NOT($C$6),"",IF(GetConvertDate(CDSRollDate,B96)&lt;Parameter_Date,0,GetGetDefaultprob($I$6,B96)))</f>
        <v>5.411259696506332E-2</v>
      </c>
      <c r="E96" s="170">
        <f t="shared" ca="1" si="6"/>
        <v>9.9618421020708902E-3</v>
      </c>
      <c r="F96" s="156"/>
      <c r="G96" s="157"/>
    </row>
    <row r="97" spans="2:7">
      <c r="B97" s="176" t="str">
        <f t="shared" ca="1" si="5"/>
        <v>88M</v>
      </c>
      <c r="C97" s="208">
        <f t="shared" ca="1" si="4"/>
        <v>7.3890410958904109</v>
      </c>
      <c r="D97" s="161">
        <f ca="1">IF(NOT($C$6),"",IF(GetConvertDate(CDSRollDate,B97)&lt;Parameter_Date,0,GetGetDefaultprob($I$6,B97)))</f>
        <v>5.4912549492972418E-2</v>
      </c>
      <c r="E97" s="170">
        <f t="shared" ca="1" si="6"/>
        <v>9.9618421020719189E-3</v>
      </c>
      <c r="F97" s="156"/>
      <c r="G97" s="157"/>
    </row>
    <row r="98" spans="2:7">
      <c r="B98" s="176" t="str">
        <f t="shared" ca="1" si="5"/>
        <v>89M</v>
      </c>
      <c r="C98" s="208">
        <f t="shared" ca="1" si="4"/>
        <v>7.4712328767123291</v>
      </c>
      <c r="D98" s="161">
        <f ca="1">IF(NOT($C$6),"",IF(GetConvertDate(CDSRollDate,B98)&lt;Parameter_Date,0,GetGetDefaultprob($I$6,B98)))</f>
        <v>5.568605294523632E-2</v>
      </c>
      <c r="E98" s="170">
        <f t="shared" ca="1" si="6"/>
        <v>9.9618421020712666E-3</v>
      </c>
      <c r="F98" s="156"/>
      <c r="G98" s="157"/>
    </row>
    <row r="99" spans="2:7">
      <c r="B99" s="176" t="str">
        <f t="shared" ca="1" si="5"/>
        <v>90M</v>
      </c>
      <c r="C99" s="208">
        <f t="shared" ca="1" si="4"/>
        <v>7.5561643835616437</v>
      </c>
      <c r="D99" s="161">
        <f ca="1">IF(NOT($C$6),"",IF(GetConvertDate(CDSRollDate,B99)&lt;Parameter_Date,0,GetGetDefaultprob($I$6,B99)))</f>
        <v>5.6484674775553856E-2</v>
      </c>
      <c r="E99" s="170">
        <f t="shared" ca="1" si="6"/>
        <v>9.9618421020693012E-3</v>
      </c>
      <c r="F99" s="156"/>
      <c r="G99" s="157"/>
    </row>
    <row r="100" spans="2:7">
      <c r="B100" s="176" t="str">
        <f t="shared" ca="1" si="5"/>
        <v>91M</v>
      </c>
      <c r="C100" s="208">
        <f t="shared" ca="1" si="4"/>
        <v>7.6383561643835618</v>
      </c>
      <c r="D100" s="161">
        <f ca="1">IF(NOT($C$6),"",IF(GetConvertDate(CDSRollDate,B100)&lt;Parameter_Date,0,GetGetDefaultprob($I$6,B100)))</f>
        <v>5.7256891527488918E-2</v>
      </c>
      <c r="E100" s="170">
        <f t="shared" ca="1" si="6"/>
        <v>9.9618421020739693E-3</v>
      </c>
      <c r="F100" s="156"/>
      <c r="G100" s="157"/>
    </row>
    <row r="101" spans="2:7">
      <c r="B101" s="176" t="str">
        <f t="shared" ca="1" si="5"/>
        <v>92M</v>
      </c>
      <c r="C101" s="208">
        <f t="shared" ca="1" si="4"/>
        <v>7.7232876712328764</v>
      </c>
      <c r="D101" s="161">
        <f ca="1">IF(NOT($C$6),"",IF(GetConvertDate(CDSRollDate,B101)&lt;Parameter_Date,0,GetGetDefaultprob($I$6,B101)))</f>
        <v>5.8054184873791659E-2</v>
      </c>
      <c r="E101" s="170">
        <f t="shared" ca="1" si="6"/>
        <v>9.9618421020706109E-3</v>
      </c>
      <c r="F101" s="156"/>
      <c r="G101" s="157"/>
    </row>
    <row r="102" spans="2:7">
      <c r="B102" s="176" t="str">
        <f t="shared" ca="1" si="5"/>
        <v>93M</v>
      </c>
      <c r="C102" s="208">
        <f t="shared" ca="1" si="4"/>
        <v>7.8082191780821919</v>
      </c>
      <c r="D102" s="161">
        <f ca="1">IF(NOT($C$6),"",IF(GetConvertDate(CDSRollDate,B102)&lt;Parameter_Date,0,GetGetDefaultprob($I$6,B102)))</f>
        <v>5.8850803936003282E-2</v>
      </c>
      <c r="E102" s="170">
        <f t="shared" ca="1" si="6"/>
        <v>9.9618421020705068E-3</v>
      </c>
      <c r="F102" s="156"/>
      <c r="G102" s="157"/>
    </row>
    <row r="103" spans="2:7">
      <c r="B103" s="176" t="str">
        <f t="shared" ca="1" si="5"/>
        <v>94M</v>
      </c>
      <c r="C103" s="208">
        <f t="shared" ca="1" si="4"/>
        <v>7.8904109589041092</v>
      </c>
      <c r="D103" s="161">
        <f ca="1">IF(NOT($C$6),"",IF(GetConvertDate(CDSRollDate,B103)&lt;Parameter_Date,0,GetGetDefaultprob($I$6,B103)))</f>
        <v>5.9621084137968072E-2</v>
      </c>
      <c r="E103" s="170">
        <f t="shared" ca="1" si="6"/>
        <v>9.9618421020727255E-3</v>
      </c>
      <c r="F103" s="156"/>
      <c r="G103" s="157"/>
    </row>
    <row r="104" spans="2:7">
      <c r="B104" s="176" t="str">
        <f t="shared" ca="1" si="5"/>
        <v>95M</v>
      </c>
      <c r="C104" s="208">
        <f t="shared" ca="1" si="4"/>
        <v>7.9753424657534246</v>
      </c>
      <c r="D104" s="161">
        <f ca="1">IF(NOT($C$6),"",IF(GetConvertDate(CDSRollDate,B104)&lt;Parameter_Date,0,GetGetDefaultprob($I$6,B104)))</f>
        <v>6.0416378047710939E-2</v>
      </c>
      <c r="E104" s="170">
        <f t="shared" ca="1" si="6"/>
        <v>9.9618421020718148E-3</v>
      </c>
      <c r="F104" s="156"/>
      <c r="G104" s="157"/>
    </row>
    <row r="105" spans="2:7">
      <c r="B105" s="176" t="str">
        <f t="shared" ca="1" si="5"/>
        <v>96M</v>
      </c>
      <c r="C105" s="208">
        <f t="shared" ca="1" si="4"/>
        <v>8.0575342465753419</v>
      </c>
      <c r="D105" s="161">
        <f ca="1">IF(NOT($C$6),"",IF(GetConvertDate(CDSRollDate,B105)&lt;Parameter_Date,0,GetGetDefaultprob($I$6,B105)))</f>
        <v>6.118537691112913E-2</v>
      </c>
      <c r="E105" s="170">
        <f t="shared" ca="1" si="6"/>
        <v>9.9618421020713742E-3</v>
      </c>
      <c r="F105" s="156"/>
      <c r="G105" s="157"/>
    </row>
    <row r="106" spans="2:7">
      <c r="B106" s="176" t="str">
        <f t="shared" ca="1" si="5"/>
        <v>97M</v>
      </c>
      <c r="C106" s="208">
        <f t="shared" ref="C106:C129" ca="1" si="7">MAX(0,(DATE(YEAR(CDSRollDate),MONTH(CDSRollDate)+ROW()-ROW($B$9),DAY(CDSRollDate))-Parameter_Date)/365)</f>
        <v>8.1424657534246574</v>
      </c>
      <c r="D106" s="161">
        <f ca="1">IF(NOT($C$6),"",IF(GetConvertDate(CDSRollDate,B106)&lt;Parameter_Date,0,GetGetDefaultprob($I$6,B106)))</f>
        <v>6.1979347872755497E-2</v>
      </c>
      <c r="E106" s="170">
        <f t="shared" ca="1" si="6"/>
        <v>9.9618421020718148E-3</v>
      </c>
      <c r="F106" s="156"/>
      <c r="G106" s="157"/>
    </row>
    <row r="107" spans="2:7">
      <c r="B107" s="176" t="str">
        <f t="shared" ca="1" si="5"/>
        <v>98M</v>
      </c>
      <c r="C107" s="208">
        <f t="shared" ca="1" si="7"/>
        <v>8.2273972602739729</v>
      </c>
      <c r="D107" s="161">
        <f ca="1">IF(NOT($C$6),"",IF(GetConvertDate(CDSRollDate,B107)&lt;Parameter_Date,0,GetGetDefaultprob($I$6,B107)))</f>
        <v>6.277264736008592E-2</v>
      </c>
      <c r="E107" s="170">
        <f t="shared" ca="1" si="6"/>
        <v>9.9618421020691971E-3</v>
      </c>
      <c r="F107" s="156"/>
      <c r="G107" s="157"/>
    </row>
    <row r="108" spans="2:7">
      <c r="B108" s="176" t="str">
        <f t="shared" ca="1" si="5"/>
        <v>99M</v>
      </c>
      <c r="C108" s="208">
        <f t="shared" ca="1" si="7"/>
        <v>8.3068493150684937</v>
      </c>
      <c r="D108" s="161">
        <f ca="1">IF(NOT($C$6),"",IF(GetConvertDate(CDSRollDate,B108)&lt;Parameter_Date,0,GetGetDefaultprob($I$6,B108)))</f>
        <v>6.3514158848023028E-2</v>
      </c>
      <c r="E108" s="170">
        <f t="shared" ca="1" si="6"/>
        <v>9.9618421020714297E-3</v>
      </c>
      <c r="F108" s="156"/>
      <c r="G108" s="157"/>
    </row>
    <row r="109" spans="2:7">
      <c r="B109" s="176" t="str">
        <f t="shared" ca="1" si="5"/>
        <v>100M</v>
      </c>
      <c r="C109" s="208">
        <f t="shared" ca="1" si="7"/>
        <v>8.3917808219178074</v>
      </c>
      <c r="D109" s="161">
        <f ca="1">IF(NOT($C$6),"",IF(GetConvertDate(CDSRollDate,B109)&lt;Parameter_Date,0,GetGetDefaultprob($I$6,B109)))</f>
        <v>6.4306160320478312E-2</v>
      </c>
      <c r="E109" s="170">
        <f t="shared" ca="1" si="6"/>
        <v>9.961842102072023E-3</v>
      </c>
      <c r="F109" s="156"/>
      <c r="G109" s="157"/>
    </row>
    <row r="110" spans="2:7">
      <c r="B110" s="176" t="str">
        <f t="shared" ca="1" si="5"/>
        <v>101M</v>
      </c>
      <c r="C110" s="208">
        <f t="shared" ca="1" si="7"/>
        <v>8.4739726027397264</v>
      </c>
      <c r="D110" s="161">
        <f ca="1">IF(NOT($C$6),"",IF(GetConvertDate(CDSRollDate,B110)&lt;Parameter_Date,0,GetGetDefaultprob($I$6,B110)))</f>
        <v>6.5071975605472177E-2</v>
      </c>
      <c r="E110" s="170">
        <f t="shared" ca="1" si="6"/>
        <v>9.9618421020711591E-3</v>
      </c>
      <c r="F110" s="156"/>
      <c r="G110" s="157"/>
    </row>
    <row r="111" spans="2:7">
      <c r="B111" s="176" t="str">
        <f t="shared" ca="1" si="5"/>
        <v>102M</v>
      </c>
      <c r="C111" s="208">
        <f t="shared" ca="1" si="7"/>
        <v>8.5589041095890419</v>
      </c>
      <c r="D111" s="161">
        <f ca="1">IF(NOT($C$6),"",IF(GetConvertDate(CDSRollDate,B111)&lt;Parameter_Date,0,GetGetDefaultprob($I$6,B111)))</f>
        <v>6.5862659606683804E-2</v>
      </c>
      <c r="E111" s="170">
        <f t="shared" ca="1" si="6"/>
        <v>9.9618421020705068E-3</v>
      </c>
      <c r="F111" s="156"/>
      <c r="G111" s="157"/>
    </row>
    <row r="112" spans="2:7">
      <c r="B112" s="176" t="str">
        <f t="shared" ca="1" si="5"/>
        <v>103M</v>
      </c>
      <c r="C112" s="208">
        <f t="shared" ca="1" si="7"/>
        <v>8.6410958904109592</v>
      </c>
      <c r="D112" s="161">
        <f ca="1">IF(NOT($C$6),"",IF(GetConvertDate(CDSRollDate,B112)&lt;Parameter_Date,0,GetGetDefaultprob($I$6,B112)))</f>
        <v>6.6627200980389656E-2</v>
      </c>
      <c r="E112" s="170">
        <f t="shared" ca="1" si="6"/>
        <v>9.9618421020713742E-3</v>
      </c>
      <c r="F112" s="156"/>
      <c r="G112" s="157"/>
    </row>
    <row r="113" spans="2:7">
      <c r="B113" s="176" t="str">
        <f t="shared" ca="1" si="5"/>
        <v>104M</v>
      </c>
      <c r="C113" s="208">
        <f t="shared" ca="1" si="7"/>
        <v>8.7260273972602747</v>
      </c>
      <c r="D113" s="161">
        <f ca="1">IF(NOT($C$6),"",IF(GetConvertDate(CDSRollDate,B113)&lt;Parameter_Date,0,GetGetDefaultprob($I$6,B113)))</f>
        <v>6.741656970193266E-2</v>
      </c>
      <c r="E113" s="170">
        <f t="shared" ca="1" si="6"/>
        <v>9.9618421020718148E-3</v>
      </c>
      <c r="F113" s="156"/>
      <c r="G113" s="157"/>
    </row>
    <row r="114" spans="2:7">
      <c r="B114" s="176" t="str">
        <f t="shared" ca="1" si="5"/>
        <v>105M</v>
      </c>
      <c r="C114" s="208">
        <f t="shared" ca="1" si="7"/>
        <v>8.8109589041095884</v>
      </c>
      <c r="D114" s="161">
        <f ca="1">IF(NOT($C$6),"",IF(GetConvertDate(CDSRollDate,B114)&lt;Parameter_Date,0,GetGetDefaultprob($I$6,B114)))</f>
        <v>6.8205270841369958E-2</v>
      </c>
      <c r="E114" s="170">
        <f t="shared" ca="1" si="6"/>
        <v>9.961842102072023E-3</v>
      </c>
      <c r="F114" s="156"/>
      <c r="G114" s="157"/>
    </row>
    <row r="115" spans="2:7">
      <c r="B115" s="176" t="str">
        <f t="shared" ca="1" si="5"/>
        <v>106M</v>
      </c>
      <c r="C115" s="208">
        <f t="shared" ca="1" si="7"/>
        <v>8.8931506849315074</v>
      </c>
      <c r="D115" s="161">
        <f ca="1">IF(NOT($C$6),"",IF(GetConvertDate(CDSRollDate,B115)&lt;Parameter_Date,0,GetGetDefaultprob($I$6,B115)))</f>
        <v>6.8967894913268046E-2</v>
      </c>
      <c r="E115" s="170">
        <f t="shared" ca="1" si="6"/>
        <v>9.9618421020711591E-3</v>
      </c>
      <c r="F115" s="156"/>
      <c r="G115" s="157"/>
    </row>
    <row r="116" spans="2:7">
      <c r="B116" s="176" t="str">
        <f t="shared" ca="1" si="5"/>
        <v>107M</v>
      </c>
      <c r="C116" s="208">
        <f t="shared" ca="1" si="7"/>
        <v>8.9780821917808211</v>
      </c>
      <c r="D116" s="161">
        <f ca="1">IF(NOT($C$6),"",IF(GetConvertDate(CDSRollDate,B116)&lt;Parameter_Date,0,GetGetDefaultprob($I$6,B116)))</f>
        <v>6.9755284071469026E-2</v>
      </c>
      <c r="E116" s="170">
        <f t="shared" ca="1" si="6"/>
        <v>9.961842102072023E-3</v>
      </c>
      <c r="F116" s="156"/>
      <c r="G116" s="157"/>
    </row>
    <row r="117" spans="2:7">
      <c r="B117" s="176" t="str">
        <f t="shared" ca="1" si="5"/>
        <v>108M</v>
      </c>
      <c r="C117" s="208">
        <f t="shared" ca="1" si="7"/>
        <v>9.0602739726027401</v>
      </c>
      <c r="D117" s="161">
        <f ca="1">IF(NOT($C$6),"",IF(GetConvertDate(CDSRollDate,B117)&lt;Parameter_Date,0,GetGetDefaultprob($I$6,B117)))</f>
        <v>7.0516639540568526E-2</v>
      </c>
      <c r="E117" s="170">
        <f t="shared" ca="1" si="6"/>
        <v>9.961842102069806E-3</v>
      </c>
      <c r="F117" s="156"/>
      <c r="G117" s="157"/>
    </row>
    <row r="118" spans="2:7">
      <c r="B118" s="176" t="str">
        <f t="shared" ca="1" si="5"/>
        <v>109M</v>
      </c>
      <c r="C118" s="208">
        <f t="shared" ca="1" si="7"/>
        <v>9.1452054794520556</v>
      </c>
      <c r="D118" s="161">
        <f ca="1">IF(NOT($C$6),"",IF(GetConvertDate(CDSRollDate,B118)&lt;Parameter_Date,0,GetGetDefaultprob($I$6,B118)))</f>
        <v>7.1302718899975637E-2</v>
      </c>
      <c r="E118" s="170">
        <f t="shared" ca="1" si="6"/>
        <v>9.9618421020718148E-3</v>
      </c>
      <c r="F118" s="156"/>
      <c r="G118" s="157"/>
    </row>
    <row r="119" spans="2:7">
      <c r="B119" s="176" t="str">
        <f t="shared" ca="1" si="5"/>
        <v>110M</v>
      </c>
      <c r="C119" s="208">
        <f t="shared" ca="1" si="7"/>
        <v>9.2301369863013694</v>
      </c>
      <c r="D119" s="161">
        <f ca="1">IF(NOT($C$6),"",IF(GetConvertDate(CDSRollDate,B119)&lt;Parameter_Date,0,GetGetDefaultprob($I$6,B119)))</f>
        <v>7.2088133459144665E-2</v>
      </c>
      <c r="E119" s="170">
        <f t="shared" ca="1" si="6"/>
        <v>9.961842102072023E-3</v>
      </c>
      <c r="F119" s="156"/>
      <c r="G119" s="157"/>
    </row>
    <row r="120" spans="2:7">
      <c r="B120" s="176" t="str">
        <f t="shared" ca="1" si="5"/>
        <v>111M</v>
      </c>
      <c r="C120" s="208">
        <f t="shared" ca="1" si="7"/>
        <v>9.3068493150684937</v>
      </c>
      <c r="D120" s="161">
        <f ca="1">IF(NOT($C$6),"",IF(GetConvertDate(CDSRollDate,B120)&lt;Parameter_Date,0,GetGetDefaultprob($I$6,B120)))</f>
        <v>7.2796969215434548E-2</v>
      </c>
      <c r="E120" s="170">
        <f t="shared" ca="1" si="6"/>
        <v>9.9618421020722225E-3</v>
      </c>
      <c r="F120" s="156"/>
      <c r="G120" s="157"/>
    </row>
    <row r="121" spans="2:7">
      <c r="B121" s="176" t="str">
        <f t="shared" ca="1" si="5"/>
        <v>112M</v>
      </c>
      <c r="C121" s="208">
        <f t="shared" ca="1" si="7"/>
        <v>9.3917808219178074</v>
      </c>
      <c r="D121" s="161">
        <f ca="1">IF(NOT($C$6),"",IF(GetConvertDate(CDSRollDate,B121)&lt;Parameter_Date,0,GetGetDefaultprob($I$6,B121)))</f>
        <v>7.3581120062545025E-2</v>
      </c>
      <c r="E121" s="170">
        <f t="shared" ca="1" si="6"/>
        <v>9.961842102070715E-3</v>
      </c>
      <c r="F121" s="156"/>
      <c r="G121" s="157"/>
    </row>
    <row r="122" spans="2:7">
      <c r="B122" s="176" t="str">
        <f t="shared" ca="1" si="5"/>
        <v>113M</v>
      </c>
      <c r="C122" s="208">
        <f t="shared" ca="1" si="7"/>
        <v>9.4739726027397264</v>
      </c>
      <c r="D122" s="161">
        <f ca="1">IF(NOT($C$6),"",IF(GetConvertDate(CDSRollDate,B122)&lt;Parameter_Date,0,GetGetDefaultprob($I$6,B122)))</f>
        <v>7.433934428982647E-2</v>
      </c>
      <c r="E122" s="170">
        <f t="shared" ca="1" si="6"/>
        <v>9.9618421020711591E-3</v>
      </c>
      <c r="F122" s="156"/>
      <c r="G122" s="157"/>
    </row>
    <row r="123" spans="2:7">
      <c r="B123" s="176" t="str">
        <f t="shared" ca="1" si="5"/>
        <v>114M</v>
      </c>
      <c r="C123" s="208">
        <f t="shared" ca="1" si="7"/>
        <v>9.5589041095890419</v>
      </c>
      <c r="D123" s="161">
        <f ca="1">IF(NOT($C$6),"",IF(GetConvertDate(CDSRollDate,B123)&lt;Parameter_Date,0,GetGetDefaultprob($I$6,B123)))</f>
        <v>7.512219072497861E-2</v>
      </c>
      <c r="E123" s="170">
        <f t="shared" ca="1" si="6"/>
        <v>9.9618421020705068E-3</v>
      </c>
      <c r="F123" s="156"/>
      <c r="G123" s="157"/>
    </row>
    <row r="124" spans="2:7">
      <c r="B124" s="176" t="str">
        <f t="shared" ca="1" si="5"/>
        <v>115M</v>
      </c>
      <c r="C124" s="208">
        <f t="shared" ca="1" si="7"/>
        <v>9.6410958904109592</v>
      </c>
      <c r="D124" s="161">
        <f ca="1">IF(NOT($C$6),"",IF(GetConvertDate(CDSRollDate,B124)&lt;Parameter_Date,0,GetGetDefaultprob($I$6,B124)))</f>
        <v>7.5879153668474197E-2</v>
      </c>
      <c r="E124" s="170">
        <f t="shared" ca="1" si="6"/>
        <v>9.9618421020727255E-3</v>
      </c>
      <c r="F124" s="156"/>
      <c r="G124" s="157"/>
    </row>
    <row r="125" spans="2:7">
      <c r="B125" s="176" t="str">
        <f t="shared" ca="1" si="5"/>
        <v>116M</v>
      </c>
      <c r="C125" s="208">
        <f t="shared" ca="1" si="7"/>
        <v>9.7260273972602747</v>
      </c>
      <c r="D125" s="161">
        <f ca="1">IF(NOT($C$6),"",IF(GetConvertDate(CDSRollDate,B125)&lt;Parameter_Date,0,GetGetDefaultprob($I$6,B125)))</f>
        <v>7.6660697861519189E-2</v>
      </c>
      <c r="E125" s="170">
        <f t="shared" ca="1" si="6"/>
        <v>9.9618421020718148E-3</v>
      </c>
      <c r="F125" s="156"/>
      <c r="G125" s="157"/>
    </row>
    <row r="126" spans="2:7">
      <c r="B126" s="176" t="str">
        <f t="shared" ca="1" si="5"/>
        <v>117M</v>
      </c>
      <c r="C126" s="208">
        <f t="shared" ca="1" si="7"/>
        <v>9.8109589041095884</v>
      </c>
      <c r="D126" s="161">
        <f ca="1">IF(NOT($C$6),"",IF(GetConvertDate(CDSRollDate,B126)&lt;Parameter_Date,0,GetGetDefaultprob($I$6,B126)))</f>
        <v>7.7441581089790712E-2</v>
      </c>
      <c r="E126" s="170">
        <f t="shared" ca="1" si="6"/>
        <v>9.9618421020694053E-3</v>
      </c>
      <c r="F126" s="156"/>
      <c r="G126" s="157"/>
    </row>
    <row r="127" spans="2:7">
      <c r="B127" s="176" t="str">
        <f t="shared" ca="1" si="5"/>
        <v>118M</v>
      </c>
      <c r="C127" s="208">
        <f t="shared" ca="1" si="7"/>
        <v>9.8931506849315074</v>
      </c>
      <c r="D127" s="161">
        <f ca="1">IF(NOT($C$6),"",IF(GetConvertDate(CDSRollDate,B127)&lt;Parameter_Date,0,GetGetDefaultprob($I$6,B127)))</f>
        <v>7.8196645736516635E-2</v>
      </c>
      <c r="E127" s="170">
        <f t="shared" ca="1" si="6"/>
        <v>9.9618421020725104E-3</v>
      </c>
      <c r="F127" s="156"/>
      <c r="G127" s="157"/>
    </row>
    <row r="128" spans="2:7">
      <c r="B128" s="176" t="str">
        <f t="shared" ca="1" si="5"/>
        <v>119M</v>
      </c>
      <c r="C128" s="208">
        <f t="shared" ca="1" si="7"/>
        <v>9.9780821917808211</v>
      </c>
      <c r="D128" s="161">
        <f ca="1">IF(NOT($C$6),"",IF(GetConvertDate(CDSRollDate,B128)&lt;Parameter_Date,0,GetGetDefaultprob($I$6,B128)))</f>
        <v>7.8976229988418245E-2</v>
      </c>
      <c r="E128" s="170">
        <f t="shared" ca="1" si="6"/>
        <v>9.961842102072023E-3</v>
      </c>
      <c r="F128" s="156"/>
      <c r="G128" s="157"/>
    </row>
    <row r="129" spans="2:7" ht="15" thickBot="1">
      <c r="B129" s="177" t="str">
        <f t="shared" ca="1" si="5"/>
        <v>120M</v>
      </c>
      <c r="C129" s="209">
        <f t="shared" ca="1" si="7"/>
        <v>10.06027397260274</v>
      </c>
      <c r="D129" s="171">
        <f ca="1">IF(NOT($C$6),"",IF(GetConvertDate(CDSRollDate,B129)&lt;Parameter_Date,0,GetGetDefaultprob($I$6,B129)))</f>
        <v>7.9730038607227827E-2</v>
      </c>
      <c r="E129" s="210">
        <f t="shared" ca="1" si="6"/>
        <v>9.961842102069806E-3</v>
      </c>
      <c r="F129" s="156"/>
      <c r="G129" s="157"/>
    </row>
    <row r="130" spans="2:7">
      <c r="B130" s="168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88900</xdr:colOff>
                    <xdr:row>4</xdr:row>
                    <xdr:rowOff>165100</xdr:rowOff>
                  </from>
                  <to>
                    <xdr:col>5</xdr:col>
                    <xdr:colOff>0</xdr:colOff>
                    <xdr:row>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opLeftCell="A8" zoomScaleNormal="100" workbookViewId="0">
      <selection activeCell="F14" sqref="F14"/>
    </sheetView>
  </sheetViews>
  <sheetFormatPr defaultColWidth="11.453125" defaultRowHeight="14.5"/>
  <cols>
    <col min="2" max="2" width="17.54296875" bestFit="1" customWidth="1"/>
    <col min="3" max="3" width="20.54296875" bestFit="1" customWidth="1"/>
    <col min="6" max="6" width="19.7265625" customWidth="1"/>
    <col min="7" max="7" width="17.54296875" customWidth="1"/>
    <col min="8" max="9" width="20.81640625" bestFit="1" customWidth="1"/>
    <col min="10" max="10" width="14.81640625" hidden="1" customWidth="1"/>
    <col min="11" max="11" width="18.453125" bestFit="1" customWidth="1"/>
    <col min="13" max="13" width="18.453125" bestFit="1" customWidth="1"/>
    <col min="14" max="14" width="15.453125" bestFit="1" customWidth="1"/>
  </cols>
  <sheetData>
    <row r="2" spans="2:11" ht="15" thickBot="1"/>
    <row r="3" spans="2:11">
      <c r="C3" s="675" t="s">
        <v>456</v>
      </c>
      <c r="D3" s="676"/>
      <c r="E3" s="677"/>
    </row>
    <row r="4" spans="2:11">
      <c r="C4" s="678"/>
      <c r="D4" s="679"/>
      <c r="E4" s="680"/>
    </row>
    <row r="5" spans="2:11" ht="15" thickBot="1">
      <c r="C5" s="681"/>
      <c r="D5" s="682"/>
      <c r="E5" s="683"/>
      <c r="G5" s="461"/>
    </row>
    <row r="6" spans="2:11" ht="15" thickBot="1"/>
    <row r="7" spans="2:11" ht="16" thickBot="1">
      <c r="B7" s="673" t="s">
        <v>454</v>
      </c>
      <c r="C7" s="674"/>
      <c r="D7" s="79"/>
      <c r="E7" s="673" t="s">
        <v>455</v>
      </c>
      <c r="F7" s="674"/>
      <c r="G7" s="79"/>
      <c r="H7" s="79"/>
      <c r="I7" s="79"/>
      <c r="J7" s="79"/>
      <c r="K7" s="79"/>
    </row>
    <row r="8" spans="2:11" ht="1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" thickBot="1">
      <c r="B9" s="199" t="s">
        <v>431</v>
      </c>
      <c r="C9" s="212" t="str">
        <f ca="1">GetGetCDSName(C8)</f>
        <v>ABNAMRO_MMR.EUR.SU</v>
      </c>
      <c r="D9" s="79"/>
      <c r="E9" s="199" t="s">
        <v>453</v>
      </c>
      <c r="F9" s="203" t="b">
        <v>1</v>
      </c>
      <c r="I9" s="79"/>
      <c r="J9" s="79"/>
      <c r="K9" s="259"/>
    </row>
    <row r="10" spans="2:11">
      <c r="B10" s="200" t="s">
        <v>432</v>
      </c>
      <c r="C10" s="186" t="s">
        <v>667</v>
      </c>
      <c r="D10" s="79"/>
      <c r="E10" s="200" t="s">
        <v>433</v>
      </c>
      <c r="F10" s="204">
        <f ca="1">GetConvertDate(CDSRollDate,C10)</f>
        <v>47107</v>
      </c>
      <c r="I10" s="79"/>
      <c r="J10" s="79"/>
      <c r="K10" s="79"/>
    </row>
    <row r="11" spans="2:11" ht="15" thickBot="1">
      <c r="B11" s="200" t="s">
        <v>434</v>
      </c>
      <c r="C11" s="187">
        <v>0.01</v>
      </c>
      <c r="D11" s="79"/>
      <c r="E11" s="201" t="s">
        <v>425</v>
      </c>
      <c r="F11" s="205" t="str">
        <f ca="1">GetGetCDSName(C8)</f>
        <v>ABNAMRO_MMR.EUR.SU</v>
      </c>
      <c r="H11" s="566"/>
      <c r="I11" s="79"/>
      <c r="J11" s="79"/>
      <c r="K11" s="79"/>
    </row>
    <row r="12" spans="2:11">
      <c r="B12" s="200" t="s">
        <v>85</v>
      </c>
      <c r="C12" s="187">
        <v>0.4</v>
      </c>
      <c r="D12" s="79"/>
      <c r="E12" s="195"/>
      <c r="F12" s="386"/>
      <c r="H12" s="467"/>
      <c r="I12" s="79"/>
      <c r="J12" s="79"/>
      <c r="K12" s="79"/>
    </row>
    <row r="13" spans="2:11" ht="15" thickBot="1">
      <c r="B13" s="201" t="s">
        <v>496</v>
      </c>
      <c r="C13" s="436">
        <v>1</v>
      </c>
      <c r="D13" s="79"/>
      <c r="E13" s="79"/>
      <c r="F13" s="79"/>
      <c r="G13" s="214"/>
      <c r="H13" s="79"/>
      <c r="I13" s="79"/>
      <c r="J13" s="79"/>
      <c r="K13" s="79"/>
    </row>
    <row r="14" spans="2:11" ht="15" thickBot="1">
      <c r="B14" s="194"/>
      <c r="C14" s="79"/>
      <c r="F14" s="168" t="s">
        <v>75</v>
      </c>
    </row>
    <row r="15" spans="2:11">
      <c r="B15" s="199" t="s">
        <v>82</v>
      </c>
      <c r="C15" s="63" t="s">
        <v>66</v>
      </c>
      <c r="E15" s="216" t="s">
        <v>435</v>
      </c>
      <c r="F15" s="464" cm="1">
        <f t="array" aca="1" ref="F15:K22" ca="1">IF(NOT($F$9),"",getcds(C9,C10,C11,C12,C13,C19,C20,C21,C15,C16,C17,C23,C24,C26,C28:C30,C32,))</f>
        <v>-2.6041823985600999E-2</v>
      </c>
      <c r="G15" s="251">
        <f ca="1"/>
        <v>-2.6041823985600999E-2</v>
      </c>
      <c r="H15" s="247">
        <f ca="1"/>
        <v>0</v>
      </c>
      <c r="I15" s="447">
        <f ca="1"/>
        <v>0</v>
      </c>
      <c r="J15" s="251">
        <f ca="1"/>
        <v>0</v>
      </c>
      <c r="K15" s="247">
        <f ca="1"/>
        <v>0</v>
      </c>
    </row>
    <row r="16" spans="2:11">
      <c r="B16" s="200" t="s">
        <v>437</v>
      </c>
      <c r="C16" s="613">
        <v>0</v>
      </c>
      <c r="E16" s="217" t="s">
        <v>436</v>
      </c>
      <c r="F16" s="446">
        <f ca="1"/>
        <v>1.8794275406482298E-2</v>
      </c>
      <c r="G16" s="252">
        <f ca="1"/>
        <v>1.8794275406482298E-2</v>
      </c>
      <c r="H16" s="248">
        <f ca="1"/>
        <v>0</v>
      </c>
      <c r="I16" s="448">
        <f ca="1"/>
        <v>0</v>
      </c>
      <c r="J16" s="252">
        <f ca="1"/>
        <v>0</v>
      </c>
      <c r="K16" s="248">
        <f ca="1"/>
        <v>0</v>
      </c>
    </row>
    <row r="17" spans="2:11" ht="15" thickBot="1">
      <c r="B17" s="201" t="s">
        <v>439</v>
      </c>
      <c r="C17" s="188">
        <v>0</v>
      </c>
      <c r="E17" s="217" t="s">
        <v>438</v>
      </c>
      <c r="F17" s="446">
        <f ca="1"/>
        <v>4.4836099392083301E-2</v>
      </c>
      <c r="G17" s="252">
        <f ca="1"/>
        <v>4.4836099392083301E-2</v>
      </c>
      <c r="H17" s="248">
        <f ca="1"/>
        <v>0</v>
      </c>
      <c r="I17" s="448">
        <f ca="1"/>
        <v>0</v>
      </c>
      <c r="J17" s="252">
        <f ca="1"/>
        <v>0</v>
      </c>
      <c r="K17" s="248">
        <f ca="1"/>
        <v>0</v>
      </c>
    </row>
    <row r="18" spans="2:11" ht="15" thickBot="1">
      <c r="B18" s="194"/>
      <c r="C18" s="79"/>
      <c r="E18" s="217" t="s">
        <v>440</v>
      </c>
      <c r="F18" s="460">
        <f ca="1"/>
        <v>4.1917730715443999E-3</v>
      </c>
      <c r="G18" s="252">
        <f ca="1"/>
        <v>4.1917730715443999E-3</v>
      </c>
      <c r="H18" s="248">
        <f ca="1"/>
        <v>0</v>
      </c>
      <c r="I18" s="448">
        <f ca="1"/>
        <v>0</v>
      </c>
      <c r="J18" s="252">
        <f ca="1"/>
        <v>0</v>
      </c>
      <c r="K18" s="248">
        <f ca="1"/>
        <v>0</v>
      </c>
    </row>
    <row r="19" spans="2:11">
      <c r="B19" s="199" t="s">
        <v>442</v>
      </c>
      <c r="C19" s="63" t="s">
        <v>83</v>
      </c>
      <c r="E19" s="217" t="s">
        <v>441</v>
      </c>
      <c r="F19" s="446">
        <f ca="1"/>
        <v>4.4836099392083302</v>
      </c>
      <c r="G19" s="253">
        <f ca="1"/>
        <v>4.4836099392083302</v>
      </c>
      <c r="H19" s="248">
        <f ca="1"/>
        <v>0</v>
      </c>
      <c r="I19" s="449">
        <f ca="1"/>
        <v>0</v>
      </c>
      <c r="J19" s="253">
        <f ca="1"/>
        <v>0</v>
      </c>
      <c r="K19" s="248">
        <f ca="1"/>
        <v>0</v>
      </c>
    </row>
    <row r="20" spans="2:11" ht="15" thickBot="1">
      <c r="B20" s="200" t="s">
        <v>444</v>
      </c>
      <c r="C20" s="69" t="s">
        <v>445</v>
      </c>
      <c r="E20" s="217" t="s">
        <v>443</v>
      </c>
      <c r="F20" s="258" t="str">
        <f ca="1"/>
        <v>00:00:00.0286744</v>
      </c>
      <c r="G20" s="254" t="str">
        <f ca="1"/>
        <v>00:00:00.0286744</v>
      </c>
      <c r="H20" s="248">
        <f ca="1"/>
        <v>0</v>
      </c>
      <c r="I20" s="450">
        <f ca="1"/>
        <v>0</v>
      </c>
      <c r="J20" s="254">
        <f ca="1"/>
        <v>0</v>
      </c>
      <c r="K20" s="248">
        <f ca="1"/>
        <v>0</v>
      </c>
    </row>
    <row r="21" spans="2:11" ht="15" thickBot="1">
      <c r="B21" s="201" t="s">
        <v>446</v>
      </c>
      <c r="C21" s="462"/>
      <c r="E21" s="218"/>
      <c r="F21" s="249" t="str">
        <f ca="1"/>
        <v>dPV</v>
      </c>
      <c r="G21" s="249" t="str">
        <f ca="1"/>
        <v>dHedge</v>
      </c>
      <c r="H21" s="250" t="str">
        <f ca="1"/>
        <v>delta not. (Hedge Crncy)</v>
      </c>
      <c r="I21" s="249" t="str">
        <f ca="1"/>
        <v>delta not. (Product CCY)</v>
      </c>
      <c r="J21" s="249" t="str">
        <f ca="1"/>
        <v>dPV(dBeta)</v>
      </c>
      <c r="K21" s="250" t="str">
        <f ca="1"/>
        <v>Name</v>
      </c>
    </row>
    <row r="22" spans="2:11" ht="15" thickBot="1">
      <c r="B22" s="194"/>
      <c r="C22" s="79"/>
      <c r="E22" s="219"/>
      <c r="F22" s="458">
        <f ca="1"/>
        <v>4.7852212557556503E-4</v>
      </c>
      <c r="G22" s="255">
        <f ca="1"/>
        <v>4.6847205146545402E-4</v>
      </c>
      <c r="H22" s="256">
        <f ca="1"/>
        <v>1.02145287873348</v>
      </c>
      <c r="I22" s="255">
        <f ca="1"/>
        <v>1.02145287873348</v>
      </c>
      <c r="J22" s="255">
        <f ca="1"/>
        <v>-1.8794275406482298E-2</v>
      </c>
      <c r="K22" s="256" t="str">
        <f ca="1"/>
        <v>ABNAMRO_MMR.EUR.SU</v>
      </c>
    </row>
    <row r="23" spans="2:11">
      <c r="B23" s="202" t="s">
        <v>447</v>
      </c>
      <c r="C23" s="189" t="b">
        <v>1</v>
      </c>
    </row>
    <row r="24" spans="2:11" ht="15" thickBot="1">
      <c r="B24" s="201" t="s">
        <v>448</v>
      </c>
      <c r="C24" s="190" t="b">
        <v>1</v>
      </c>
    </row>
    <row r="25" spans="2:11" ht="15" thickBot="1">
      <c r="B25" s="195"/>
      <c r="C25" s="85"/>
      <c r="D25" s="191"/>
      <c r="E25" s="168"/>
      <c r="F25" s="501"/>
      <c r="H25" s="616"/>
    </row>
    <row r="26" spans="2:11" ht="15" thickBot="1">
      <c r="B26" s="172" t="s">
        <v>449</v>
      </c>
      <c r="C26" s="189" t="b">
        <v>1</v>
      </c>
      <c r="D26" s="85"/>
      <c r="F26" s="614"/>
      <c r="G26" s="614"/>
      <c r="I26" s="614"/>
    </row>
    <row r="27" spans="2:11" ht="15" thickBot="1">
      <c r="B27" s="197" t="s">
        <v>450</v>
      </c>
      <c r="C27" s="211"/>
      <c r="D27" s="85"/>
      <c r="F27" s="614"/>
      <c r="G27" s="614"/>
      <c r="H27" s="615"/>
      <c r="I27" s="614"/>
    </row>
    <row r="28" spans="2:11">
      <c r="B28" s="197" t="s">
        <v>434</v>
      </c>
      <c r="C28" s="215"/>
      <c r="D28" s="85"/>
      <c r="F28" s="467"/>
      <c r="G28" s="467"/>
    </row>
    <row r="29" spans="2:11">
      <c r="B29" s="197" t="s">
        <v>447</v>
      </c>
      <c r="C29" s="192" t="b">
        <v>1</v>
      </c>
      <c r="D29" s="85"/>
    </row>
    <row r="30" spans="2:11" ht="15" thickBot="1">
      <c r="B30" s="198" t="s">
        <v>448</v>
      </c>
      <c r="C30" s="193" t="b">
        <v>1</v>
      </c>
      <c r="D30" s="85"/>
    </row>
    <row r="31" spans="2:11" ht="15" thickBot="1">
      <c r="B31" s="196"/>
      <c r="C31" s="79"/>
      <c r="D31" s="85"/>
    </row>
    <row r="32" spans="2:11" ht="15" thickBot="1">
      <c r="B32" s="172" t="s">
        <v>451</v>
      </c>
      <c r="C32" s="178" t="s">
        <v>452</v>
      </c>
      <c r="D32" s="85"/>
      <c r="F32" s="467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69850</xdr:rowOff>
                  </from>
                  <to>
                    <xdr:col>6</xdr:col>
                    <xdr:colOff>12700</xdr:colOff>
                    <xdr:row>13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F338"/>
  <sheetViews>
    <sheetView showGridLines="0" topLeftCell="A10" zoomScale="115" zoomScaleNormal="115" workbookViewId="0">
      <selection activeCell="T15" sqref="T15"/>
    </sheetView>
  </sheetViews>
  <sheetFormatPr defaultColWidth="11.453125" defaultRowHeight="10"/>
  <cols>
    <col min="1" max="1" width="3.1796875" style="220" customWidth="1"/>
    <col min="2" max="2" width="17.1796875" style="220" customWidth="1"/>
    <col min="3" max="3" width="20" style="221" customWidth="1"/>
    <col min="4" max="4" width="15.26953125" style="221" bestFit="1" customWidth="1"/>
    <col min="5" max="5" width="15" style="221" bestFit="1" customWidth="1"/>
    <col min="6" max="6" width="7.453125" style="221" customWidth="1"/>
    <col min="7" max="7" width="9.7265625" style="221" customWidth="1"/>
    <col min="8" max="8" width="11.26953125" style="221" customWidth="1"/>
    <col min="9" max="10" width="13.1796875" style="220" customWidth="1"/>
    <col min="11" max="11" width="18.54296875" style="220" customWidth="1"/>
    <col min="12" max="12" width="18.453125" style="220" customWidth="1"/>
    <col min="13" max="13" width="13.1796875" style="220" customWidth="1"/>
    <col min="14" max="14" width="27.54296875" style="220" customWidth="1"/>
    <col min="15" max="16" width="13.1796875" style="220" customWidth="1"/>
    <col min="17" max="18" width="19.26953125" style="220" customWidth="1"/>
    <col min="19" max="29" width="13.1796875" style="220" customWidth="1"/>
    <col min="30" max="30" width="11.453125" style="220"/>
    <col min="31" max="31" width="13.1796875" style="220" customWidth="1"/>
    <col min="32" max="32" width="13.54296875" style="220" customWidth="1"/>
    <col min="33" max="33" width="12.7265625" style="220" customWidth="1"/>
    <col min="34" max="34" width="13.54296875" style="220" customWidth="1"/>
    <col min="35" max="35" width="12.453125" style="220" customWidth="1"/>
    <col min="36" max="36" width="13" style="220" customWidth="1"/>
    <col min="37" max="37" width="11.453125" style="220" customWidth="1"/>
    <col min="38" max="39" width="11.453125" style="220"/>
    <col min="40" max="40" width="25.1796875" style="220" customWidth="1"/>
    <col min="41" max="50" width="9.7265625" style="220" customWidth="1"/>
    <col min="51" max="16384" width="11.453125" style="220"/>
  </cols>
  <sheetData>
    <row r="1" spans="1:32">
      <c r="S1" s="221"/>
    </row>
    <row r="2" spans="1:32" ht="29.25" customHeight="1">
      <c r="N2" s="472"/>
      <c r="O2" s="472"/>
      <c r="P2" s="472"/>
    </row>
    <row r="3" spans="1:32">
      <c r="N3" s="472"/>
      <c r="O3" s="472"/>
      <c r="P3" s="472"/>
    </row>
    <row r="4" spans="1:32" ht="10.5" thickBot="1">
      <c r="N4" s="473"/>
      <c r="O4" s="472"/>
      <c r="P4" s="472"/>
    </row>
    <row r="5" spans="1:32" ht="11" thickBot="1">
      <c r="B5" s="261" t="s">
        <v>47</v>
      </c>
      <c r="C5" s="222">
        <f ca="1">[0]!Parameter_Date</f>
        <v>45261</v>
      </c>
      <c r="H5" s="260" t="s">
        <v>423</v>
      </c>
      <c r="I5" s="140" t="b">
        <v>1</v>
      </c>
      <c r="K5" s="260" t="s">
        <v>508</v>
      </c>
      <c r="L5" s="140" t="b">
        <v>1</v>
      </c>
      <c r="N5" s="472"/>
      <c r="O5" s="472"/>
      <c r="P5" s="472"/>
    </row>
    <row r="6" spans="1:32" ht="11" thickBot="1">
      <c r="B6" s="261" t="s">
        <v>432</v>
      </c>
      <c r="C6" s="222">
        <v>47107</v>
      </c>
      <c r="F6" s="394"/>
      <c r="K6" s="260" t="s">
        <v>509</v>
      </c>
      <c r="L6" s="140" t="b">
        <v>0</v>
      </c>
      <c r="N6" s="472"/>
      <c r="O6" s="472"/>
      <c r="P6" s="472"/>
    </row>
    <row r="7" spans="1:32" customFormat="1" ht="15" thickBot="1">
      <c r="A7" s="220"/>
      <c r="B7" s="261" t="s">
        <v>457</v>
      </c>
      <c r="C7" s="223">
        <v>47107</v>
      </c>
      <c r="D7" s="470"/>
      <c r="E7" s="469"/>
      <c r="F7" s="221"/>
      <c r="G7" s="221"/>
      <c r="I7" s="388"/>
      <c r="J7" s="387"/>
      <c r="K7" s="387"/>
      <c r="L7" s="387"/>
      <c r="M7" s="387"/>
      <c r="N7" s="387"/>
      <c r="O7" s="387"/>
      <c r="P7" s="387"/>
      <c r="Q7" s="387"/>
      <c r="R7" s="387"/>
      <c r="S7" s="434"/>
      <c r="T7" s="79"/>
      <c r="U7" s="79"/>
      <c r="V7" s="79"/>
      <c r="W7" s="424"/>
      <c r="X7" s="79"/>
      <c r="Y7" s="79"/>
      <c r="Z7" s="79"/>
      <c r="AA7" s="79"/>
      <c r="AB7" s="79"/>
      <c r="AC7" s="79"/>
    </row>
    <row r="8" spans="1:32" customFormat="1" ht="14.5">
      <c r="A8" s="220"/>
      <c r="B8" s="262" t="s">
        <v>82</v>
      </c>
      <c r="C8" s="224" t="s">
        <v>66</v>
      </c>
      <c r="D8" s="221"/>
      <c r="E8" s="221"/>
      <c r="F8" s="221"/>
      <c r="G8" s="221"/>
      <c r="H8" s="303" t="s">
        <v>435</v>
      </c>
      <c r="I8" s="389" cm="1">
        <f t="array" aca="1" ref="I8:R109" ca="1">IF(NOT($I$5),"",getcdo(C6,C19:C20,C21:C22,G39:G338,C8,C17,C39:C338,D39:D338,C12,C13,C14,C15,C9,C10,E39:E338,F39:F338,C24,C25,C27,L5,L6,C29:C31,C36,C33,,C34,))</f>
        <v>0.35118153606370101</v>
      </c>
      <c r="J8" s="610">
        <f ca="1"/>
        <v>0.11706051202123401</v>
      </c>
      <c r="K8" s="398" t="str">
        <f ca="1"/>
        <v/>
      </c>
      <c r="L8" s="398">
        <f ca="1"/>
        <v>0</v>
      </c>
      <c r="M8" s="399">
        <f ca="1"/>
        <v>0</v>
      </c>
      <c r="N8" s="399">
        <f ca="1"/>
        <v>0</v>
      </c>
      <c r="O8" s="399" t="str">
        <f ca="1"/>
        <v/>
      </c>
      <c r="P8" s="399" t="str">
        <f ca="1"/>
        <v/>
      </c>
      <c r="Q8" s="399" t="str">
        <f ca="1"/>
        <v/>
      </c>
      <c r="R8" s="438" t="str">
        <f ca="1"/>
        <v/>
      </c>
      <c r="S8" s="434"/>
      <c r="T8" s="220"/>
      <c r="U8" s="79"/>
      <c r="V8" s="79"/>
      <c r="W8" s="79"/>
      <c r="X8" s="79"/>
      <c r="Y8" s="79"/>
      <c r="Z8" s="79"/>
      <c r="AA8" s="79"/>
      <c r="AB8" s="79"/>
      <c r="AC8" s="79"/>
    </row>
    <row r="9" spans="1:32" customFormat="1" ht="15" thickBot="1">
      <c r="A9" s="220"/>
      <c r="B9" s="262" t="s">
        <v>437</v>
      </c>
      <c r="C9" s="225">
        <v>-0.05</v>
      </c>
      <c r="D9" s="470"/>
      <c r="E9" s="221"/>
      <c r="F9" s="221"/>
      <c r="G9" s="221"/>
      <c r="H9" s="377" t="s">
        <v>436</v>
      </c>
      <c r="I9" s="390">
        <f ca="1"/>
        <v>0.481294730071885</v>
      </c>
      <c r="J9" s="391">
        <f ca="1"/>
        <v>0.16043157669062799</v>
      </c>
      <c r="K9" s="400" t="str">
        <f ca="1"/>
        <v/>
      </c>
      <c r="L9" s="400">
        <f ca="1"/>
        <v>0</v>
      </c>
      <c r="M9" s="323">
        <f ca="1"/>
        <v>0</v>
      </c>
      <c r="N9" s="323">
        <f ca="1"/>
        <v>0</v>
      </c>
      <c r="O9" s="323" t="str">
        <f ca="1"/>
        <v/>
      </c>
      <c r="P9" s="323" t="str">
        <f ca="1"/>
        <v/>
      </c>
      <c r="Q9" s="323" t="str">
        <f ca="1"/>
        <v/>
      </c>
      <c r="R9" s="439" t="str">
        <f ca="1"/>
        <v/>
      </c>
      <c r="S9" s="434"/>
      <c r="T9" s="79"/>
      <c r="U9" s="79"/>
      <c r="V9" s="79"/>
      <c r="W9" s="79"/>
      <c r="X9" s="79"/>
      <c r="Y9" s="79"/>
      <c r="Z9" s="79"/>
      <c r="AA9" s="79"/>
      <c r="AB9" s="79"/>
      <c r="AC9" s="79"/>
    </row>
    <row r="10" spans="1:32" customFormat="1" ht="15" thickBot="1">
      <c r="A10" s="220"/>
      <c r="B10" s="263" t="s">
        <v>439</v>
      </c>
      <c r="C10" s="226">
        <v>0.1</v>
      </c>
      <c r="D10" s="221"/>
      <c r="E10" s="220"/>
      <c r="F10" s="221"/>
      <c r="G10" s="221"/>
      <c r="H10" s="377" t="s">
        <v>438</v>
      </c>
      <c r="I10" s="392">
        <f ca="1"/>
        <v>0.130113194008184</v>
      </c>
      <c r="J10" s="391">
        <f ca="1"/>
        <v>4.33710646693947E-2</v>
      </c>
      <c r="K10" s="400" t="str">
        <f ca="1"/>
        <v/>
      </c>
      <c r="L10" s="400">
        <f ca="1"/>
        <v>0</v>
      </c>
      <c r="M10" s="323">
        <f ca="1"/>
        <v>0</v>
      </c>
      <c r="N10" s="323">
        <f ca="1"/>
        <v>0</v>
      </c>
      <c r="O10" s="323" t="str">
        <f ca="1"/>
        <v/>
      </c>
      <c r="P10" s="323" t="str">
        <f ca="1"/>
        <v/>
      </c>
      <c r="Q10" s="323" t="str">
        <f ca="1"/>
        <v/>
      </c>
      <c r="R10" s="439" t="str">
        <f ca="1"/>
        <v/>
      </c>
      <c r="S10" s="434"/>
      <c r="T10" s="79"/>
      <c r="U10" s="79"/>
      <c r="V10" s="79"/>
      <c r="W10" s="79"/>
      <c r="X10" s="79"/>
      <c r="Y10" s="465" t="s">
        <v>434</v>
      </c>
      <c r="Z10" s="422">
        <f ca="1">C29</f>
        <v>0</v>
      </c>
      <c r="AA10" s="79"/>
      <c r="AB10" s="465" t="s">
        <v>504</v>
      </c>
      <c r="AC10" s="422">
        <v>0.95</v>
      </c>
    </row>
    <row r="11" spans="1:32" customFormat="1" ht="15" thickBot="1">
      <c r="A11" s="220"/>
      <c r="B11" s="220"/>
      <c r="C11" s="220"/>
      <c r="D11" s="221"/>
      <c r="E11" s="221"/>
      <c r="F11" s="221"/>
      <c r="H11" s="377" t="s">
        <v>440</v>
      </c>
      <c r="I11" s="611">
        <f ca="1"/>
        <v>3.6990463091822502E-2</v>
      </c>
      <c r="J11" s="393">
        <f ca="1"/>
        <v>3.6990463091822502E-2</v>
      </c>
      <c r="K11" s="400" t="str">
        <f ca="1"/>
        <v/>
      </c>
      <c r="L11" s="400">
        <f ca="1"/>
        <v>0</v>
      </c>
      <c r="M11" s="323">
        <f ca="1"/>
        <v>0</v>
      </c>
      <c r="N11" s="323">
        <f ca="1"/>
        <v>0</v>
      </c>
      <c r="O11" s="323" t="str">
        <f ca="1"/>
        <v/>
      </c>
      <c r="P11" s="323" t="str">
        <f ca="1"/>
        <v/>
      </c>
      <c r="Q11" s="323" t="str">
        <f ca="1"/>
        <v/>
      </c>
      <c r="R11" s="439" t="str">
        <f ca="1"/>
        <v/>
      </c>
      <c r="S11" s="434"/>
      <c r="T11" s="79"/>
      <c r="U11" s="79"/>
      <c r="V11" s="79"/>
      <c r="W11" s="79"/>
      <c r="X11" s="79"/>
      <c r="Y11" s="465" t="s">
        <v>505</v>
      </c>
      <c r="Z11" s="423">
        <f ca="1">SUM(Z15:Z314)</f>
        <v>-0.17196347098707582</v>
      </c>
      <c r="AA11" s="79"/>
      <c r="AB11" s="465" t="s">
        <v>505</v>
      </c>
      <c r="AC11" s="423">
        <f ca="1">SUM(AC15:AC314)</f>
        <v>-1.0179317086982338E-2</v>
      </c>
    </row>
    <row r="12" spans="1:32" customFormat="1" ht="15" thickBot="1">
      <c r="A12" s="220"/>
      <c r="B12" s="261" t="s">
        <v>434</v>
      </c>
      <c r="C12" s="227">
        <v>0.01</v>
      </c>
      <c r="D12" s="221"/>
      <c r="E12" s="221"/>
      <c r="F12" s="221"/>
      <c r="G12" s="221"/>
      <c r="H12" s="377" t="s">
        <v>497</v>
      </c>
      <c r="I12" s="394">
        <f ca="1"/>
        <v>4.3371064669394501</v>
      </c>
      <c r="J12" s="394">
        <f ca="1"/>
        <v>4.3371064669394501</v>
      </c>
      <c r="K12" s="400" t="str">
        <f ca="1"/>
        <v/>
      </c>
      <c r="L12" s="400">
        <f ca="1"/>
        <v>0</v>
      </c>
      <c r="M12" s="323">
        <f ca="1"/>
        <v>0</v>
      </c>
      <c r="N12" s="323">
        <f ca="1"/>
        <v>0</v>
      </c>
      <c r="O12" s="323" t="str">
        <f ca="1"/>
        <v/>
      </c>
      <c r="P12" s="323" t="str">
        <f ca="1"/>
        <v/>
      </c>
      <c r="Q12" s="323" t="str">
        <f ca="1"/>
        <v/>
      </c>
      <c r="R12" s="439" t="str">
        <f ca="1"/>
        <v/>
      </c>
      <c r="S12" s="435"/>
      <c r="T12" s="274" t="s">
        <v>423</v>
      </c>
      <c r="U12" s="428" t="b">
        <v>1</v>
      </c>
      <c r="V12" s="79"/>
      <c r="W12" s="79"/>
      <c r="X12" s="79"/>
      <c r="Y12" s="465" t="s">
        <v>498</v>
      </c>
      <c r="Z12" s="407">
        <f ca="1">$J$8+Z11</f>
        <v>-5.4902958965841811E-2</v>
      </c>
      <c r="AA12" s="79"/>
      <c r="AB12" s="465" t="s">
        <v>498</v>
      </c>
      <c r="AC12" s="407">
        <f ca="1">$J$8+AC11</f>
        <v>0.10688119493425166</v>
      </c>
    </row>
    <row r="13" spans="1:32" customFormat="1" ht="15" thickBot="1">
      <c r="A13" s="220"/>
      <c r="B13" s="262" t="s">
        <v>458</v>
      </c>
      <c r="C13" s="224" t="s">
        <v>459</v>
      </c>
      <c r="D13" s="221"/>
      <c r="E13" s="221" t="s">
        <v>75</v>
      </c>
      <c r="F13" s="221"/>
      <c r="G13" s="221"/>
      <c r="H13" s="377" t="s">
        <v>443</v>
      </c>
      <c r="I13" s="395" t="str">
        <f ca="1"/>
        <v>00:00:20.1581777</v>
      </c>
      <c r="J13" s="395" t="str">
        <f ca="1"/>
        <v>00:00:20.1581777</v>
      </c>
      <c r="K13" s="401" t="str">
        <f ca="1"/>
        <v>Leverage=</v>
      </c>
      <c r="L13" s="402">
        <f ca="1"/>
        <v>5.0784250769658703</v>
      </c>
      <c r="M13" s="323">
        <f ca="1"/>
        <v>0</v>
      </c>
      <c r="N13" s="323">
        <f ca="1"/>
        <v>0</v>
      </c>
      <c r="O13" s="323" t="str">
        <f ca="1"/>
        <v/>
      </c>
      <c r="P13" s="445" t="str">
        <f ca="1"/>
        <v>Leverage=</v>
      </c>
      <c r="Q13" s="444">
        <f ca="1"/>
        <v>9.9448292911744307</v>
      </c>
      <c r="R13" s="439" t="str">
        <f ca="1"/>
        <v/>
      </c>
      <c r="S13" s="435"/>
      <c r="T13" s="278" t="s">
        <v>499</v>
      </c>
      <c r="U13" s="408">
        <f ca="1">L13</f>
        <v>5.0784250769658703</v>
      </c>
      <c r="V13" s="409"/>
      <c r="W13" s="79"/>
      <c r="X13" s="79"/>
      <c r="Y13" s="465" t="s">
        <v>500</v>
      </c>
      <c r="Z13" s="410">
        <f ca="1">Z12*(C20-C21)</f>
        <v>-0.30745657020871414</v>
      </c>
      <c r="AA13" s="79"/>
      <c r="AB13" s="465" t="s">
        <v>500</v>
      </c>
      <c r="AC13" s="411">
        <f ca="1">AC12*(C20-C21)</f>
        <v>0.59853469163180928</v>
      </c>
      <c r="AD13" s="220"/>
    </row>
    <row r="14" spans="1:32" customFormat="1" ht="15" thickBot="1">
      <c r="A14" s="220"/>
      <c r="B14" s="262" t="s">
        <v>461</v>
      </c>
      <c r="C14" s="224" t="s">
        <v>445</v>
      </c>
      <c r="D14" s="221"/>
      <c r="E14" s="221"/>
      <c r="F14" s="221"/>
      <c r="G14" s="221"/>
      <c r="H14" s="377" t="s">
        <v>460</v>
      </c>
      <c r="I14" s="396" t="str">
        <f ca="1"/>
        <v>dPV</v>
      </c>
      <c r="J14" s="397" t="str">
        <f ca="1"/>
        <v>dHedge</v>
      </c>
      <c r="K14" s="397" t="str">
        <f ca="1"/>
        <v>delta not. (Hedge Crncy)</v>
      </c>
      <c r="L14" s="396" t="str">
        <f ca="1"/>
        <v>delta not. (Product CCY)</v>
      </c>
      <c r="M14" s="396" t="str">
        <f ca="1"/>
        <v>dPV(dBeta)</v>
      </c>
      <c r="N14" s="396" t="str">
        <f ca="1"/>
        <v>Name</v>
      </c>
      <c r="O14" s="396" t="str">
        <f ca="1"/>
        <v>Jump to Default</v>
      </c>
      <c r="P14" s="396" t="str">
        <f ca="1"/>
        <v>dHedge JTD</v>
      </c>
      <c r="Q14" s="396" t="str">
        <f ca="1"/>
        <v>delta not. (Hedge Crncy)</v>
      </c>
      <c r="R14" s="440" t="str">
        <f ca="1"/>
        <v>delta not. (Product CCY)</v>
      </c>
      <c r="S14" s="150"/>
      <c r="T14" s="463" t="s">
        <v>501</v>
      </c>
      <c r="U14" s="396" t="s">
        <v>436</v>
      </c>
      <c r="V14" s="396" t="s">
        <v>438</v>
      </c>
      <c r="W14" s="396" t="s">
        <v>440</v>
      </c>
      <c r="X14" s="396" t="s">
        <v>441</v>
      </c>
      <c r="Y14" s="396" t="s">
        <v>506</v>
      </c>
      <c r="Z14" s="396" t="s">
        <v>502</v>
      </c>
      <c r="AA14" s="396" t="s">
        <v>503</v>
      </c>
      <c r="AB14" s="396" t="s">
        <v>507</v>
      </c>
      <c r="AC14" s="396" t="s">
        <v>502</v>
      </c>
      <c r="AD14" s="220"/>
      <c r="AE14" s="220"/>
    </row>
    <row r="15" spans="1:32" customFormat="1" ht="15" thickBot="1">
      <c r="A15" s="220"/>
      <c r="B15" s="263" t="s">
        <v>462</v>
      </c>
      <c r="C15" s="563"/>
      <c r="D15" s="221"/>
      <c r="E15" s="221"/>
      <c r="F15" s="221"/>
      <c r="G15" s="221"/>
      <c r="H15" s="377">
        <v>1</v>
      </c>
      <c r="I15" s="403">
        <f ca="1"/>
        <v>7.0666890336816795E-5</v>
      </c>
      <c r="J15" s="403">
        <f ca="1"/>
        <v>4.7566840858444303E-4</v>
      </c>
      <c r="K15" s="403">
        <f ca="1"/>
        <v>0.148563345939069</v>
      </c>
      <c r="L15" s="403">
        <f ca="1"/>
        <v>0.148563345939069</v>
      </c>
      <c r="M15" s="403">
        <f ca="1"/>
        <v>-8.6045780384362796E-5</v>
      </c>
      <c r="N15" s="403" t="str">
        <f ca="1"/>
        <v>AIRBUS SE</v>
      </c>
      <c r="O15" s="403">
        <f ca="1"/>
        <v>0.24239019953377</v>
      </c>
      <c r="P15" s="403">
        <f ca="1"/>
        <v>0.77320116747410605</v>
      </c>
      <c r="Q15" s="403">
        <f ca="1"/>
        <v>0.31348917944033899</v>
      </c>
      <c r="R15" s="441">
        <f ca="1"/>
        <v>0.31348917944033899</v>
      </c>
      <c r="S15" s="432"/>
      <c r="T15" s="412" cm="1">
        <f t="array" aca="1" ref="T15:X15" ca="1">IF(AND($U$12,B39&lt;=$C$17,C39&lt;&gt;""),TRANSPOSE(INDEX(getcds(C39,$C$6,G39/10000,F39,D39,$C$13,$C$14,$C$15,$C$8,,,TRUE,TRUE,FALSE,$C$29:$C$31,$C$33),{1;2;3;4;5})),"")</f>
        <v>-2.4422281551690999E-2</v>
      </c>
      <c r="U15" s="413">
        <f ca="1"/>
        <v>2.2680616248726301E-2</v>
      </c>
      <c r="V15" s="413">
        <f ca="1"/>
        <v>4.71028978004173E-2</v>
      </c>
      <c r="W15" s="414">
        <f ca="1"/>
        <v>4.8151212150105496E-3</v>
      </c>
      <c r="X15" s="415">
        <f ca="1"/>
        <v>4.7102897800417303</v>
      </c>
      <c r="Y15" s="641">
        <f ca="1">IF($U$12,IF(T15="","",$U$13*D39/$C$18),"")</f>
        <v>5.3457106073324885E-2</v>
      </c>
      <c r="Z15" s="642">
        <f ca="1">IF($U$12,IF(Y15="","",Y15*($Z$10-W15)*X15),"")</f>
        <v>-1.2124401086165382E-3</v>
      </c>
      <c r="AA15" s="416">
        <f ca="1">IF($U$12,IF(OR(T15="",L15=""),"",L15/($C$20-$C$19)),"")</f>
        <v>4.9521115313023001E-2</v>
      </c>
      <c r="AB15" s="418">
        <f ca="1">IF($U$12,IF(W15="","",W15*$AC$10),"")</f>
        <v>4.5743651542600218E-3</v>
      </c>
      <c r="AC15" s="417">
        <f ca="1">IF($U$12,IF(AA15="","",AA15*(AB15-W15)*X15),"")</f>
        <v>-5.6158470631180017E-5</v>
      </c>
      <c r="AD15" s="220"/>
      <c r="AE15" s="220"/>
      <c r="AF15" s="220"/>
    </row>
    <row r="16" spans="1:32" customFormat="1" ht="15" thickBot="1">
      <c r="A16" s="220"/>
      <c r="B16" s="220"/>
      <c r="C16" s="221"/>
      <c r="D16" s="221"/>
      <c r="E16" s="221"/>
      <c r="F16" s="221"/>
      <c r="G16" s="221"/>
      <c r="H16" s="377">
        <v>2</v>
      </c>
      <c r="I16" s="403">
        <f ca="1"/>
        <v>7.2962917681966899E-5</v>
      </c>
      <c r="J16" s="403">
        <f ca="1"/>
        <v>4.7429264831636502E-4</v>
      </c>
      <c r="K16" s="403">
        <f ca="1"/>
        <v>0.15383522797785101</v>
      </c>
      <c r="L16" s="403">
        <f ca="1"/>
        <v>0.15383522797785101</v>
      </c>
      <c r="M16" s="403">
        <f ca="1"/>
        <v>-9.1586764820226194E-5</v>
      </c>
      <c r="N16" s="403" t="str">
        <f ca="1"/>
        <v>AKTIEBOLAGET VOLVO</v>
      </c>
      <c r="O16" s="403">
        <f ca="1"/>
        <v>0.242099871335899</v>
      </c>
      <c r="P16" s="403">
        <f ca="1"/>
        <v>0.77152352542069902</v>
      </c>
      <c r="Q16" s="403">
        <f ca="1"/>
        <v>0.31379454204443902</v>
      </c>
      <c r="R16" s="441">
        <f ca="1"/>
        <v>0.31379454204443902</v>
      </c>
      <c r="S16" s="433"/>
      <c r="T16" s="412" cm="1">
        <f t="array" aca="1" ref="T16:X16" ca="1">IF(AND($U$12,B40&lt;=$C$17,C40&lt;&gt;""),TRANSPOSE(INDEX(getcds(C40,$C$6,G40/10000,F40,D40,$C$13,$C$14,$C$15,$C$8,,,TRUE,TRUE,FALSE,$C$29:$C$31,$C$33),{1;2;3;4;5})),"")</f>
        <v>-2.26563425481041E-2</v>
      </c>
      <c r="U16" s="413">
        <f ca="1"/>
        <v>2.4443245603915999E-2</v>
      </c>
      <c r="V16" s="413">
        <f ca="1"/>
        <v>4.7099588152020103E-2</v>
      </c>
      <c r="W16" s="414">
        <f ca="1"/>
        <v>5.18969412747776E-3</v>
      </c>
      <c r="X16" s="415">
        <f ca="1"/>
        <v>4.7099588152020102</v>
      </c>
      <c r="Y16" s="416">
        <f ca="1">IF($U$12,IF(T16="","",$U$13*D40/$C$18),"")</f>
        <v>5.3457106073324885E-2</v>
      </c>
      <c r="Z16" s="417">
        <f ca="1">IF($U$12,IF(Y16="","",Y16*($Z$10-W16)*X16),"")</f>
        <v>-1.3066651730248688E-3</v>
      </c>
      <c r="AA16" s="416">
        <f t="shared" ref="AA16:AA79" ca="1" si="0">IF($U$12,IF(OR(T16="",L16=""),"",L16/($C$20-$C$19)),"")</f>
        <v>5.127840932595034E-2</v>
      </c>
      <c r="AB16" s="418">
        <f t="shared" ref="AB16:AB79" ca="1" si="1">IF($U$12,IF(W16="","",W16*$AC$10),"")</f>
        <v>4.9302094211038719E-3</v>
      </c>
      <c r="AC16" s="417">
        <f ca="1">IF($U$12,IF(AA16="","",AA16*(AB16-W16)*X16),"")</f>
        <v>-6.2670537666617034E-5</v>
      </c>
      <c r="AD16" s="220"/>
      <c r="AE16" s="220"/>
      <c r="AF16" s="220"/>
    </row>
    <row r="17" spans="1:31" customFormat="1" ht="14.5">
      <c r="A17" s="220"/>
      <c r="B17" s="261" t="s">
        <v>463</v>
      </c>
      <c r="C17" s="228">
        <f ca="1">COUNTA(C39:C338)</f>
        <v>95</v>
      </c>
      <c r="D17" s="221"/>
      <c r="E17" s="634"/>
      <c r="F17" s="514"/>
      <c r="G17" s="221"/>
      <c r="H17" s="377">
        <v>3</v>
      </c>
      <c r="I17" s="403">
        <f ca="1"/>
        <v>7.2575177433522602E-5</v>
      </c>
      <c r="J17" s="403">
        <f ca="1"/>
        <v>4.63383877904478E-4</v>
      </c>
      <c r="K17" s="403">
        <f ca="1"/>
        <v>0.156619988079264</v>
      </c>
      <c r="L17" s="403">
        <f ca="1"/>
        <v>0.156619988079264</v>
      </c>
      <c r="M17" s="403">
        <f ca="1"/>
        <v>-9.4460624291159404E-5</v>
      </c>
      <c r="N17" s="403" t="str">
        <f ca="1"/>
        <v>AKZO NOBEL N.V.</v>
      </c>
      <c r="O17" s="403">
        <f ca="1"/>
        <v>0.24192520714767601</v>
      </c>
      <c r="P17" s="403">
        <f ca="1"/>
        <v>0.770547446886927</v>
      </c>
      <c r="Q17" s="403">
        <f ca="1"/>
        <v>0.31396536076405601</v>
      </c>
      <c r="R17" s="441">
        <f ca="1"/>
        <v>0.31396536076405601</v>
      </c>
      <c r="S17" s="433"/>
      <c r="T17" s="412" cm="1">
        <f t="array" aca="1" ref="T17:X17" ca="1">IF(AND($U$12,B41&lt;=$C$17,C41&lt;&gt;""),TRANSPOSE(INDEX(getcds(C41,$C$6,G41/10000,F41,D41,$C$13,$C$14,$C$15,$C$8,,,TRUE,TRUE,FALSE,$C$29:$C$31,$C$33),{1;2;3;4;5})),"")</f>
        <v>-2.1628891459922799E-2</v>
      </c>
      <c r="U17" s="413">
        <f ca="1"/>
        <v>2.54445104212725E-2</v>
      </c>
      <c r="V17" s="413">
        <f ca="1"/>
        <v>4.7073401881195298E-2</v>
      </c>
      <c r="W17" s="414">
        <f ca="1"/>
        <v>5.4052839617348804E-3</v>
      </c>
      <c r="X17" s="415">
        <f ca="1"/>
        <v>4.70734018811953</v>
      </c>
      <c r="Y17" s="416">
        <f ca="1">IF($U$12,IF(T17="","",$U$13*D41/$C$18),"")</f>
        <v>5.3457106073324885E-2</v>
      </c>
      <c r="Z17" s="417">
        <f t="shared" ref="Z17:Z79" ca="1" si="2">IF($U$12,IF(Y17="","",Y17*($Z$10-W17)*X17),"")</f>
        <v>-1.3601898925737872E-3</v>
      </c>
      <c r="AA17" s="416">
        <f t="shared" ca="1" si="0"/>
        <v>5.2206662693087998E-2</v>
      </c>
      <c r="AB17" s="418">
        <f t="shared" ca="1" si="1"/>
        <v>5.1350197636481363E-3</v>
      </c>
      <c r="AC17" s="417">
        <f t="shared" ref="AC17:AC79" ca="1" si="3">IF($U$12,IF(AA17="","",AA17*(AB17-W17)*X17),"")</f>
        <v>-6.6418648647706958E-5</v>
      </c>
      <c r="AD17" s="220"/>
      <c r="AE17" s="220"/>
    </row>
    <row r="18" spans="1:31" customFormat="1" ht="14.5">
      <c r="A18" s="220"/>
      <c r="B18" s="262" t="s">
        <v>464</v>
      </c>
      <c r="C18" s="229">
        <f ca="1">SUM(OFFSET(D38,1,0,C17))</f>
        <v>100.00000000000011</v>
      </c>
      <c r="D18" s="221"/>
      <c r="E18" s="569"/>
      <c r="F18" s="221"/>
      <c r="G18" s="230"/>
      <c r="H18" s="377">
        <v>4</v>
      </c>
      <c r="I18" s="403">
        <f ca="1"/>
        <v>1.01353470846897E-4</v>
      </c>
      <c r="J18" s="403">
        <f ca="1"/>
        <v>4.4260202394702698E-4</v>
      </c>
      <c r="K18" s="403">
        <f ca="1"/>
        <v>0.22899459415718201</v>
      </c>
      <c r="L18" s="403">
        <f ca="1"/>
        <v>0.22899459415718201</v>
      </c>
      <c r="M18" s="403">
        <f ca="1"/>
        <v>-1.26169696599288E-4</v>
      </c>
      <c r="N18" s="403" t="str">
        <f ca="1"/>
        <v>ALSTOM</v>
      </c>
      <c r="O18" s="403">
        <f ca="1"/>
        <v>0.231319007112814</v>
      </c>
      <c r="P18" s="403">
        <f ca="1"/>
        <v>0.72693082846872603</v>
      </c>
      <c r="Q18" s="403">
        <f ca="1"/>
        <v>0.31821323027403497</v>
      </c>
      <c r="R18" s="441">
        <f ca="1"/>
        <v>0.31821323027403497</v>
      </c>
      <c r="S18" s="433"/>
      <c r="T18" s="412" cm="1">
        <f t="array" aca="1" ref="T18:X18" ca="1">IF(AND($U$12,B42&lt;=$C$17,C42&lt;&gt;""),TRANSPOSE(INDEX(getcds(C42,$C$6,G42/10000,F42,D42,$C$13,$C$14,$C$15,$C$8,,,TRUE,TRUE,FALSE,$C$29:$C$31,$C$33),{1;2;3;4;5})),"")</f>
        <v>2.4283338453972101E-2</v>
      </c>
      <c r="U18" s="413">
        <f ca="1"/>
        <v>6.9888889081864095E-2</v>
      </c>
      <c r="V18" s="413">
        <f ca="1"/>
        <v>4.5605550627891997E-2</v>
      </c>
      <c r="W18" s="414">
        <f ca="1"/>
        <v>1.5324645381898001E-2</v>
      </c>
      <c r="X18" s="415">
        <f ca="1"/>
        <v>4.5605550627892004</v>
      </c>
      <c r="Y18" s="416">
        <f t="shared" ref="Y18:Y79" ca="1" si="4">IF($U$12,IF(T18="","",$U$13*D42/$C$18),"")</f>
        <v>5.3457106073324885E-2</v>
      </c>
      <c r="Z18" s="417">
        <f t="shared" ca="1" si="2"/>
        <v>-3.7360577569960449E-3</v>
      </c>
      <c r="AA18" s="416">
        <f t="shared" ca="1" si="0"/>
        <v>7.6331531385727333E-2</v>
      </c>
      <c r="AB18" s="418">
        <f t="shared" ca="1" si="1"/>
        <v>1.4558413112803099E-2</v>
      </c>
      <c r="AC18" s="417">
        <f t="shared" ca="1" si="3"/>
        <v>-2.6673629652329659E-4</v>
      </c>
      <c r="AD18" s="220"/>
      <c r="AE18" s="220"/>
    </row>
    <row r="19" spans="1:31" customFormat="1" ht="14.5">
      <c r="A19" s="220"/>
      <c r="B19" s="262" t="s">
        <v>465</v>
      </c>
      <c r="C19" s="231">
        <v>3</v>
      </c>
      <c r="D19" s="221"/>
      <c r="E19" s="612"/>
      <c r="F19" s="221"/>
      <c r="G19" s="233"/>
      <c r="H19" s="377">
        <v>5</v>
      </c>
      <c r="I19" s="403">
        <f ca="1"/>
        <v>9.4311151566925906E-5</v>
      </c>
      <c r="J19" s="403">
        <f ca="1"/>
        <v>4.6050331669100802E-4</v>
      </c>
      <c r="K19" s="403">
        <f ca="1"/>
        <v>0.204800157020818</v>
      </c>
      <c r="L19" s="403">
        <f ca="1"/>
        <v>0.204800157020818</v>
      </c>
      <c r="M19" s="403">
        <f ca="1"/>
        <v>-1.33235979515825E-4</v>
      </c>
      <c r="N19" s="403" t="str">
        <f ca="1"/>
        <v>ANGLO AMERICAN PLC</v>
      </c>
      <c r="O19" s="403">
        <f ca="1"/>
        <v>0.23692476672018001</v>
      </c>
      <c r="P19" s="403">
        <f ca="1"/>
        <v>0.74768750858377797</v>
      </c>
      <c r="Q19" s="403">
        <f ca="1"/>
        <v>0.31687672189274302</v>
      </c>
      <c r="R19" s="441">
        <f ca="1"/>
        <v>0.31687672189274302</v>
      </c>
      <c r="S19" s="433"/>
      <c r="T19" s="451" cm="1">
        <f t="array" aca="1" ref="T19:X19" ca="1">IF(AND($U$12,B43&lt;=$C$17,C43&lt;&gt;""),TRANSPOSE(INDEX(getcds(C43,$C$6,G43/10000,F43,D43,$C$13,$C$14,$C$15,$C$8,,,TRUE,TRUE,FALSE,$C$29:$C$31,$C$33),{1;2;3;4;5})),"")</f>
        <v>2.4342014907596998E-3</v>
      </c>
      <c r="U19" s="413">
        <f ca="1"/>
        <v>4.89711435733272E-2</v>
      </c>
      <c r="V19" s="413">
        <f ca="1"/>
        <v>4.6536942082567499E-2</v>
      </c>
      <c r="W19" s="414">
        <f ca="1"/>
        <v>1.0523068637909401E-2</v>
      </c>
      <c r="X19" s="415">
        <f ca="1"/>
        <v>4.6536942082567503</v>
      </c>
      <c r="Y19" s="416">
        <f t="shared" ca="1" si="4"/>
        <v>5.3457106073324885E-2</v>
      </c>
      <c r="Z19" s="417">
        <f t="shared" ca="1" si="2"/>
        <v>-2.617855616531376E-3</v>
      </c>
      <c r="AA19" s="416">
        <f t="shared" ca="1" si="0"/>
        <v>6.8266719006939328E-2</v>
      </c>
      <c r="AB19" s="418">
        <f t="shared" ca="1" si="1"/>
        <v>9.9969152060139302E-3</v>
      </c>
      <c r="AC19" s="417">
        <f t="shared" ca="1" si="3"/>
        <v>-1.6715496488844077E-4</v>
      </c>
      <c r="AD19" s="220"/>
      <c r="AE19" s="220"/>
    </row>
    <row r="20" spans="1:31" customFormat="1" ht="14.5">
      <c r="A20" s="220"/>
      <c r="B20" s="262" t="s">
        <v>466</v>
      </c>
      <c r="C20" s="231">
        <v>6</v>
      </c>
      <c r="D20" s="232"/>
      <c r="E20" s="403"/>
      <c r="F20" s="221"/>
      <c r="G20" s="233"/>
      <c r="H20" s="377">
        <v>6</v>
      </c>
      <c r="I20" s="403">
        <f ca="1"/>
        <v>1.01500691215575E-4</v>
      </c>
      <c r="J20" s="403">
        <f ca="1"/>
        <v>4.4793805678189602E-4</v>
      </c>
      <c r="K20" s="403">
        <f ca="1"/>
        <v>0.226595373353143</v>
      </c>
      <c r="L20" s="403">
        <f ca="1"/>
        <v>0.226595373353143</v>
      </c>
      <c r="M20" s="403">
        <f ca="1"/>
        <v>-1.3008628705019301E-4</v>
      </c>
      <c r="N20" s="403" t="str">
        <f ca="1"/>
        <v>ARCELORMITTAL</v>
      </c>
      <c r="O20" s="403">
        <f ca="1"/>
        <v>0.232171752099773</v>
      </c>
      <c r="P20" s="403">
        <f ca="1"/>
        <v>0.73008679628595197</v>
      </c>
      <c r="Q20" s="403">
        <f ca="1"/>
        <v>0.31800568546214097</v>
      </c>
      <c r="R20" s="441">
        <f ca="1"/>
        <v>0.31800568546214097</v>
      </c>
      <c r="S20" s="433"/>
      <c r="T20" s="412" cm="1">
        <f t="array" aca="1" ref="T20:X20" ca="1">IF(AND($U$12,B44&lt;=$C$17,C44&lt;&gt;""),TRANSPOSE(INDEX(getcds(C44,$C$6,G44/10000,F44,D44,$C$13,$C$14,$C$15,$C$8,,,TRUE,TRUE,FALSE,$C$29:$C$31,$C$33),{1;2;3;4;5})),"")</f>
        <v>2.0961267067418601E-2</v>
      </c>
      <c r="U20" s="413">
        <f ca="1"/>
        <v>6.6991019393932497E-2</v>
      </c>
      <c r="V20" s="413">
        <f ca="1"/>
        <v>4.6029752326513899E-2</v>
      </c>
      <c r="W20" s="414">
        <f ca="1"/>
        <v>1.4553851804095999E-2</v>
      </c>
      <c r="X20" s="415">
        <f ca="1"/>
        <v>4.6029752326513904</v>
      </c>
      <c r="Y20" s="416">
        <f t="shared" ca="1" si="4"/>
        <v>5.3457106073324885E-2</v>
      </c>
      <c r="Z20" s="417">
        <f t="shared" ca="1" si="2"/>
        <v>-3.5811460297016217E-3</v>
      </c>
      <c r="AA20" s="416">
        <f t="shared" ca="1" si="0"/>
        <v>7.5531791117714339E-2</v>
      </c>
      <c r="AB20" s="418">
        <f t="shared" ca="1" si="1"/>
        <v>1.3826159213891199E-2</v>
      </c>
      <c r="AC20" s="417">
        <f t="shared" ca="1" si="3"/>
        <v>-2.5299758418126362E-4</v>
      </c>
      <c r="AD20" s="220"/>
      <c r="AE20" s="220"/>
    </row>
    <row r="21" spans="1:31" customFormat="1" ht="14.5">
      <c r="A21" s="220"/>
      <c r="B21" s="262" t="s">
        <v>467</v>
      </c>
      <c r="C21" s="238">
        <v>0.4</v>
      </c>
      <c r="D21" s="221"/>
      <c r="E21" s="403"/>
      <c r="F21" s="221"/>
      <c r="G21" s="234"/>
      <c r="H21" s="377">
        <v>7</v>
      </c>
      <c r="I21" s="403">
        <f ca="1"/>
        <v>5.9396643741433903E-5</v>
      </c>
      <c r="J21" s="403">
        <f ca="1"/>
        <v>4.8175326030959302E-4</v>
      </c>
      <c r="K21" s="403">
        <f ca="1"/>
        <v>0.123292665841562</v>
      </c>
      <c r="L21" s="403">
        <f ca="1"/>
        <v>0.123292665841562</v>
      </c>
      <c r="M21" s="403">
        <f ca="1"/>
        <v>-6.1008193029599103E-5</v>
      </c>
      <c r="N21" s="403" t="str">
        <f ca="1"/>
        <v>ASTRAZENECA PLC</v>
      </c>
      <c r="O21" s="403">
        <f ca="1"/>
        <v>0.24348237034223799</v>
      </c>
      <c r="P21" s="403">
        <f ca="1"/>
        <v>0.780263011190791</v>
      </c>
      <c r="Q21" s="403">
        <f ca="1"/>
        <v>0.31205166315733701</v>
      </c>
      <c r="R21" s="441">
        <f ca="1"/>
        <v>0.31205166315733701</v>
      </c>
      <c r="S21" s="433"/>
      <c r="T21" s="412" cm="1">
        <f t="array" aca="1" ref="T21:X21" ca="1">IF(AND($U$12,B45&lt;=$C$17,C45&lt;&gt;""),TRANSPOSE(INDEX(getcds(C45,$C$6,G45/10000,F45,D45,$C$13,$C$14,$C$15,$C$8,,,TRUE,TRUE,FALSE,$C$29:$C$31,$C$33),{1;2;3;4;5})),"")</f>
        <v>-3.1855801253463899E-2</v>
      </c>
      <c r="U21" s="413">
        <f ca="1"/>
        <v>1.5459813486653101E-2</v>
      </c>
      <c r="V21" s="413">
        <f ca="1"/>
        <v>4.7315614740117001E-2</v>
      </c>
      <c r="W21" s="414">
        <f ca="1"/>
        <v>3.2673808787155598E-3</v>
      </c>
      <c r="X21" s="415">
        <f ca="1"/>
        <v>4.7315614740117002</v>
      </c>
      <c r="Y21" s="416">
        <f t="shared" ca="1" si="4"/>
        <v>5.3457106073324885E-2</v>
      </c>
      <c r="Z21" s="417">
        <f t="shared" ca="1" si="2"/>
        <v>-8.2643688942983019E-4</v>
      </c>
      <c r="AA21" s="416">
        <f ca="1">IF($U$12,IF(OR(T21="",L21=""),"",L21/($C$20-$C$19)),"")</f>
        <v>4.1097555280520663E-2</v>
      </c>
      <c r="AB21" s="418">
        <f t="shared" ca="1" si="1"/>
        <v>3.1040118347797816E-3</v>
      </c>
      <c r="AC21" s="417">
        <f t="shared" ca="1" si="3"/>
        <v>-3.176802696971315E-5</v>
      </c>
      <c r="AD21" s="220"/>
      <c r="AE21" s="220"/>
    </row>
    <row r="22" spans="1:31" customFormat="1" ht="15" thickBot="1">
      <c r="A22" s="220"/>
      <c r="B22" s="263" t="s">
        <v>468</v>
      </c>
      <c r="C22" s="235">
        <v>0.5</v>
      </c>
      <c r="D22" s="221"/>
      <c r="E22" s="403"/>
      <c r="F22" s="567"/>
      <c r="G22" s="234"/>
      <c r="H22" s="377">
        <v>8</v>
      </c>
      <c r="I22" s="403">
        <f ca="1"/>
        <v>6.2070386657264698E-5</v>
      </c>
      <c r="J22" s="403">
        <f ca="1"/>
        <v>4.8084403231803201E-4</v>
      </c>
      <c r="K22" s="403">
        <f ca="1"/>
        <v>0.12908632006523699</v>
      </c>
      <c r="L22" s="403">
        <f ca="1"/>
        <v>0.12908632006523699</v>
      </c>
      <c r="M22" s="403">
        <f ca="1"/>
        <v>-6.6792759362366194E-5</v>
      </c>
      <c r="N22" s="403" t="str">
        <f ca="1"/>
        <v>BAE SYSTEMS PLC</v>
      </c>
      <c r="O22" s="403">
        <f ca="1"/>
        <v>0.24328690534875799</v>
      </c>
      <c r="P22" s="403">
        <f ca="1"/>
        <v>0.77886341331815301</v>
      </c>
      <c r="Q22" s="403">
        <f ca="1"/>
        <v>0.31236145027315498</v>
      </c>
      <c r="R22" s="441">
        <f ca="1"/>
        <v>0.31236145027315498</v>
      </c>
      <c r="S22" s="433"/>
      <c r="T22" s="412" cm="1">
        <f t="array" aca="1" ref="T22:X22" ca="1">IF(AND($U$12,B46&lt;=$C$17,C46&lt;&gt;""),TRANSPOSE(INDEX(getcds(C46,$C$6,G46/10000,F46,D46,$C$13,$C$14,$C$15,$C$8,,,TRUE,TRUE,FALSE,$C$29:$C$31,$C$33),{1;2;3;4;5})),"")</f>
        <v>-3.0382540334898098E-2</v>
      </c>
      <c r="U22" s="413">
        <f ca="1"/>
        <v>1.6937910992234202E-2</v>
      </c>
      <c r="V22" s="413">
        <f ca="1"/>
        <v>4.73204513271323E-2</v>
      </c>
      <c r="W22" s="414">
        <f ca="1"/>
        <v>3.5794060532390701E-3</v>
      </c>
      <c r="X22" s="415">
        <f ca="1"/>
        <v>4.73204513271323</v>
      </c>
      <c r="Y22" s="416">
        <f t="shared" ca="1" si="4"/>
        <v>5.3457106073324885E-2</v>
      </c>
      <c r="Z22" s="417">
        <f t="shared" ca="1" si="2"/>
        <v>-9.0545170457239992E-4</v>
      </c>
      <c r="AA22" s="416">
        <f t="shared" ca="1" si="0"/>
        <v>4.3028773355078993E-2</v>
      </c>
      <c r="AB22" s="418">
        <f t="shared" ca="1" si="1"/>
        <v>3.4004357505771163E-3</v>
      </c>
      <c r="AC22" s="417">
        <f t="shared" ca="1" si="3"/>
        <v>-3.6440876659667402E-5</v>
      </c>
      <c r="AD22" s="220"/>
      <c r="AE22" s="220"/>
    </row>
    <row r="23" spans="1:31" customFormat="1" ht="15" thickBot="1">
      <c r="A23" s="220"/>
      <c r="B23" s="220"/>
      <c r="C23" s="221"/>
      <c r="D23" s="221"/>
      <c r="E23" s="403"/>
      <c r="F23" s="221"/>
      <c r="G23" s="221"/>
      <c r="H23" s="377">
        <v>9</v>
      </c>
      <c r="I23" s="403">
        <f ca="1"/>
        <v>6.8548244191097798E-5</v>
      </c>
      <c r="J23" s="403">
        <f ca="1"/>
        <v>4.7748759281318501E-4</v>
      </c>
      <c r="K23" s="403">
        <f ca="1"/>
        <v>0.14356026255517201</v>
      </c>
      <c r="L23" s="403">
        <f ca="1"/>
        <v>0.14356026255517201</v>
      </c>
      <c r="M23" s="403">
        <f ca="1"/>
        <v>-8.1371747753136202E-5</v>
      </c>
      <c r="N23" s="403" t="str">
        <f ca="1"/>
        <v>BASF SE</v>
      </c>
      <c r="O23" s="403">
        <f ca="1"/>
        <v>0.24266871260107201</v>
      </c>
      <c r="P23" s="403">
        <f ca="1"/>
        <v>0.77485753412158098</v>
      </c>
      <c r="Q23" s="403">
        <f ca="1"/>
        <v>0.313178490128736</v>
      </c>
      <c r="R23" s="441">
        <f ca="1"/>
        <v>0.313178490128736</v>
      </c>
      <c r="S23" s="433"/>
      <c r="T23" s="412" cm="1">
        <f t="array" aca="1" ref="T23:X23" ca="1">IF(AND($U$12,B47&lt;=$C$17,C47&lt;&gt;""),TRANSPOSE(INDEX(getcds(C47,$C$6,G47/10000,F47,D47,$C$13,$C$14,$C$15,$C$8,,,TRUE,TRUE,FALSE,$C$29:$C$31,$C$33),{1;2;3;4;5})),"")</f>
        <v>-2.61658253911379E-2</v>
      </c>
      <c r="U23" s="413">
        <f ca="1"/>
        <v>2.1073390733040799E-2</v>
      </c>
      <c r="V23" s="413">
        <f ca="1"/>
        <v>4.7239216124178703E-2</v>
      </c>
      <c r="W23" s="414">
        <f ca="1"/>
        <v>4.4609950083940404E-3</v>
      </c>
      <c r="X23" s="415">
        <f ca="1"/>
        <v>4.72392161241787</v>
      </c>
      <c r="Y23" s="416">
        <f t="shared" ca="1" si="4"/>
        <v>5.3457106073324885E-2</v>
      </c>
      <c r="Z23" s="417">
        <f t="shared" ca="1" si="2"/>
        <v>-1.1265224837407862E-3</v>
      </c>
      <c r="AA23" s="416">
        <f t="shared" ca="1" si="0"/>
        <v>4.7853420851724005E-2</v>
      </c>
      <c r="AB23" s="418">
        <f t="shared" ca="1" si="1"/>
        <v>4.237945257974338E-3</v>
      </c>
      <c r="AC23" s="417">
        <f t="shared" ca="1" si="3"/>
        <v>-5.0421691776051302E-5</v>
      </c>
      <c r="AD23" s="220"/>
      <c r="AE23" s="220"/>
    </row>
    <row r="24" spans="1:31" customFormat="1" ht="14.5">
      <c r="A24" s="236"/>
      <c r="B24" s="264" t="s">
        <v>447</v>
      </c>
      <c r="C24" s="63" t="b">
        <v>1</v>
      </c>
      <c r="D24" s="221"/>
      <c r="E24" s="403"/>
      <c r="F24" s="221"/>
      <c r="G24" s="221"/>
      <c r="H24" s="377">
        <v>10</v>
      </c>
      <c r="I24" s="403">
        <f ca="1"/>
        <v>9.6540764789268001E-5</v>
      </c>
      <c r="J24" s="403">
        <f ca="1"/>
        <v>4.5352666153813199E-4</v>
      </c>
      <c r="K24" s="403">
        <f ca="1"/>
        <v>0.212866790370936</v>
      </c>
      <c r="L24" s="403">
        <f ca="1"/>
        <v>0.212866790370936</v>
      </c>
      <c r="M24" s="403">
        <f ca="1"/>
        <v>-1.33676268346416E-4</v>
      </c>
      <c r="N24" s="403" t="str">
        <f ca="1"/>
        <v>BAYER AKTIENGESELLSCHAFT</v>
      </c>
      <c r="O24" s="403">
        <f ca="1"/>
        <v>0.23537495686628501</v>
      </c>
      <c r="P24" s="403">
        <f ca="1"/>
        <v>0.741533714699251</v>
      </c>
      <c r="Q24" s="403">
        <f ca="1"/>
        <v>0.31741639280925699</v>
      </c>
      <c r="R24" s="441">
        <f ca="1"/>
        <v>0.31741639280925699</v>
      </c>
      <c r="S24" s="433"/>
      <c r="T24" s="412" cm="1">
        <f t="array" aca="1" ref="T24:X24" ca="1">IF(AND($U$12,B48&lt;=$C$17,C48&lt;&gt;""),TRANSPOSE(INDEX(getcds(C48,$C$6,G48/10000,F48,D48,$C$13,$C$14,$C$15,$C$8,,,TRUE,TRUE,FALSE,$C$29:$C$31,$C$33),{1;2;3;4;5})),"")</f>
        <v>8.9118792639464005E-3</v>
      </c>
      <c r="U24" s="413">
        <f ca="1"/>
        <v>5.4996171624069397E-2</v>
      </c>
      <c r="V24" s="413">
        <f ca="1"/>
        <v>4.6084292360123E-2</v>
      </c>
      <c r="W24" s="414">
        <f ca="1"/>
        <v>1.19338214405692E-2</v>
      </c>
      <c r="X24" s="415">
        <f ca="1"/>
        <v>4.6084292360122996</v>
      </c>
      <c r="Y24" s="416">
        <f t="shared" ca="1" si="4"/>
        <v>5.3457106073324885E-2</v>
      </c>
      <c r="Z24" s="417">
        <f t="shared" ca="1" si="2"/>
        <v>-2.9399361801346643E-3</v>
      </c>
      <c r="AA24" s="416">
        <f t="shared" ca="1" si="0"/>
        <v>7.0955596790312006E-2</v>
      </c>
      <c r="AB24" s="418">
        <f t="shared" ca="1" si="1"/>
        <v>1.1337130368540739E-2</v>
      </c>
      <c r="AC24" s="417">
        <f t="shared" ca="1" si="3"/>
        <v>-1.9511430893841416E-4</v>
      </c>
      <c r="AD24" s="220"/>
      <c r="AE24" s="220"/>
    </row>
    <row r="25" spans="1:31" customFormat="1" ht="15" thickBot="1">
      <c r="A25" s="236"/>
      <c r="B25" s="426" t="s">
        <v>448</v>
      </c>
      <c r="C25" s="427" t="b">
        <v>1</v>
      </c>
      <c r="D25" s="221"/>
      <c r="E25" s="403"/>
      <c r="F25" s="221"/>
      <c r="G25" s="221"/>
      <c r="H25" s="377">
        <v>11</v>
      </c>
      <c r="I25" s="403">
        <f ca="1"/>
        <v>7.3416887126465105E-5</v>
      </c>
      <c r="J25" s="403">
        <f ca="1"/>
        <v>4.7403210425861199E-4</v>
      </c>
      <c r="K25" s="403">
        <f ca="1"/>
        <v>0.15487745759602001</v>
      </c>
      <c r="L25" s="403">
        <f ca="1"/>
        <v>0.15487745759602001</v>
      </c>
      <c r="M25" s="403">
        <f ca="1"/>
        <v>-9.2723594398687103E-5</v>
      </c>
      <c r="N25" s="403" t="str">
        <f ca="1"/>
        <v>BAYERISCHE MOTOREN WERKE AKTIENGESELLSCHAFT</v>
      </c>
      <c r="O25" s="403">
        <f ca="1"/>
        <v>0.24204086904501901</v>
      </c>
      <c r="P25" s="403">
        <f ca="1"/>
        <v>0.771190871724586</v>
      </c>
      <c r="Q25" s="403">
        <f ca="1"/>
        <v>0.31385338950362801</v>
      </c>
      <c r="R25" s="441">
        <f ca="1"/>
        <v>0.31385338950362801</v>
      </c>
      <c r="S25" s="433"/>
      <c r="T25" s="412" cm="1">
        <f t="array" aca="1" ref="T25:X25" ca="1">IF(AND($U$12,B49&lt;=$C$17,C49&lt;&gt;""),TRANSPOSE(INDEX(getcds(C49,$C$6,G49/10000,F49,D49,$C$13,$C$14,$C$15,$C$8,,,TRUE,TRUE,FALSE,$C$29:$C$31,$C$33),{1;2;3;4;5})),"")</f>
        <v>-2.2306180762721801E-2</v>
      </c>
      <c r="U25" s="413">
        <f ca="1"/>
        <v>2.4802791677545798E-2</v>
      </c>
      <c r="V25" s="413">
        <f ca="1"/>
        <v>4.7108972440267599E-2</v>
      </c>
      <c r="W25" s="414">
        <f ca="1"/>
        <v>5.26498252726586E-3</v>
      </c>
      <c r="X25" s="415">
        <f ca="1"/>
        <v>4.7108972440267598</v>
      </c>
      <c r="Y25" s="416">
        <f t="shared" ca="1" si="4"/>
        <v>5.3457106073324885E-2</v>
      </c>
      <c r="Z25" s="417">
        <f t="shared" ca="1" si="2"/>
        <v>-1.3258854656211447E-3</v>
      </c>
      <c r="AA25" s="416">
        <f t="shared" ca="1" si="0"/>
        <v>5.1625819198673338E-2</v>
      </c>
      <c r="AB25" s="418">
        <f t="shared" ca="1" si="1"/>
        <v>5.0017334009025667E-3</v>
      </c>
      <c r="AC25" s="417">
        <f t="shared" ca="1" si="3"/>
        <v>-6.402322193836697E-5</v>
      </c>
      <c r="AD25" s="220"/>
      <c r="AE25" s="220"/>
    </row>
    <row r="26" spans="1:31" customFormat="1" ht="15" thickBot="1">
      <c r="A26" s="220"/>
      <c r="B26" s="220"/>
      <c r="C26" s="221"/>
      <c r="D26" s="221"/>
      <c r="E26" s="403"/>
      <c r="F26" s="221"/>
      <c r="G26" s="221"/>
      <c r="H26" s="377">
        <v>12</v>
      </c>
      <c r="I26" s="403">
        <f ca="1"/>
        <v>6.1595988228253497E-5</v>
      </c>
      <c r="J26" s="403">
        <f ca="1"/>
        <v>4.80881681861379E-4</v>
      </c>
      <c r="K26" s="403">
        <f ca="1"/>
        <v>0.12808969555635799</v>
      </c>
      <c r="L26" s="403">
        <f ca="1"/>
        <v>0.12808969555635799</v>
      </c>
      <c r="M26" s="403">
        <f ca="1"/>
        <v>-6.5696036462037399E-5</v>
      </c>
      <c r="N26" s="403" t="str">
        <f ca="1"/>
        <v>BOUYGUES</v>
      </c>
      <c r="O26" s="403">
        <f ca="1"/>
        <v>0.243318135804305</v>
      </c>
      <c r="P26" s="403">
        <f ca="1"/>
        <v>0.779089965405388</v>
      </c>
      <c r="Q26" s="403">
        <f ca="1"/>
        <v>0.31231070429420599</v>
      </c>
      <c r="R26" s="441">
        <f ca="1"/>
        <v>0.31231070429420599</v>
      </c>
      <c r="S26" s="433"/>
      <c r="T26" s="412" cm="1">
        <f t="array" aca="1" ref="T26:X26" ca="1">IF(AND($U$12,B50&lt;=$C$17,C50&lt;&gt;""),TRANSPOSE(INDEX(getcds(C50,$C$6,G50/10000,F50,D50,$C$13,$C$14,$C$15,$C$8,,,TRUE,TRUE,FALSE,$C$29:$C$31,$C$33),{1;2;3;4;5})),"")</f>
        <v>-3.0621016216197901E-2</v>
      </c>
      <c r="U26" s="413">
        <f ca="1"/>
        <v>1.6677865365768402E-2</v>
      </c>
      <c r="V26" s="413">
        <f ca="1"/>
        <v>4.7298881581966302E-2</v>
      </c>
      <c r="W26" s="414">
        <f ca="1"/>
        <v>3.52605913881211E-3</v>
      </c>
      <c r="X26" s="415">
        <f ca="1"/>
        <v>4.7298881581966299</v>
      </c>
      <c r="Y26" s="416">
        <f t="shared" ca="1" si="4"/>
        <v>5.3457106073324885E-2</v>
      </c>
      <c r="Z26" s="417">
        <f t="shared" ca="1" si="2"/>
        <v>-8.9155041793451302E-4</v>
      </c>
      <c r="AA26" s="416">
        <f t="shared" ca="1" si="0"/>
        <v>4.2696565185452666E-2</v>
      </c>
      <c r="AB26" s="418">
        <f t="shared" ca="1" si="1"/>
        <v>3.3497561818715046E-3</v>
      </c>
      <c r="AC26" s="417">
        <f t="shared" ca="1" si="3"/>
        <v>-3.5604378287186698E-5</v>
      </c>
      <c r="AD26" s="220"/>
      <c r="AE26" s="220"/>
    </row>
    <row r="27" spans="1:31" customFormat="1" ht="15" thickBot="1">
      <c r="A27" s="220"/>
      <c r="B27" s="431" t="s">
        <v>449</v>
      </c>
      <c r="C27" s="178" t="b">
        <v>1</v>
      </c>
      <c r="D27" s="221"/>
      <c r="E27" s="403"/>
      <c r="F27" s="221"/>
      <c r="G27" s="221"/>
      <c r="H27" s="377">
        <v>13</v>
      </c>
      <c r="I27" s="403">
        <f ca="1"/>
        <v>8.7626937323321896E-5</v>
      </c>
      <c r="J27" s="403">
        <f ca="1"/>
        <v>4.4945526680678801E-4</v>
      </c>
      <c r="K27" s="403">
        <f ca="1"/>
        <v>0.19496253308116401</v>
      </c>
      <c r="L27" s="403">
        <f ca="1"/>
        <v>0.19496253308116401</v>
      </c>
      <c r="M27" s="403">
        <f ca="1"/>
        <v>-1.2775752665543399E-4</v>
      </c>
      <c r="N27" s="403" t="str">
        <f ca="1"/>
        <v>CNH INDUSTRIAL N.V</v>
      </c>
      <c r="O27" s="403">
        <f ca="1"/>
        <v>0.238319739036744</v>
      </c>
      <c r="P27" s="403">
        <f ca="1"/>
        <v>0.75335422373860195</v>
      </c>
      <c r="Q27" s="403">
        <f ca="1"/>
        <v>0.31634486344824098</v>
      </c>
      <c r="R27" s="441">
        <f ca="1"/>
        <v>0.31634486344824098</v>
      </c>
      <c r="S27" s="433"/>
      <c r="T27" s="412" cm="1">
        <f t="array" aca="1" ref="T27:X27" ca="1">IF(AND($U$12,B51&lt;=$C$17,C51&lt;&gt;""),TRANSPOSE(INDEX(getcds(C51,$C$6,G51/10000,F51,D51,$C$13,$C$14,$C$15,$C$8,,,TRUE,TRUE,FALSE,$C$29:$C$31,$C$33),{1;2;3;4;5})),"")</f>
        <v>-3.5307618301069999E-3</v>
      </c>
      <c r="U27" s="413">
        <f ca="1"/>
        <v>4.3004337425704003E-2</v>
      </c>
      <c r="V27" s="413">
        <f ca="1"/>
        <v>4.6535099255811001E-2</v>
      </c>
      <c r="W27" s="414">
        <f ca="1"/>
        <v>9.2412690879420303E-3</v>
      </c>
      <c r="X27" s="415">
        <f ca="1"/>
        <v>4.6535099255810897</v>
      </c>
      <c r="Y27" s="416">
        <f t="shared" ca="1" si="4"/>
        <v>5.3457106073324885E-2</v>
      </c>
      <c r="Z27" s="417">
        <f t="shared" ca="1" si="2"/>
        <v>-2.2988874273789108E-3</v>
      </c>
      <c r="AA27" s="416">
        <f t="shared" ca="1" si="0"/>
        <v>6.4987511027054676E-2</v>
      </c>
      <c r="AB27" s="418">
        <f t="shared" ca="1" si="1"/>
        <v>8.7792056335449283E-3</v>
      </c>
      <c r="AC27" s="417">
        <f t="shared" ca="1" si="3"/>
        <v>-1.3973724263320589E-4</v>
      </c>
      <c r="AD27" s="220"/>
      <c r="AE27" s="220"/>
    </row>
    <row r="28" spans="1:31" customFormat="1" ht="15" thickBot="1">
      <c r="A28" s="220"/>
      <c r="B28" s="262" t="s">
        <v>450</v>
      </c>
      <c r="C28" s="237"/>
      <c r="D28" s="221"/>
      <c r="E28" s="403"/>
      <c r="F28" s="221"/>
      <c r="G28" s="221"/>
      <c r="H28" s="377">
        <v>14</v>
      </c>
      <c r="I28" s="403">
        <f ca="1"/>
        <v>8.7159090493427107E-5</v>
      </c>
      <c r="J28" s="403">
        <f ca="1"/>
        <v>3.6886088994432298E-4</v>
      </c>
      <c r="K28" s="403">
        <f ca="1"/>
        <v>0.23629257768852399</v>
      </c>
      <c r="L28" s="403">
        <f ca="1"/>
        <v>0.23629257768852399</v>
      </c>
      <c r="M28" s="403">
        <f ca="1"/>
        <v>2.9038686963041201E-4</v>
      </c>
      <c r="N28" s="403" t="str">
        <f ca="1"/>
        <v>COMPAGNIE DE SAINT-GOBAIN</v>
      </c>
      <c r="O28" s="403">
        <f ca="1"/>
        <v>0.18189653503346301</v>
      </c>
      <c r="P28" s="403">
        <f ca="1"/>
        <v>0.586902484150991</v>
      </c>
      <c r="Q28" s="403">
        <f ca="1"/>
        <v>0.30992633349745202</v>
      </c>
      <c r="R28" s="441">
        <f ca="1"/>
        <v>0.30992633349745202</v>
      </c>
      <c r="S28" s="433"/>
      <c r="T28" s="412" cm="1">
        <f t="array" aca="1" ref="T28:X28" ca="1">IF(AND($U$12,B52&lt;=$C$17,C52&lt;&gt;""),TRANSPOSE(INDEX(getcds(C52,$C$6,G52/10000,F52,D52,$C$13,$C$14,$C$15,$C$8,,,TRUE,TRUE,FALSE,$C$29:$C$31,$C$33),{1;2;3;4;5})),"")</f>
        <v>0.17168159563053501</v>
      </c>
      <c r="U28" s="413">
        <f ca="1"/>
        <v>0.216066502860084</v>
      </c>
      <c r="V28" s="413">
        <f ca="1"/>
        <v>4.4384907229548798E-2</v>
      </c>
      <c r="W28" s="414">
        <f ca="1"/>
        <v>4.8680174488737002E-2</v>
      </c>
      <c r="X28" s="415">
        <f ca="1"/>
        <v>4.4384907229548798</v>
      </c>
      <c r="Y28" s="416">
        <f t="shared" ca="1" si="4"/>
        <v>5.3457106073324885E-2</v>
      </c>
      <c r="Z28" s="417">
        <f t="shared" ca="1" si="2"/>
        <v>-1.1550289962283865E-2</v>
      </c>
      <c r="AA28" s="416">
        <f t="shared" ca="1" si="0"/>
        <v>7.8764192562841326E-2</v>
      </c>
      <c r="AB28" s="418">
        <f t="shared" ca="1" si="1"/>
        <v>4.624616576430015E-2</v>
      </c>
      <c r="AC28" s="417">
        <f t="shared" ca="1" si="3"/>
        <v>-8.5091518188256873E-4</v>
      </c>
      <c r="AD28" s="220"/>
      <c r="AE28" s="220"/>
    </row>
    <row r="29" spans="1:31" customFormat="1" ht="15" thickBot="1">
      <c r="A29" s="220"/>
      <c r="B29" s="262" t="s">
        <v>469</v>
      </c>
      <c r="C29" s="238"/>
      <c r="D29" s="221"/>
      <c r="E29" s="403"/>
      <c r="F29" s="221"/>
      <c r="G29" s="221"/>
      <c r="H29" s="377">
        <v>15</v>
      </c>
      <c r="I29" s="403">
        <f ca="1"/>
        <v>9.3286058051402797E-5</v>
      </c>
      <c r="J29" s="403">
        <f ca="1"/>
        <v>4.6084461741895903E-4</v>
      </c>
      <c r="K29" s="403">
        <f ca="1"/>
        <v>0.20242410245316</v>
      </c>
      <c r="L29" s="403">
        <f ca="1"/>
        <v>0.20242410245316</v>
      </c>
      <c r="M29" s="403">
        <f ca="1"/>
        <v>-1.3201684438933099E-4</v>
      </c>
      <c r="N29" s="403" t="str">
        <f ca="1"/>
        <v>CONTINENTAL AKTIENGESELLSCHAFT</v>
      </c>
      <c r="O29" s="403">
        <f ca="1"/>
        <v>0.237287081835824</v>
      </c>
      <c r="P29" s="403">
        <f ca="1"/>
        <v>0.74911061696243797</v>
      </c>
      <c r="Q29" s="403">
        <f ca="1"/>
        <v>0.31675840184724302</v>
      </c>
      <c r="R29" s="441">
        <f ca="1"/>
        <v>0.31675840184724302</v>
      </c>
      <c r="S29" s="433"/>
      <c r="T29" s="412" cm="1">
        <f t="array" aca="1" ref="T29:X29" ca="1">IF(AND($U$12,B53&lt;=$C$17,C53&lt;&gt;""),TRANSPOSE(INDEX(getcds(C53,$C$6,G53/10000,F53,D53,$C$13,$C$14,$C$15,$C$8,,,TRUE,TRUE,FALSE,$C$29:$C$31,$C$33),{1;2;3;4;5})),"")</f>
        <v>9.3619267111760102E-4</v>
      </c>
      <c r="U29" s="413">
        <f ca="1"/>
        <v>4.74422740998992E-2</v>
      </c>
      <c r="V29" s="413">
        <f ca="1"/>
        <v>4.6506081428781598E-2</v>
      </c>
      <c r="W29" s="414">
        <f ca="1"/>
        <v>1.02013054298181E-2</v>
      </c>
      <c r="X29" s="415">
        <f ca="1"/>
        <v>4.65060814287816</v>
      </c>
      <c r="Y29" s="416">
        <f t="shared" ca="1" si="4"/>
        <v>5.3457106073324885E-2</v>
      </c>
      <c r="Z29" s="417">
        <f t="shared" ca="1" si="2"/>
        <v>-2.5361266789180677E-3</v>
      </c>
      <c r="AA29" s="416">
        <f t="shared" ca="1" si="0"/>
        <v>6.7474700817720001E-2</v>
      </c>
      <c r="AB29" s="418">
        <f t="shared" ca="1" si="1"/>
        <v>9.6912401583271954E-3</v>
      </c>
      <c r="AC29" s="417">
        <f t="shared" ca="1" si="3"/>
        <v>-1.6005766255014839E-4</v>
      </c>
      <c r="AD29" s="220"/>
      <c r="AE29" s="220"/>
    </row>
    <row r="30" spans="1:31" customFormat="1" ht="14.5">
      <c r="A30" s="220"/>
      <c r="B30" s="262" t="s">
        <v>447</v>
      </c>
      <c r="C30" s="63" t="b">
        <v>1</v>
      </c>
      <c r="D30" s="221"/>
      <c r="E30" s="221"/>
      <c r="F30" s="221"/>
      <c r="G30" s="221"/>
      <c r="H30" s="377">
        <v>16</v>
      </c>
      <c r="I30" s="403">
        <f ca="1"/>
        <v>9.6206357439157001E-5</v>
      </c>
      <c r="J30" s="403">
        <f ca="1"/>
        <v>4.58017311243995E-4</v>
      </c>
      <c r="K30" s="403">
        <f ca="1"/>
        <v>0.21004960964871899</v>
      </c>
      <c r="L30" s="403">
        <f ca="1"/>
        <v>0.21004960964871899</v>
      </c>
      <c r="M30" s="403">
        <f ca="1"/>
        <v>-1.3464962653485899E-4</v>
      </c>
      <c r="N30" s="403" t="str">
        <f ca="1"/>
        <v>GLENCORE INTERNATIONAL AG</v>
      </c>
      <c r="O30" s="403">
        <f ca="1"/>
        <v>0.23600823689023001</v>
      </c>
      <c r="P30" s="403">
        <f ca="1"/>
        <v>0.74409726252908004</v>
      </c>
      <c r="Q30" s="403">
        <f ca="1"/>
        <v>0.31717390827117398</v>
      </c>
      <c r="R30" s="441">
        <f ca="1"/>
        <v>0.31717390827117398</v>
      </c>
      <c r="S30" s="433"/>
      <c r="T30" s="412" cm="1">
        <f t="array" aca="1" ref="T30:X30" ca="1">IF(AND($U$12,B54&lt;=$C$17,C54&lt;&gt;""),TRANSPOSE(INDEX(getcds(C54,$C$6,G54/10000,F54,D54,$C$13,$C$14,$C$15,$C$8,,,TRUE,TRUE,FALSE,$C$29:$C$31,$C$33),{1;2;3;4;5})),"")</f>
        <v>6.2134078641259997E-3</v>
      </c>
      <c r="U30" s="413">
        <f ca="1"/>
        <v>5.2655503646831303E-2</v>
      </c>
      <c r="V30" s="413">
        <f ca="1"/>
        <v>4.6442095782705299E-2</v>
      </c>
      <c r="W30" s="414">
        <f ca="1"/>
        <v>1.13378827461184E-2</v>
      </c>
      <c r="X30" s="415">
        <f ca="1"/>
        <v>4.6442095782705302</v>
      </c>
      <c r="Y30" s="416">
        <f t="shared" ca="1" si="4"/>
        <v>5.3457106073324885E-2</v>
      </c>
      <c r="Z30" s="417">
        <f t="shared" ca="1" si="2"/>
        <v>-2.8148108437930038E-3</v>
      </c>
      <c r="AA30" s="416">
        <f t="shared" ca="1" si="0"/>
        <v>7.0016536549573002E-2</v>
      </c>
      <c r="AB30" s="418">
        <f t="shared" ca="1" si="1"/>
        <v>1.077098860881248E-2</v>
      </c>
      <c r="AC30" s="417">
        <f t="shared" ca="1" si="3"/>
        <v>-1.8433779978122681E-4</v>
      </c>
      <c r="AD30" s="220"/>
      <c r="AE30" s="220"/>
    </row>
    <row r="31" spans="1:31" customFormat="1" ht="15" thickBot="1">
      <c r="A31" s="220"/>
      <c r="B31" s="263" t="s">
        <v>448</v>
      </c>
      <c r="C31" s="427" t="b">
        <v>1</v>
      </c>
      <c r="D31" s="221"/>
      <c r="E31" s="221"/>
      <c r="F31" s="221"/>
      <c r="G31" s="221"/>
      <c r="H31" s="377">
        <v>17</v>
      </c>
      <c r="I31" s="403">
        <f ca="1"/>
        <v>5.3271843448796699E-5</v>
      </c>
      <c r="J31" s="403">
        <f ca="1"/>
        <v>4.84493200498996E-4</v>
      </c>
      <c r="K31" s="403">
        <f ca="1"/>
        <v>0.10995374835793401</v>
      </c>
      <c r="L31" s="403">
        <f ca="1"/>
        <v>0.10995374835793401</v>
      </c>
      <c r="M31" s="403">
        <f ca="1"/>
        <v>-4.8959705088147302E-5</v>
      </c>
      <c r="N31" s="403" t="str">
        <f ca="1"/>
        <v>GSK PLC</v>
      </c>
      <c r="O31" s="403">
        <f ca="1"/>
        <v>0.243881306372317</v>
      </c>
      <c r="P31" s="403">
        <f ca="1"/>
        <v>0.78330673267774198</v>
      </c>
      <c r="Q31" s="403">
        <f ca="1"/>
        <v>0.31134841077977998</v>
      </c>
      <c r="R31" s="441">
        <f ca="1"/>
        <v>0.31134841077977998</v>
      </c>
      <c r="S31" s="433"/>
      <c r="T31" s="412" cm="1">
        <f t="array" aca="1" ref="T31:X31" ca="1">IF(AND($U$12,B55&lt;=$C$17,C55&lt;&gt;""),TRANSPOSE(INDEX(getcds(C55,$C$6,G55/10000,F55,D55,$C$13,$C$14,$C$15,$C$8,,,TRUE,TRUE,FALSE,$C$29:$C$31,$C$33),{1;2;3;4;5})),"")</f>
        <v>-3.50597186081495E-2</v>
      </c>
      <c r="U31" s="413">
        <f ca="1"/>
        <v>1.23851354818758E-2</v>
      </c>
      <c r="V31" s="413">
        <f ca="1"/>
        <v>4.7444854090025301E-2</v>
      </c>
      <c r="W31" s="414">
        <f ca="1"/>
        <v>2.6104275625709302E-3</v>
      </c>
      <c r="X31" s="415">
        <f ca="1"/>
        <v>4.7444854090025297</v>
      </c>
      <c r="Y31" s="416">
        <f t="shared" ca="1" si="4"/>
        <v>5.3457106073324885E-2</v>
      </c>
      <c r="Z31" s="417">
        <f t="shared" ca="1" si="2"/>
        <v>-6.6207350118713531E-4</v>
      </c>
      <c r="AA31" s="416">
        <f t="shared" ca="1" si="0"/>
        <v>3.6651249452644669E-2</v>
      </c>
      <c r="AB31" s="418">
        <f t="shared" ca="1" si="1"/>
        <v>2.4799061844423837E-3</v>
      </c>
      <c r="AC31" s="417">
        <f t="shared" ca="1" si="3"/>
        <v>-2.2696534502551544E-5</v>
      </c>
      <c r="AD31" s="220"/>
      <c r="AE31" s="220"/>
    </row>
    <row r="32" spans="1:31" customFormat="1" ht="15" thickBot="1">
      <c r="A32" s="220"/>
      <c r="B32" s="220"/>
      <c r="C32" s="221"/>
      <c r="D32" s="221"/>
      <c r="E32" s="221"/>
      <c r="F32" s="221"/>
      <c r="G32" s="221"/>
      <c r="H32" s="377">
        <v>18</v>
      </c>
      <c r="I32" s="403">
        <f ca="1"/>
        <v>8.7696396894636401E-5</v>
      </c>
      <c r="J32" s="403">
        <f ca="1"/>
        <v>4.4937875334292299E-4</v>
      </c>
      <c r="K32" s="403">
        <f ca="1"/>
        <v>0.19515029636417799</v>
      </c>
      <c r="L32" s="403">
        <f ca="1"/>
        <v>0.19515029636417799</v>
      </c>
      <c r="M32" s="403">
        <f ca="1"/>
        <v>-1.2805167901596299E-4</v>
      </c>
      <c r="N32" s="403" t="str">
        <f ca="1"/>
        <v>HEIDELBERG MATERIALS AG</v>
      </c>
      <c r="O32" s="403">
        <f ca="1"/>
        <v>0.238306492337716</v>
      </c>
      <c r="P32" s="403">
        <f ca="1"/>
        <v>0.75331190144619198</v>
      </c>
      <c r="Q32" s="403">
        <f ca="1"/>
        <v>0.31634505160507898</v>
      </c>
      <c r="R32" s="441">
        <f ca="1"/>
        <v>0.31634505160507898</v>
      </c>
      <c r="S32" s="433"/>
      <c r="T32" s="412" cm="1">
        <f t="array" aca="1" ref="T32:X32" ca="1">IF(AND($U$12,B56&lt;=$C$17,C56&lt;&gt;""),TRANSPOSE(INDEX(getcds(C56,$C$6,G56/10000,F56,D56,$C$13,$C$14,$C$15,$C$8,,,TRUE,TRUE,FALSE,$C$29:$C$31,$C$33),{1;2;3;4;5})),"")</f>
        <v>-3.4862120486233001E-3</v>
      </c>
      <c r="U32" s="413">
        <f ca="1"/>
        <v>4.3087984921184201E-2</v>
      </c>
      <c r="V32" s="413">
        <f ca="1"/>
        <v>4.6574196969807503E-2</v>
      </c>
      <c r="W32" s="414">
        <f ca="1"/>
        <v>9.2514713563642808E-3</v>
      </c>
      <c r="X32" s="415">
        <f ca="1"/>
        <v>4.6574196969807504</v>
      </c>
      <c r="Y32" s="416">
        <f t="shared" ca="1" si="4"/>
        <v>5.3457106073324885E-2</v>
      </c>
      <c r="Z32" s="417">
        <f t="shared" ca="1" si="2"/>
        <v>-2.3033589804175685E-3</v>
      </c>
      <c r="AA32" s="416">
        <f t="shared" ca="1" si="0"/>
        <v>6.5050098788059327E-2</v>
      </c>
      <c r="AB32" s="418">
        <f t="shared" ca="1" si="1"/>
        <v>8.7888977885460656E-3</v>
      </c>
      <c r="AC32" s="417">
        <f t="shared" ca="1" si="3"/>
        <v>-1.4014388378507254E-4</v>
      </c>
      <c r="AD32" s="220"/>
      <c r="AE32" s="220"/>
    </row>
    <row r="33" spans="1:31" customFormat="1" ht="14.5">
      <c r="A33" s="220"/>
      <c r="B33" s="261" t="s">
        <v>451</v>
      </c>
      <c r="C33" s="239" t="s">
        <v>452</v>
      </c>
      <c r="D33" s="240"/>
      <c r="E33" s="240"/>
      <c r="F33" s="240"/>
      <c r="G33" s="221"/>
      <c r="H33" s="377">
        <v>19</v>
      </c>
      <c r="I33" s="403">
        <f ca="1"/>
        <v>8.2058506892623896E-5</v>
      </c>
      <c r="J33" s="403">
        <f ca="1"/>
        <v>4.55687536897261E-4</v>
      </c>
      <c r="K33" s="403">
        <f ca="1"/>
        <v>0.18007625894566601</v>
      </c>
      <c r="L33" s="403">
        <f ca="1"/>
        <v>0.18007625894566601</v>
      </c>
      <c r="M33" s="403">
        <f ca="1"/>
        <v>-1.16820935546393E-4</v>
      </c>
      <c r="N33" s="403" t="str">
        <f ca="1"/>
        <v>HOLCIM AG</v>
      </c>
      <c r="O33" s="403">
        <f ca="1"/>
        <v>0.24005550195077399</v>
      </c>
      <c r="P33" s="403">
        <f ca="1"/>
        <v>0.76109229243440002</v>
      </c>
      <c r="Q33" s="403">
        <f ca="1"/>
        <v>0.31540918800128898</v>
      </c>
      <c r="R33" s="441">
        <f ca="1"/>
        <v>0.31540918800128898</v>
      </c>
      <c r="S33" s="433"/>
      <c r="T33" s="412" cm="1">
        <f t="array" aca="1" ref="T33:X33" ca="1">IF(AND($U$12,B57&lt;=$C$17,C57&lt;&gt;""),TRANSPOSE(INDEX(getcds(C57,$C$6,G57/10000,F57,D57,$C$13,$C$14,$C$15,$C$8,,,TRUE,TRUE,FALSE,$C$29:$C$31,$C$33),{1;2;3;4;5})),"")</f>
        <v>-1.1676097299369E-2</v>
      </c>
      <c r="U33" s="413">
        <f ca="1"/>
        <v>3.5136415005100202E-2</v>
      </c>
      <c r="V33" s="413">
        <f ca="1"/>
        <v>4.68125123044692E-2</v>
      </c>
      <c r="W33" s="414">
        <f ca="1"/>
        <v>7.5057742632082102E-3</v>
      </c>
      <c r="X33" s="415">
        <f ca="1"/>
        <v>4.6812512304469198</v>
      </c>
      <c r="Y33" s="416">
        <f t="shared" ca="1" si="4"/>
        <v>5.3457106073324885E-2</v>
      </c>
      <c r="Z33" s="417">
        <f t="shared" ca="1" si="2"/>
        <v>-1.8782910639640086E-3</v>
      </c>
      <c r="AA33" s="416">
        <f t="shared" ca="1" si="0"/>
        <v>6.0025419648555338E-2</v>
      </c>
      <c r="AB33" s="418">
        <f t="shared" ca="1" si="1"/>
        <v>7.1304855500477996E-3</v>
      </c>
      <c r="AC33" s="417">
        <f t="shared" ca="1" si="3"/>
        <v>-1.05453902781347E-4</v>
      </c>
      <c r="AD33" s="220"/>
      <c r="AE33" s="220"/>
    </row>
    <row r="34" spans="1:31" customFormat="1" ht="14.5">
      <c r="A34" s="220"/>
      <c r="B34" s="262" t="s">
        <v>470</v>
      </c>
      <c r="C34" s="241">
        <v>0.01</v>
      </c>
      <c r="D34" s="240"/>
      <c r="E34" s="240"/>
      <c r="F34" s="240"/>
      <c r="G34" s="221"/>
      <c r="H34" s="377">
        <v>20</v>
      </c>
      <c r="I34" s="403">
        <f ca="1"/>
        <v>4.6418361729245802E-5</v>
      </c>
      <c r="J34" s="403">
        <f ca="1"/>
        <v>4.8673119663356502E-4</v>
      </c>
      <c r="K34" s="403">
        <f ca="1"/>
        <v>9.5367549995345399E-2</v>
      </c>
      <c r="L34" s="403">
        <f ca="1"/>
        <v>9.5367549995345399E-2</v>
      </c>
      <c r="M34" s="403">
        <f ca="1"/>
        <v>-3.6832580320320697E-5</v>
      </c>
      <c r="N34" s="403" t="str">
        <f ca="1"/>
        <v>DSM B.V</v>
      </c>
      <c r="O34" s="403">
        <f ca="1"/>
        <v>0.24420022329581101</v>
      </c>
      <c r="P34" s="403">
        <f ca="1"/>
        <v>0.78611816020690295</v>
      </c>
      <c r="Q34" s="403">
        <f ca="1"/>
        <v>0.31064060806270999</v>
      </c>
      <c r="R34" s="441">
        <f ca="1"/>
        <v>0.31064060806270999</v>
      </c>
      <c r="S34" s="433"/>
      <c r="T34" s="412" cm="1">
        <f t="array" aca="1" ref="T34:X34" ca="1">IF(AND($U$12,B58&lt;=$C$17,C58&lt;&gt;""),TRANSPOSE(INDEX(getcds(C58,$C$6,G58/10000,F58,D58,$C$13,$C$14,$C$15,$C$8,,,TRUE,TRUE,FALSE,$C$29:$C$31,$C$33),{1;2;3;4;5})),"")</f>
        <v>-3.80191160072662E-2</v>
      </c>
      <c r="U34" s="413">
        <f ca="1"/>
        <v>9.5080044065397901E-3</v>
      </c>
      <c r="V34" s="413">
        <f ca="1"/>
        <v>4.7527120413806002E-2</v>
      </c>
      <c r="W34" s="414">
        <f ca="1"/>
        <v>2.0005429160774098E-3</v>
      </c>
      <c r="X34" s="415">
        <f ca="1"/>
        <v>4.7527120413806001</v>
      </c>
      <c r="Y34" s="416">
        <f t="shared" ca="1" si="4"/>
        <v>5.3457106073324885E-2</v>
      </c>
      <c r="Z34" s="417">
        <f t="shared" ca="1" si="2"/>
        <v>-5.0827040010603664E-4</v>
      </c>
      <c r="AA34" s="416">
        <f t="shared" ca="1" si="0"/>
        <v>3.1789183331781802E-2</v>
      </c>
      <c r="AB34" s="418">
        <f t="shared" ca="1" si="1"/>
        <v>1.9005157702735392E-3</v>
      </c>
      <c r="AC34" s="417">
        <f t="shared" ca="1" si="3"/>
        <v>-1.5112584759944114E-5</v>
      </c>
      <c r="AD34" s="220"/>
      <c r="AE34" s="220"/>
    </row>
    <row r="35" spans="1:31" customFormat="1" ht="14.5">
      <c r="A35" s="220"/>
      <c r="B35" s="262" t="s">
        <v>471</v>
      </c>
      <c r="C35" s="241">
        <v>1</v>
      </c>
      <c r="D35" s="221"/>
      <c r="E35" s="221"/>
      <c r="F35" s="221"/>
      <c r="G35" s="221"/>
      <c r="H35" s="377">
        <v>21</v>
      </c>
      <c r="I35" s="403">
        <f ca="1"/>
        <v>4.7262955966220798E-5</v>
      </c>
      <c r="J35" s="403">
        <f ca="1"/>
        <v>4.86505428829645E-4</v>
      </c>
      <c r="K35" s="403">
        <f ca="1"/>
        <v>9.7147849058782904E-2</v>
      </c>
      <c r="L35" s="403">
        <f ca="1"/>
        <v>9.7147849058782904E-2</v>
      </c>
      <c r="M35" s="403">
        <f ca="1"/>
        <v>-3.8248996834273699E-5</v>
      </c>
      <c r="N35" s="403" t="str">
        <f ca="1"/>
        <v>L'AIR LIQUIDE SOCIETE ANONYME POUR L'ETUDE ET L'EXPLOITATION DES PROCEDES GEORGES CLAUDE</v>
      </c>
      <c r="O35" s="403">
        <f ca="1"/>
        <v>0.24416701303441599</v>
      </c>
      <c r="P35" s="403">
        <f ca="1"/>
        <v>0.78580126359464197</v>
      </c>
      <c r="Q35" s="403">
        <f ca="1"/>
        <v>0.31072361975784502</v>
      </c>
      <c r="R35" s="441">
        <f ca="1"/>
        <v>0.31072361975784502</v>
      </c>
      <c r="S35" s="433"/>
      <c r="T35" s="412" cm="1">
        <f t="array" aca="1" ref="T35:X35" ca="1">IF(AND($U$12,B59&lt;=$C$17,C59&lt;&gt;""),TRANSPOSE(INDEX(getcds(C59,$C$6,G59/10000,F59,D59,$C$13,$C$14,$C$15,$C$8,,,TRUE,TRUE,FALSE,$C$29:$C$31,$C$33),{1;2;3;4;5})),"")</f>
        <v>-3.7685540625939297E-2</v>
      </c>
      <c r="U35" s="413">
        <f ca="1"/>
        <v>9.8354652786579698E-3</v>
      </c>
      <c r="V35" s="413">
        <f ca="1"/>
        <v>4.7521005904597298E-2</v>
      </c>
      <c r="W35" s="414">
        <f ca="1"/>
        <v>2.0697089826767498E-3</v>
      </c>
      <c r="X35" s="415">
        <f ca="1"/>
        <v>4.7521005904597304</v>
      </c>
      <c r="Y35" s="416">
        <f t="shared" ca="1" si="4"/>
        <v>5.3457106073324885E-2</v>
      </c>
      <c r="Z35" s="417">
        <f t="shared" ca="1" si="2"/>
        <v>-5.2577551068172415E-4</v>
      </c>
      <c r="AA35" s="416">
        <f t="shared" ca="1" si="0"/>
        <v>3.2382616352927635E-2</v>
      </c>
      <c r="AB35" s="418">
        <f t="shared" ca="1" si="1"/>
        <v>1.9662235335429121E-3</v>
      </c>
      <c r="AC35" s="417">
        <f t="shared" ca="1" si="3"/>
        <v>-1.5924904938566145E-5</v>
      </c>
      <c r="AD35" s="220"/>
      <c r="AE35" s="220"/>
    </row>
    <row r="36" spans="1:31" customFormat="1" ht="15" thickBot="1">
      <c r="A36" s="220"/>
      <c r="B36" s="263" t="s">
        <v>472</v>
      </c>
      <c r="C36" s="242"/>
      <c r="D36" s="221"/>
      <c r="E36" s="221"/>
      <c r="F36" s="221"/>
      <c r="G36" s="221"/>
      <c r="H36" s="377">
        <v>22</v>
      </c>
      <c r="I36" s="403">
        <f ca="1"/>
        <v>1.03411530769329E-4</v>
      </c>
      <c r="J36" s="403">
        <f ca="1"/>
        <v>4.3394692937706499E-4</v>
      </c>
      <c r="K36" s="403">
        <f ca="1"/>
        <v>0.23830455700603101</v>
      </c>
      <c r="L36" s="403">
        <f ca="1"/>
        <v>0.23830455700603101</v>
      </c>
      <c r="M36" s="403">
        <f ca="1"/>
        <v>-1.10202129644463E-4</v>
      </c>
      <c r="N36" s="403" t="str">
        <f ca="1"/>
        <v>LANXESS AKTIENGESELLSCHAFT</v>
      </c>
      <c r="O36" s="403">
        <f ca="1"/>
        <v>0.22781901109293101</v>
      </c>
      <c r="P36" s="403">
        <f ca="1"/>
        <v>0.71528457933779499</v>
      </c>
      <c r="Q36" s="403">
        <f ca="1"/>
        <v>0.318501219897462</v>
      </c>
      <c r="R36" s="441">
        <f ca="1"/>
        <v>0.318501219897462</v>
      </c>
      <c r="S36" s="433"/>
      <c r="T36" s="412" cm="1">
        <f t="array" aca="1" ref="T36:X36" ca="1">IF(AND($U$12,B60&lt;=$C$17,C60&lt;&gt;""),TRANSPOSE(INDEX(getcds(C60,$C$6,G60/10000,F60,D60,$C$13,$C$14,$C$15,$C$8,,,TRUE,TRUE,FALSE,$C$29:$C$31,$C$33),{1;2;3;4;5})),"")</f>
        <v>3.6542548065479498E-2</v>
      </c>
      <c r="U36" s="413">
        <f ca="1"/>
        <v>8.1769443539817702E-2</v>
      </c>
      <c r="V36" s="413">
        <f ca="1"/>
        <v>4.5226895474338197E-2</v>
      </c>
      <c r="W36" s="414">
        <f ca="1"/>
        <v>1.8079826767285801E-2</v>
      </c>
      <c r="X36" s="415">
        <f ca="1"/>
        <v>4.5226895474338198</v>
      </c>
      <c r="Y36" s="416">
        <f t="shared" ca="1" si="4"/>
        <v>5.3457106073324885E-2</v>
      </c>
      <c r="Z36" s="417">
        <f t="shared" ca="1" si="2"/>
        <v>-4.3711578168647838E-3</v>
      </c>
      <c r="AA36" s="416">
        <f t="shared" ca="1" si="0"/>
        <v>7.943485233534367E-2</v>
      </c>
      <c r="AB36" s="418">
        <f t="shared" ca="1" si="1"/>
        <v>1.717583542892151E-2</v>
      </c>
      <c r="AC36" s="417">
        <f t="shared" ca="1" si="3"/>
        <v>-3.247671836564324E-4</v>
      </c>
      <c r="AD36" s="220"/>
      <c r="AE36" s="220"/>
    </row>
    <row r="37" spans="1:31" customFormat="1" ht="15" thickBot="1">
      <c r="A37" s="220"/>
      <c r="B37" s="220"/>
      <c r="C37" s="221"/>
      <c r="D37" s="221"/>
      <c r="E37" s="221"/>
      <c r="F37" s="221"/>
      <c r="G37" s="221"/>
      <c r="H37" s="377">
        <v>23</v>
      </c>
      <c r="I37" s="403">
        <f ca="1"/>
        <v>8.0194722989814797E-5</v>
      </c>
      <c r="J37" s="403">
        <f ca="1"/>
        <v>4.57431916954633E-4</v>
      </c>
      <c r="K37" s="403">
        <f ca="1"/>
        <v>0.17531510158651301</v>
      </c>
      <c r="L37" s="403">
        <f ca="1"/>
        <v>0.17531510158651301</v>
      </c>
      <c r="M37" s="403">
        <f ca="1"/>
        <v>-1.12781532745496E-4</v>
      </c>
      <c r="N37" s="403" t="str">
        <f ca="1"/>
        <v>LEONARDO SOCIETA' PER AZIONI</v>
      </c>
      <c r="O37" s="403">
        <f ca="1"/>
        <v>0.24051530918932101</v>
      </c>
      <c r="P37" s="403">
        <f ca="1"/>
        <v>0.76328939184528499</v>
      </c>
      <c r="Q37" s="403">
        <f ca="1"/>
        <v>0.31510369691876</v>
      </c>
      <c r="R37" s="441">
        <f ca="1"/>
        <v>0.31510369691876</v>
      </c>
      <c r="S37" s="433"/>
      <c r="T37" s="412" cm="1">
        <f t="array" aca="1" ref="T37:X37" ca="1">IF(AND($U$12,B61&lt;=$C$17,C61&lt;&gt;""),TRANSPOSE(INDEX(getcds(C61,$C$6,G61/10000,F61,D61,$C$13,$C$14,$C$15,$C$8,,,TRUE,TRUE,FALSE,$C$29:$C$31,$C$33),{1;2;3;4;5})),"")</f>
        <v>-1.3988833521352601E-2</v>
      </c>
      <c r="U37" s="413">
        <f ca="1"/>
        <v>3.2926414405901397E-2</v>
      </c>
      <c r="V37" s="413">
        <f ca="1"/>
        <v>4.6915247927254003E-2</v>
      </c>
      <c r="W37" s="414">
        <f ca="1"/>
        <v>7.0182756908705899E-3</v>
      </c>
      <c r="X37" s="415">
        <f ca="1"/>
        <v>4.6915247927254002</v>
      </c>
      <c r="Y37" s="416">
        <f t="shared" ca="1" si="4"/>
        <v>5.3457106073324885E-2</v>
      </c>
      <c r="Z37" s="417">
        <f t="shared" ca="1" si="2"/>
        <v>-1.7601508275105215E-3</v>
      </c>
      <c r="AA37" s="416">
        <f t="shared" ca="1" si="0"/>
        <v>5.8438367195504333E-2</v>
      </c>
      <c r="AB37" s="418">
        <f t="shared" ca="1" si="1"/>
        <v>6.6673619063270604E-3</v>
      </c>
      <c r="AC37" s="417">
        <f t="shared" ca="1" si="3"/>
        <v>-9.6208294774170376E-5</v>
      </c>
      <c r="AD37" s="220"/>
      <c r="AE37" s="220"/>
    </row>
    <row r="38" spans="1:31" customFormat="1" ht="15" thickBot="1">
      <c r="A38" s="220"/>
      <c r="B38" s="265" t="s">
        <v>460</v>
      </c>
      <c r="C38" s="243" t="s">
        <v>80</v>
      </c>
      <c r="D38" s="243" t="s">
        <v>473</v>
      </c>
      <c r="E38" s="243" t="s">
        <v>474</v>
      </c>
      <c r="F38" s="243" t="s">
        <v>85</v>
      </c>
      <c r="G38" s="243" t="s">
        <v>434</v>
      </c>
      <c r="H38" s="377">
        <v>24</v>
      </c>
      <c r="I38" s="403">
        <f ca="1"/>
        <v>7.2098792738703999E-5</v>
      </c>
      <c r="J38" s="403">
        <f ca="1"/>
        <v>4.74979087688863E-4</v>
      </c>
      <c r="K38" s="403">
        <f ca="1"/>
        <v>0.15179361493475399</v>
      </c>
      <c r="L38" s="403">
        <f ca="1"/>
        <v>0.15179361493475399</v>
      </c>
      <c r="M38" s="403">
        <f ca="1"/>
        <v>-8.9578564454415597E-5</v>
      </c>
      <c r="N38" s="403" t="str">
        <f ca="1"/>
        <v>MERCEDES-BENZ GROUP AG</v>
      </c>
      <c r="O38" s="403">
        <f ca="1"/>
        <v>0.242222947130282</v>
      </c>
      <c r="P38" s="403">
        <f ca="1"/>
        <v>0.77222320039527204</v>
      </c>
      <c r="Q38" s="403">
        <f ca="1"/>
        <v>0.31366960615311401</v>
      </c>
      <c r="R38" s="441">
        <f ca="1"/>
        <v>0.31366960615311401</v>
      </c>
      <c r="S38" s="433"/>
      <c r="T38" s="412" cm="1">
        <f t="array" aca="1" ref="T38:X38" ca="1">IF(AND($U$12,B62&lt;=$C$17,C62&lt;&gt;""),TRANSPOSE(INDEX(getcds(C62,$C$6,G62/10000,F62,D62,$C$13,$C$14,$C$15,$C$8,,,TRUE,TRUE,FALSE,$C$29:$C$31,$C$33),{1;2;3;4;5})),"")</f>
        <v>-2.3392842521339201E-2</v>
      </c>
      <c r="U38" s="413">
        <f ca="1"/>
        <v>2.37400740990775E-2</v>
      </c>
      <c r="V38" s="413">
        <f ca="1"/>
        <v>4.7132916620416701E-2</v>
      </c>
      <c r="W38" s="414">
        <f ca="1"/>
        <v>5.0368353586660699E-3</v>
      </c>
      <c r="X38" s="415">
        <f ca="1"/>
        <v>4.7132916620416703</v>
      </c>
      <c r="Y38" s="416">
        <f t="shared" ca="1" si="4"/>
        <v>5.3457106073324885E-2</v>
      </c>
      <c r="Z38" s="417">
        <f t="shared" ca="1" si="2"/>
        <v>-1.2690756593029761E-3</v>
      </c>
      <c r="AA38" s="416">
        <f t="shared" ca="1" si="0"/>
        <v>5.0597871644917997E-2</v>
      </c>
      <c r="AB38" s="418">
        <f t="shared" ca="1" si="1"/>
        <v>4.7849935907327661E-3</v>
      </c>
      <c r="AC38" s="417">
        <f t="shared" ca="1" si="3"/>
        <v>-6.0059861105298234E-5</v>
      </c>
      <c r="AD38" s="220"/>
      <c r="AE38" s="220"/>
    </row>
    <row r="39" spans="1:31" customFormat="1" ht="14.5">
      <c r="A39" s="220"/>
      <c r="B39" s="266">
        <v>1</v>
      </c>
      <c r="C39" s="62" t="s">
        <v>510</v>
      </c>
      <c r="D39" s="244">
        <f ca="1">100/95</f>
        <v>1.0526315789473684</v>
      </c>
      <c r="E39" s="238"/>
      <c r="F39" s="225">
        <v>0.4</v>
      </c>
      <c r="G39" s="425">
        <v>100</v>
      </c>
      <c r="H39" s="377">
        <v>25</v>
      </c>
      <c r="I39" s="403">
        <f ca="1"/>
        <v>9.8648834974988099E-5</v>
      </c>
      <c r="J39" s="403">
        <f ca="1"/>
        <v>4.5017394361628998E-4</v>
      </c>
      <c r="K39" s="403">
        <f ca="1"/>
        <v>0.219134928562352</v>
      </c>
      <c r="L39" s="403">
        <f ca="1"/>
        <v>0.219134928562352</v>
      </c>
      <c r="M39" s="403">
        <f ca="1"/>
        <v>-1.3303997073906199E-4</v>
      </c>
      <c r="N39" s="403" t="str">
        <f ca="1"/>
        <v>POSTNL N.V.</v>
      </c>
      <c r="O39" s="403">
        <f ca="1"/>
        <v>0.23402804744518699</v>
      </c>
      <c r="P39" s="403">
        <f ca="1"/>
        <v>0.736539008462337</v>
      </c>
      <c r="Q39" s="403">
        <f ca="1"/>
        <v>0.31774019401058501</v>
      </c>
      <c r="R39" s="441">
        <f ca="1"/>
        <v>0.31774019401058501</v>
      </c>
      <c r="S39" s="433"/>
      <c r="T39" s="412" cm="1">
        <f t="array" aca="1" ref="T39:X39" ca="1">IF(AND($U$12,B63&lt;=$C$17,C63&lt;&gt;""),TRANSPOSE(INDEX(getcds(C63,$C$6,G63/10000,F63,D63,$C$13,$C$14,$C$15,$C$8,,,TRUE,TRUE,FALSE,$C$29:$C$31,$C$33),{1;2;3;4;5})),"")</f>
        <v>1.41694647764877E-2</v>
      </c>
      <c r="U39" s="413">
        <f ca="1"/>
        <v>6.01314678531088E-2</v>
      </c>
      <c r="V39" s="413">
        <f ca="1"/>
        <v>4.59620030766211E-2</v>
      </c>
      <c r="W39" s="414">
        <f ca="1"/>
        <v>1.30828649379938E-2</v>
      </c>
      <c r="X39" s="415">
        <f ca="1"/>
        <v>4.5962003076621096</v>
      </c>
      <c r="Y39" s="416">
        <f t="shared" ca="1" si="4"/>
        <v>5.3457106073324885E-2</v>
      </c>
      <c r="Z39" s="417">
        <f t="shared" ca="1" si="2"/>
        <v>-3.2144542553683695E-3</v>
      </c>
      <c r="AA39" s="416">
        <f t="shared" ca="1" si="0"/>
        <v>7.3044976187450664E-2</v>
      </c>
      <c r="AB39" s="418">
        <f t="shared" ca="1" si="1"/>
        <v>1.2428721691094109E-2</v>
      </c>
      <c r="AC39" s="417">
        <f t="shared" ca="1" si="3"/>
        <v>-2.196150818723402E-4</v>
      </c>
      <c r="AD39" s="220"/>
      <c r="AE39" s="220"/>
    </row>
    <row r="40" spans="1:31" customFormat="1" ht="14.5">
      <c r="A40" s="220"/>
      <c r="B40" s="267">
        <v>2</v>
      </c>
      <c r="C40" s="68" t="s">
        <v>511</v>
      </c>
      <c r="D40" s="246">
        <f t="shared" ref="D40:D103" ca="1" si="5">100/95</f>
        <v>1.0526315789473684</v>
      </c>
      <c r="E40" s="238"/>
      <c r="F40" s="225">
        <v>0.4</v>
      </c>
      <c r="G40" s="425">
        <v>100</v>
      </c>
      <c r="H40" s="377">
        <v>26</v>
      </c>
      <c r="I40" s="403">
        <f ca="1"/>
        <v>7.5224060780865201E-5</v>
      </c>
      <c r="J40" s="403">
        <f ca="1"/>
        <v>4.61498810852042E-4</v>
      </c>
      <c r="K40" s="403">
        <f ca="1"/>
        <v>0.162999468280282</v>
      </c>
      <c r="L40" s="403">
        <f ca="1"/>
        <v>0.162999468280282</v>
      </c>
      <c r="M40" s="403">
        <f ca="1"/>
        <v>-1.0075925523290101E-4</v>
      </c>
      <c r="N40" s="403" t="str">
        <f ca="1"/>
        <v>RENTOKIL INITIAL PLC</v>
      </c>
      <c r="O40" s="403">
        <f ca="1"/>
        <v>0.241491959213744</v>
      </c>
      <c r="P40" s="403">
        <f ca="1"/>
        <v>0.76820802266730803</v>
      </c>
      <c r="Q40" s="403">
        <f ca="1"/>
        <v>0.31435750745645102</v>
      </c>
      <c r="R40" s="441">
        <f ca="1"/>
        <v>0.31435750745645102</v>
      </c>
      <c r="S40" s="433"/>
      <c r="T40" s="412" cm="1">
        <f t="array" aca="1" ref="T40:X40" ca="1">IF(AND($U$12,B64&lt;=$C$17,C64&lt;&gt;""),TRANSPOSE(INDEX(getcds(C64,$C$6,G64/10000,F64,D64,$C$13,$C$14,$C$15,$C$8,,,TRUE,TRUE,FALSE,$C$29:$C$31,$C$33),{1;2;3;4;5})),"")</f>
        <v>-1.9166339649797599E-2</v>
      </c>
      <c r="U40" s="413">
        <f ca="1"/>
        <v>2.7824215261269498E-2</v>
      </c>
      <c r="V40" s="413">
        <f ca="1"/>
        <v>4.6990554911067101E-2</v>
      </c>
      <c r="W40" s="414">
        <f ca="1"/>
        <v>5.9212357278880298E-3</v>
      </c>
      <c r="X40" s="415">
        <f ca="1"/>
        <v>4.6990554911067104</v>
      </c>
      <c r="Y40" s="416">
        <f t="shared" ca="1" si="4"/>
        <v>5.3457106073324885E-2</v>
      </c>
      <c r="Z40" s="417">
        <f t="shared" ca="1" si="2"/>
        <v>-1.4874020266287078E-3</v>
      </c>
      <c r="AA40" s="416">
        <f t="shared" ca="1" si="0"/>
        <v>5.4333156093427336E-2</v>
      </c>
      <c r="AB40" s="418">
        <f t="shared" ca="1" si="1"/>
        <v>5.6251739414936277E-3</v>
      </c>
      <c r="AC40" s="417">
        <f t="shared" ca="1" si="3"/>
        <v>-7.5588871548384049E-5</v>
      </c>
      <c r="AD40" s="220"/>
      <c r="AE40" s="220"/>
    </row>
    <row r="41" spans="1:31" customFormat="1" ht="12.75" customHeight="1">
      <c r="A41" s="220"/>
      <c r="B41" s="267">
        <v>3</v>
      </c>
      <c r="C41" s="68" t="s">
        <v>529</v>
      </c>
      <c r="D41" s="246">
        <f t="shared" ca="1" si="5"/>
        <v>1.0526315789473684</v>
      </c>
      <c r="E41" s="238"/>
      <c r="F41" s="225">
        <v>0.4</v>
      </c>
      <c r="G41" s="425">
        <v>100</v>
      </c>
      <c r="H41" s="377">
        <v>27</v>
      </c>
      <c r="I41" s="403">
        <f ca="1"/>
        <v>6.1040054869392299E-5</v>
      </c>
      <c r="J41" s="403">
        <f ca="1"/>
        <v>4.81227408403541E-4</v>
      </c>
      <c r="K41" s="403">
        <f ca="1"/>
        <v>0.12684243208817</v>
      </c>
      <c r="L41" s="403">
        <f ca="1"/>
        <v>0.12684243208817</v>
      </c>
      <c r="M41" s="403">
        <f ca="1"/>
        <v>-6.4542927516733102E-5</v>
      </c>
      <c r="N41" s="403" t="str">
        <f ca="1"/>
        <v>SANOFI</v>
      </c>
      <c r="O41" s="403">
        <f ca="1"/>
        <v>0.243365976653517</v>
      </c>
      <c r="P41" s="403">
        <f ca="1"/>
        <v>0.77941907208802397</v>
      </c>
      <c r="Q41" s="403">
        <f ca="1"/>
        <v>0.31224021244637001</v>
      </c>
      <c r="R41" s="441">
        <f ca="1"/>
        <v>0.31224021244637001</v>
      </c>
      <c r="S41" s="433"/>
      <c r="T41" s="412" cm="1">
        <f t="array" aca="1" ref="T41:X41" ca="1">IF(AND($U$12,B65&lt;=$C$17,C65&lt;&gt;""),TRANSPOSE(INDEX(getcds(C65,$C$6,G65/10000,F65,D65,$C$13,$C$14,$C$15,$C$8,,,TRUE,TRUE,FALSE,$C$29:$C$31,$C$33),{1;2;3;4;5})),"")</f>
        <v>-3.0967444303183499E-2</v>
      </c>
      <c r="U41" s="413">
        <f ca="1"/>
        <v>1.63533891804853E-2</v>
      </c>
      <c r="V41" s="413">
        <f ca="1"/>
        <v>4.7320833483668799E-2</v>
      </c>
      <c r="W41" s="414">
        <f ca="1"/>
        <v>3.4558540026834198E-3</v>
      </c>
      <c r="X41" s="415">
        <f ca="1"/>
        <v>4.7320833483668796</v>
      </c>
      <c r="Y41" s="416">
        <f t="shared" ca="1" si="4"/>
        <v>5.3457106073324885E-2</v>
      </c>
      <c r="Z41" s="417">
        <f t="shared" ca="1" si="2"/>
        <v>-8.7420486007956308E-4</v>
      </c>
      <c r="AA41" s="416">
        <f t="shared" ca="1" si="0"/>
        <v>4.2280810696056666E-2</v>
      </c>
      <c r="AB41" s="418">
        <f t="shared" ca="1" si="1"/>
        <v>3.2830613025492486E-3</v>
      </c>
      <c r="AC41" s="417">
        <f t="shared" ca="1" si="3"/>
        <v>-3.4571727608951949E-5</v>
      </c>
      <c r="AD41" s="220"/>
      <c r="AE41" s="220"/>
    </row>
    <row r="42" spans="1:31" customFormat="1" ht="14.5">
      <c r="A42" s="220"/>
      <c r="B42" s="267">
        <v>4</v>
      </c>
      <c r="C42" s="68" t="s">
        <v>609</v>
      </c>
      <c r="D42" s="246">
        <f t="shared" ca="1" si="5"/>
        <v>1.0526315789473684</v>
      </c>
      <c r="E42" s="238"/>
      <c r="F42" s="225">
        <v>0.4</v>
      </c>
      <c r="G42" s="425">
        <v>100</v>
      </c>
      <c r="H42" s="377">
        <v>28</v>
      </c>
      <c r="I42" s="403">
        <f ca="1"/>
        <v>6.2295113943200496E-5</v>
      </c>
      <c r="J42" s="403">
        <f ca="1"/>
        <v>4.8044540140995299E-4</v>
      </c>
      <c r="K42" s="403">
        <f ca="1"/>
        <v>0.12966117223806101</v>
      </c>
      <c r="L42" s="403">
        <f ca="1"/>
        <v>0.12966117223806101</v>
      </c>
      <c r="M42" s="403">
        <f ca="1"/>
        <v>-6.7162171319246094E-5</v>
      </c>
      <c r="N42" s="403" t="str">
        <f ca="1"/>
        <v>SIEMENS AKTIENGESELLSCHAFT</v>
      </c>
      <c r="O42" s="403">
        <f ca="1"/>
        <v>0.24325619649084801</v>
      </c>
      <c r="P42" s="403">
        <f ca="1"/>
        <v>0.77866869008580497</v>
      </c>
      <c r="Q42" s="403">
        <f ca="1"/>
        <v>0.31240012548089302</v>
      </c>
      <c r="R42" s="441">
        <f ca="1"/>
        <v>0.31240012548089302</v>
      </c>
      <c r="S42" s="433"/>
      <c r="T42" s="412" cm="1">
        <f t="array" aca="1" ref="T42:X42" ca="1">IF(AND($U$12,B66&lt;=$C$17,C66&lt;&gt;""),TRANSPOSE(INDEX(getcds(C66,$C$6,G66/10000,F66,D66,$C$13,$C$14,$C$15,$C$8,,,TRUE,TRUE,FALSE,$C$29:$C$31,$C$33),{1;2;3;4;5})),"")</f>
        <v>-3.0177568511373602E-2</v>
      </c>
      <c r="U42" s="413">
        <f ca="1"/>
        <v>1.7094314393547999E-2</v>
      </c>
      <c r="V42" s="413">
        <f ca="1"/>
        <v>4.7271882904921597E-2</v>
      </c>
      <c r="W42" s="414">
        <f ca="1"/>
        <v>3.6161695585365098E-3</v>
      </c>
      <c r="X42" s="415">
        <f ca="1"/>
        <v>4.72718829049216</v>
      </c>
      <c r="Y42" s="416">
        <f t="shared" ca="1" si="4"/>
        <v>5.3457106073324885E-2</v>
      </c>
      <c r="Z42" s="417">
        <f t="shared" ca="1" si="2"/>
        <v>-9.138125777866594E-4</v>
      </c>
      <c r="AA42" s="416">
        <f t="shared" ca="1" si="0"/>
        <v>4.3220390746020333E-2</v>
      </c>
      <c r="AB42" s="418">
        <f t="shared" ca="1" si="1"/>
        <v>3.4353610806096843E-3</v>
      </c>
      <c r="AC42" s="417">
        <f t="shared" ca="1" si="3"/>
        <v>-3.6941147381223183E-5</v>
      </c>
      <c r="AD42" s="220"/>
      <c r="AE42" s="220"/>
    </row>
    <row r="43" spans="1:31" customFormat="1" ht="14.5">
      <c r="A43" s="220"/>
      <c r="B43" s="267">
        <v>5</v>
      </c>
      <c r="C43" s="68" t="s">
        <v>512</v>
      </c>
      <c r="D43" s="246">
        <f t="shared" ca="1" si="5"/>
        <v>1.0526315789473684</v>
      </c>
      <c r="E43" s="238"/>
      <c r="F43" s="225">
        <v>0.4</v>
      </c>
      <c r="G43" s="425">
        <v>100</v>
      </c>
      <c r="H43" s="377">
        <v>29</v>
      </c>
      <c r="I43" s="403">
        <f ca="1"/>
        <v>7.2119113065187697E-5</v>
      </c>
      <c r="J43" s="403">
        <f ca="1"/>
        <v>4.7484267478361798E-4</v>
      </c>
      <c r="K43" s="403">
        <f ca="1"/>
        <v>0.15188001604542301</v>
      </c>
      <c r="L43" s="403">
        <f ca="1"/>
        <v>0.15188001604542301</v>
      </c>
      <c r="M43" s="403">
        <f ca="1"/>
        <v>-8.9549516788533997E-5</v>
      </c>
      <c r="N43" s="403" t="str">
        <f ca="1"/>
        <v>SMURFIT KAPPA ACQUISITIONS UNLIMITED COMPANY</v>
      </c>
      <c r="O43" s="403">
        <f ca="1"/>
        <v>0.24221203950525699</v>
      </c>
      <c r="P43" s="403">
        <f ca="1"/>
        <v>0.77216271220944699</v>
      </c>
      <c r="Q43" s="403">
        <f ca="1"/>
        <v>0.31368005172406899</v>
      </c>
      <c r="R43" s="441">
        <f ca="1"/>
        <v>0.31368005172406899</v>
      </c>
      <c r="S43" s="433"/>
      <c r="T43" s="412" cm="1">
        <f t="array" aca="1" ref="T43:X43" ca="1">IF(AND($U$12,B67&lt;=$C$17,C67&lt;&gt;""),TRANSPOSE(INDEX(getcds(C67,$C$6,G67/10000,F67,D67,$C$13,$C$14,$C$15,$C$8,,,TRUE,TRUE,FALSE,$C$29:$C$31,$C$33),{1;2;3;4;5})),"")</f>
        <v>-2.33291707467859E-2</v>
      </c>
      <c r="U43" s="413">
        <f ca="1"/>
        <v>2.3775663548232202E-2</v>
      </c>
      <c r="V43" s="413">
        <f ca="1"/>
        <v>4.7104834295018098E-2</v>
      </c>
      <c r="W43" s="414">
        <f ca="1"/>
        <v>5.0473935221435999E-3</v>
      </c>
      <c r="X43" s="415">
        <f ca="1"/>
        <v>4.7104834295018101</v>
      </c>
      <c r="Y43" s="416">
        <f t="shared" ca="1" si="4"/>
        <v>5.3457106073324885E-2</v>
      </c>
      <c r="Z43" s="417">
        <f t="shared" ca="1" si="2"/>
        <v>-1.2709781682615328E-3</v>
      </c>
      <c r="AA43" s="416">
        <f t="shared" ca="1" si="0"/>
        <v>5.0626672015141004E-2</v>
      </c>
      <c r="AB43" s="418">
        <f t="shared" ca="1" si="1"/>
        <v>4.7950238460364196E-3</v>
      </c>
      <c r="AC43" s="417">
        <f t="shared" ca="1" si="3"/>
        <v>-6.018413601993485E-5</v>
      </c>
      <c r="AD43" s="220"/>
      <c r="AE43" s="220"/>
    </row>
    <row r="44" spans="1:31" customFormat="1" ht="14.5">
      <c r="A44" s="220"/>
      <c r="B44" s="267">
        <v>6</v>
      </c>
      <c r="C44" s="68" t="s">
        <v>513</v>
      </c>
      <c r="D44" s="246">
        <f t="shared" ca="1" si="5"/>
        <v>1.0526315789473684</v>
      </c>
      <c r="E44" s="238"/>
      <c r="F44" s="225">
        <v>0.4</v>
      </c>
      <c r="G44" s="425">
        <v>100</v>
      </c>
      <c r="H44" s="377">
        <v>30</v>
      </c>
      <c r="I44" s="403">
        <f ca="1"/>
        <v>8.5622451227695997E-5</v>
      </c>
      <c r="J44" s="403">
        <f ca="1"/>
        <v>4.5189415514572E-4</v>
      </c>
      <c r="K44" s="403">
        <f ca="1"/>
        <v>0.189474571097486</v>
      </c>
      <c r="L44" s="403">
        <f ca="1"/>
        <v>0.189474571097486</v>
      </c>
      <c r="M44" s="403">
        <f ca="1"/>
        <v>-1.23993230798669E-4</v>
      </c>
      <c r="N44" s="403" t="str">
        <f ca="1"/>
        <v>SOLVAY</v>
      </c>
      <c r="O44" s="403">
        <f ca="1"/>
        <v>0.239010442560461</v>
      </c>
      <c r="P44" s="403">
        <f ca="1"/>
        <v>0.75633404232150803</v>
      </c>
      <c r="Q44" s="403">
        <f ca="1"/>
        <v>0.31601174770189799</v>
      </c>
      <c r="R44" s="441">
        <f ca="1"/>
        <v>0.31601174770189799</v>
      </c>
      <c r="S44" s="433"/>
      <c r="T44" s="412" cm="1">
        <f t="array" aca="1" ref="T44:X44" ca="1">IF(AND($U$12,B68&lt;=$C$17,C68&lt;&gt;""),TRANSPOSE(INDEX(getcds(C68,$C$6,G68/10000,F68,D68,$C$13,$C$14,$C$15,$C$8,,,TRUE,TRUE,FALSE,$C$29:$C$31,$C$33),{1;2;3;4;5})),"")</f>
        <v>-6.6674129700087003E-3</v>
      </c>
      <c r="U44" s="413">
        <f ca="1"/>
        <v>3.9937303780230998E-2</v>
      </c>
      <c r="V44" s="413">
        <f ca="1"/>
        <v>4.6604716750239701E-2</v>
      </c>
      <c r="W44" s="414">
        <f ca="1"/>
        <v>8.5693694898436798E-3</v>
      </c>
      <c r="X44" s="415">
        <f ca="1"/>
        <v>4.6604716750239703</v>
      </c>
      <c r="Y44" s="416">
        <f t="shared" ca="1" si="4"/>
        <v>5.3457106073324885E-2</v>
      </c>
      <c r="Z44" s="417">
        <f t="shared" ca="1" si="2"/>
        <v>-2.1349326844624116E-3</v>
      </c>
      <c r="AA44" s="416">
        <f t="shared" ca="1" si="0"/>
        <v>6.3158190365828662E-2</v>
      </c>
      <c r="AB44" s="418">
        <f t="shared" ca="1" si="1"/>
        <v>8.1409010153514951E-3</v>
      </c>
      <c r="AC44" s="417">
        <f t="shared" ca="1" si="3"/>
        <v>-1.2611839174248837E-4</v>
      </c>
      <c r="AD44" s="220"/>
      <c r="AE44" s="220"/>
    </row>
    <row r="45" spans="1:31" customFormat="1" ht="14.5">
      <c r="A45" s="220"/>
      <c r="B45" s="267">
        <v>7</v>
      </c>
      <c r="C45" s="68" t="s">
        <v>514</v>
      </c>
      <c r="D45" s="246">
        <f t="shared" ca="1" si="5"/>
        <v>1.0526315789473684</v>
      </c>
      <c r="E45" s="238"/>
      <c r="F45" s="225">
        <v>0.4</v>
      </c>
      <c r="G45" s="425">
        <v>100</v>
      </c>
      <c r="H45" s="377">
        <v>31</v>
      </c>
      <c r="I45" s="403">
        <f ca="1"/>
        <v>9.4378608086656004E-5</v>
      </c>
      <c r="J45" s="403">
        <f ca="1"/>
        <v>4.58652192621236E-4</v>
      </c>
      <c r="K45" s="403">
        <f ca="1"/>
        <v>0.20577380770224701</v>
      </c>
      <c r="L45" s="403">
        <f ca="1"/>
        <v>0.20577380770224701</v>
      </c>
      <c r="M45" s="403">
        <f ca="1"/>
        <v>-1.33022858273421E-4</v>
      </c>
      <c r="N45" s="403" t="str">
        <f ca="1"/>
        <v>STELLANTIS N.V.</v>
      </c>
      <c r="O45" s="403">
        <f ca="1"/>
        <v>0.23672422774882201</v>
      </c>
      <c r="P45" s="403">
        <f ca="1"/>
        <v>0.746829100690653</v>
      </c>
      <c r="Q45" s="403">
        <f ca="1"/>
        <v>0.31697242050410701</v>
      </c>
      <c r="R45" s="441">
        <f ca="1"/>
        <v>0.31697242050410701</v>
      </c>
      <c r="S45" s="433"/>
      <c r="T45" s="412" cm="1">
        <f t="array" aca="1" ref="T45:X45" ca="1">IF(AND($U$12,B69&lt;=$C$17,C69&lt;&gt;""),TRANSPOSE(INDEX(getcds(C69,$C$6,G69/10000,F69,D69,$C$13,$C$14,$C$15,$C$8,,,TRUE,TRUE,FALSE,$C$29:$C$31,$C$33),{1;2;3;4;5})),"")</f>
        <v>3.3377887466808998E-3</v>
      </c>
      <c r="U45" s="413">
        <f ca="1"/>
        <v>4.9718474269486897E-2</v>
      </c>
      <c r="V45" s="413">
        <f ca="1"/>
        <v>4.6380685522805998E-2</v>
      </c>
      <c r="W45" s="414">
        <f ca="1"/>
        <v>1.07196505849487E-2</v>
      </c>
      <c r="X45" s="415">
        <f ca="1"/>
        <v>4.6380685522806004</v>
      </c>
      <c r="Y45" s="416">
        <f t="shared" ca="1" si="4"/>
        <v>5.3457106073324885E-2</v>
      </c>
      <c r="Z45" s="417">
        <f t="shared" ca="1" si="2"/>
        <v>-2.6578057528278353E-3</v>
      </c>
      <c r="AA45" s="416">
        <f t="shared" ca="1" si="0"/>
        <v>6.8591269234082333E-2</v>
      </c>
      <c r="AB45" s="418">
        <f t="shared" ca="1" si="1"/>
        <v>1.0183668055701265E-2</v>
      </c>
      <c r="AC45" s="417">
        <f t="shared" ca="1" si="3"/>
        <v>-1.7051266272630853E-4</v>
      </c>
      <c r="AD45" s="220"/>
      <c r="AE45" s="220"/>
    </row>
    <row r="46" spans="1:31" customFormat="1" ht="14.5">
      <c r="A46" s="220"/>
      <c r="B46" s="267">
        <v>8</v>
      </c>
      <c r="C46" s="68" t="s">
        <v>515</v>
      </c>
      <c r="D46" s="246">
        <f t="shared" ca="1" si="5"/>
        <v>1.0526315789473684</v>
      </c>
      <c r="E46" s="238"/>
      <c r="F46" s="225">
        <v>0.4</v>
      </c>
      <c r="G46" s="425">
        <v>100</v>
      </c>
      <c r="H46" s="377">
        <v>32</v>
      </c>
      <c r="I46" s="403">
        <f ca="1"/>
        <v>8.5461133661857096E-5</v>
      </c>
      <c r="J46" s="403">
        <f ca="1"/>
        <v>4.5208660306117601E-4</v>
      </c>
      <c r="K46" s="403">
        <f ca="1"/>
        <v>0.18903708511418199</v>
      </c>
      <c r="L46" s="403">
        <f ca="1"/>
        <v>0.18903708511418199</v>
      </c>
      <c r="M46" s="403">
        <f ca="1"/>
        <v>-1.2376895902523001E-4</v>
      </c>
      <c r="N46" s="403" t="str">
        <f ca="1"/>
        <v>STORA ENSO OYJ</v>
      </c>
      <c r="O46" s="403">
        <f ca="1"/>
        <v>0.239068960925964</v>
      </c>
      <c r="P46" s="403">
        <f ca="1"/>
        <v>0.75659777934258199</v>
      </c>
      <c r="Q46" s="403">
        <f ca="1"/>
        <v>0.31597893551008599</v>
      </c>
      <c r="R46" s="441">
        <f ca="1"/>
        <v>0.31597893551008599</v>
      </c>
      <c r="S46" s="433"/>
      <c r="T46" s="412" cm="1">
        <f t="array" aca="1" ref="T46:X46" ca="1">IF(AND($U$12,B70&lt;=$C$17,C70&lt;&gt;""),TRANSPOSE(INDEX(getcds(C70,$C$6,G70/10000,F70,D70,$C$13,$C$14,$C$15,$C$8,,,TRUE,TRUE,FALSE,$C$29:$C$31,$C$33),{1;2;3;4;5})),"")</f>
        <v>-6.9450308869284001E-3</v>
      </c>
      <c r="U46" s="413">
        <f ca="1"/>
        <v>3.9688260710556901E-2</v>
      </c>
      <c r="V46" s="413">
        <f ca="1"/>
        <v>4.6633291597485298E-2</v>
      </c>
      <c r="W46" s="414">
        <f ca="1"/>
        <v>8.5107139880079095E-3</v>
      </c>
      <c r="X46" s="415">
        <f ca="1"/>
        <v>4.66332915974853</v>
      </c>
      <c r="Y46" s="416">
        <f t="shared" ca="1" si="4"/>
        <v>5.3457106073324885E-2</v>
      </c>
      <c r="Z46" s="417">
        <f t="shared" ca="1" si="2"/>
        <v>-2.1216195626700173E-3</v>
      </c>
      <c r="AA46" s="416">
        <f t="shared" ca="1" si="0"/>
        <v>6.3012361704727335E-2</v>
      </c>
      <c r="AB46" s="418">
        <f t="shared" ca="1" si="1"/>
        <v>8.085178288607513E-3</v>
      </c>
      <c r="AC46" s="417">
        <f t="shared" ca="1" si="3"/>
        <v>-1.2504255196625706E-4</v>
      </c>
      <c r="AD46" s="220"/>
      <c r="AE46" s="220"/>
    </row>
    <row r="47" spans="1:31" customFormat="1" ht="14.5">
      <c r="A47" s="220"/>
      <c r="B47" s="267">
        <v>9</v>
      </c>
      <c r="C47" s="68" t="s">
        <v>530</v>
      </c>
      <c r="D47" s="246">
        <f t="shared" ca="1" si="5"/>
        <v>1.0526315789473684</v>
      </c>
      <c r="E47" s="238"/>
      <c r="F47" s="225">
        <v>0.4</v>
      </c>
      <c r="G47" s="425">
        <v>100</v>
      </c>
      <c r="H47" s="377">
        <v>33</v>
      </c>
      <c r="I47" s="403">
        <f ca="1"/>
        <v>9.8121095190317805E-5</v>
      </c>
      <c r="J47" s="403">
        <f ca="1"/>
        <v>4.5308293522027101E-4</v>
      </c>
      <c r="K47" s="403">
        <f ca="1"/>
        <v>0.216563210756581</v>
      </c>
      <c r="L47" s="403">
        <f ca="1"/>
        <v>0.216563210756581</v>
      </c>
      <c r="M47" s="403">
        <f ca="1"/>
        <v>-1.3421551204267099E-4</v>
      </c>
      <c r="N47" s="403" t="str">
        <f ca="1"/>
        <v>UNIBAIL-RODAMCO-WESTFIELD SE</v>
      </c>
      <c r="O47" s="403">
        <f ca="1"/>
        <v>0.2346530928002</v>
      </c>
      <c r="P47" s="403">
        <f ca="1"/>
        <v>0.73890709062208604</v>
      </c>
      <c r="Q47" s="403">
        <f ca="1"/>
        <v>0.317567791375023</v>
      </c>
      <c r="R47" s="441">
        <f ca="1"/>
        <v>0.317567791375023</v>
      </c>
      <c r="S47" s="433"/>
      <c r="T47" s="412" cm="1">
        <f t="array" aca="1" ref="T47:X47" ca="1">IF(AND($U$12,B71&lt;=$C$17,C71&lt;&gt;""),TRANSPOSE(INDEX(getcds(C71,$C$6,G71/10000,F71,D71,$C$13,$C$14,$C$15,$C$8,,,TRUE,TRUE,FALSE,$C$29:$C$31,$C$33),{1;2;3;4;5})),"")</f>
        <v>1.1676746713593301E-2</v>
      </c>
      <c r="U47" s="413">
        <f ca="1"/>
        <v>5.78384221015667E-2</v>
      </c>
      <c r="V47" s="413">
        <f ca="1"/>
        <v>4.6161675387973403E-2</v>
      </c>
      <c r="W47" s="414">
        <f ca="1"/>
        <v>1.2529532694698401E-2</v>
      </c>
      <c r="X47" s="415">
        <f ca="1"/>
        <v>4.61616753879734</v>
      </c>
      <c r="Y47" s="416">
        <f t="shared" ca="1" si="4"/>
        <v>5.3457106073324885E-2</v>
      </c>
      <c r="Z47" s="417">
        <f t="shared" ca="1" si="2"/>
        <v>-3.0918746653971906E-3</v>
      </c>
      <c r="AA47" s="416">
        <f t="shared" ca="1" si="0"/>
        <v>7.2187736918860337E-2</v>
      </c>
      <c r="AB47" s="418">
        <f t="shared" ca="1" si="1"/>
        <v>1.1903056059963481E-2</v>
      </c>
      <c r="AC47" s="417">
        <f t="shared" ca="1" si="3"/>
        <v>-2.0876123992349477E-4</v>
      </c>
      <c r="AD47" s="220"/>
      <c r="AE47" s="220"/>
    </row>
    <row r="48" spans="1:31" customFormat="1" ht="14.5">
      <c r="A48" s="220"/>
      <c r="B48" s="267">
        <v>10</v>
      </c>
      <c r="C48" s="68" t="s">
        <v>531</v>
      </c>
      <c r="D48" s="246">
        <f t="shared" ca="1" si="5"/>
        <v>1.0526315789473684</v>
      </c>
      <c r="E48" s="238"/>
      <c r="F48" s="225">
        <v>0.4</v>
      </c>
      <c r="G48" s="425">
        <v>100</v>
      </c>
      <c r="H48" s="377">
        <v>34</v>
      </c>
      <c r="I48" s="403">
        <f ca="1"/>
        <v>5.93037331355495E-5</v>
      </c>
      <c r="J48" s="403">
        <f ca="1"/>
        <v>4.8203074076475302E-4</v>
      </c>
      <c r="K48" s="403">
        <f ca="1"/>
        <v>0.123028944256673</v>
      </c>
      <c r="L48" s="403">
        <f ca="1"/>
        <v>0.123028944256673</v>
      </c>
      <c r="M48" s="403">
        <f ca="1"/>
        <v>-6.09016090021353E-5</v>
      </c>
      <c r="N48" s="403" t="str">
        <f ca="1"/>
        <v>VINCI</v>
      </c>
      <c r="O48" s="403">
        <f ca="1"/>
        <v>0.24349812373789401</v>
      </c>
      <c r="P48" s="403">
        <f ca="1"/>
        <v>0.78036140737390403</v>
      </c>
      <c r="Q48" s="403">
        <f ca="1"/>
        <v>0.31203250370532998</v>
      </c>
      <c r="R48" s="441">
        <f ca="1"/>
        <v>0.31203250370532998</v>
      </c>
      <c r="S48" s="433"/>
      <c r="T48" s="412" cm="1">
        <f t="array" aca="1" ref="T48:X48" ca="1">IF(AND($U$12,B72&lt;=$C$17,C72&lt;&gt;""),TRANSPOSE(INDEX(getcds(C72,$C$6,G72/10000,F72,D72,$C$13,$C$14,$C$15,$C$8,,,TRUE,TRUE,FALSE,$C$29:$C$31,$C$33),{1;2;3;4;5})),"")</f>
        <v>-3.1959376183056699E-2</v>
      </c>
      <c r="U48" s="413">
        <f ca="1"/>
        <v>1.53916886204029E-2</v>
      </c>
      <c r="V48" s="413">
        <f ca="1"/>
        <v>4.7351064803459603E-2</v>
      </c>
      <c r="W48" s="414">
        <f ca="1"/>
        <v>3.2505475186860801E-3</v>
      </c>
      <c r="X48" s="415">
        <f ca="1"/>
        <v>4.7351064803459604</v>
      </c>
      <c r="Y48" s="416">
        <f t="shared" ca="1" si="4"/>
        <v>5.3457106073324885E-2</v>
      </c>
      <c r="Z48" s="417">
        <f t="shared" ca="1" si="2"/>
        <v>-8.2279513122846752E-4</v>
      </c>
      <c r="AA48" s="416">
        <f t="shared" ca="1" si="0"/>
        <v>4.1009648085557668E-2</v>
      </c>
      <c r="AB48" s="418">
        <f t="shared" ca="1" si="1"/>
        <v>3.088020142751776E-3</v>
      </c>
      <c r="AC48" s="417">
        <f t="shared" ca="1" si="3"/>
        <v>-3.1560386688260374E-5</v>
      </c>
      <c r="AD48" s="220"/>
      <c r="AE48" s="220"/>
    </row>
    <row r="49" spans="1:31" customFormat="1" ht="14.5">
      <c r="A49" s="220"/>
      <c r="B49" s="267">
        <v>11</v>
      </c>
      <c r="C49" s="68" t="s">
        <v>532</v>
      </c>
      <c r="D49" s="246">
        <f t="shared" ca="1" si="5"/>
        <v>1.0526315789473684</v>
      </c>
      <c r="E49" s="238"/>
      <c r="F49" s="225">
        <v>0.4</v>
      </c>
      <c r="G49" s="425">
        <v>100</v>
      </c>
      <c r="H49" s="377">
        <v>35</v>
      </c>
      <c r="I49" s="403">
        <f ca="1"/>
        <v>8.7462704411627197E-5</v>
      </c>
      <c r="J49" s="403">
        <f ca="1"/>
        <v>4.4968576930807001E-4</v>
      </c>
      <c r="K49" s="403">
        <f ca="1"/>
        <v>0.19449738101831801</v>
      </c>
      <c r="L49" s="403">
        <f ca="1"/>
        <v>0.19449738101831801</v>
      </c>
      <c r="M49" s="403">
        <f ca="1"/>
        <v>-1.27774327020136E-4</v>
      </c>
      <c r="N49" s="403" t="str">
        <f ca="1"/>
        <v>VOLKSWAGEN AKTIENGESELLSCHAFT</v>
      </c>
      <c r="O49" s="403">
        <f ca="1"/>
        <v>0.23840182095371801</v>
      </c>
      <c r="P49" s="403">
        <f ca="1"/>
        <v>0.75372747256797501</v>
      </c>
      <c r="Q49" s="403">
        <f ca="1"/>
        <v>0.31629710953944001</v>
      </c>
      <c r="R49" s="441">
        <f ca="1"/>
        <v>0.31629710953944001</v>
      </c>
      <c r="S49" s="433"/>
      <c r="T49" s="412" cm="1">
        <f t="array" aca="1" ref="T49:X49" ca="1">IF(AND($U$12,B73&lt;=$C$17,C73&lt;&gt;""),TRANSPOSE(INDEX(getcds(C73,$C$6,G73/10000,F73,D73,$C$13,$C$14,$C$15,$C$8,,,TRUE,TRUE,FALSE,$C$29:$C$31,$C$33),{1;2;3;4;5})),"")</f>
        <v>-3.9236553347110001E-3</v>
      </c>
      <c r="U49" s="413">
        <f ca="1"/>
        <v>4.2691936060935798E-2</v>
      </c>
      <c r="V49" s="413">
        <f ca="1"/>
        <v>4.6615591395646798E-2</v>
      </c>
      <c r="W49" s="414">
        <f ca="1"/>
        <v>9.1582954935808293E-3</v>
      </c>
      <c r="X49" s="415">
        <f ca="1"/>
        <v>4.6615591395646803</v>
      </c>
      <c r="Y49" s="416">
        <f t="shared" ca="1" si="4"/>
        <v>5.3457106073324885E-2</v>
      </c>
      <c r="Z49" s="417">
        <f t="shared" ca="1" si="2"/>
        <v>-2.2821873544850457E-3</v>
      </c>
      <c r="AA49" s="416">
        <f t="shared" ca="1" si="0"/>
        <v>6.4832460339439332E-2</v>
      </c>
      <c r="AB49" s="418">
        <f t="shared" ca="1" si="1"/>
        <v>8.7003807189017877E-3</v>
      </c>
      <c r="AC49" s="417">
        <f t="shared" ca="1" si="3"/>
        <v>-1.3839116257422486E-4</v>
      </c>
      <c r="AD49" s="220"/>
      <c r="AE49" s="220"/>
    </row>
    <row r="50" spans="1:31" customFormat="1" ht="14.5">
      <c r="A50" s="220"/>
      <c r="B50" s="267">
        <v>12</v>
      </c>
      <c r="C50" s="68" t="s">
        <v>516</v>
      </c>
      <c r="D50" s="246">
        <f t="shared" ca="1" si="5"/>
        <v>1.0526315789473684</v>
      </c>
      <c r="E50" s="238"/>
      <c r="F50" s="225">
        <v>0.4</v>
      </c>
      <c r="G50" s="425">
        <v>100</v>
      </c>
      <c r="H50" s="377">
        <v>36</v>
      </c>
      <c r="I50" s="403">
        <f ca="1"/>
        <v>8.0475419496135397E-5</v>
      </c>
      <c r="J50" s="403">
        <f ca="1"/>
        <v>4.5717025175906099E-4</v>
      </c>
      <c r="K50" s="403">
        <f ca="1"/>
        <v>0.17602943145685601</v>
      </c>
      <c r="L50" s="403">
        <f ca="1"/>
        <v>0.17602943145685601</v>
      </c>
      <c r="M50" s="403">
        <f ca="1"/>
        <v>-1.13000396795715E-4</v>
      </c>
      <c r="N50" s="403" t="str">
        <f ca="1"/>
        <v>WENDEL</v>
      </c>
      <c r="O50" s="403">
        <f ca="1"/>
        <v>0.240426210128559</v>
      </c>
      <c r="P50" s="403">
        <f ca="1"/>
        <v>0.76284225712425702</v>
      </c>
      <c r="Q50" s="403">
        <f ca="1"/>
        <v>0.31517159397397798</v>
      </c>
      <c r="R50" s="441">
        <f ca="1"/>
        <v>0.31517159397397798</v>
      </c>
      <c r="S50" s="433"/>
      <c r="T50" s="412" cm="1">
        <f t="array" aca="1" ref="T50:X50" ca="1">IF(AND($U$12,B74&lt;=$C$17,C74&lt;&gt;""),TRANSPOSE(INDEX(getcds(C74,$C$6,G74/10000,F74,D74,$C$13,$C$14,$C$15,$C$8,,,TRUE,TRUE,FALSE,$C$29:$C$31,$C$33),{1;2;3;4;5})),"")</f>
        <v>-1.35181653939543E-2</v>
      </c>
      <c r="U50" s="413">
        <f ca="1"/>
        <v>3.3286937523855503E-2</v>
      </c>
      <c r="V50" s="413">
        <f ca="1"/>
        <v>4.6805102917809802E-2</v>
      </c>
      <c r="W50" s="414">
        <f ca="1"/>
        <v>7.1118180387953998E-3</v>
      </c>
      <c r="X50" s="415">
        <f ca="1"/>
        <v>4.6805102917809798</v>
      </c>
      <c r="Y50" s="416">
        <f t="shared" ca="1" si="4"/>
        <v>5.3457106073324885E-2</v>
      </c>
      <c r="Z50" s="417">
        <f t="shared" ca="1" si="2"/>
        <v>-1.7794233500688815E-3</v>
      </c>
      <c r="AA50" s="416">
        <f t="shared" ca="1" si="0"/>
        <v>5.8676477152285335E-2</v>
      </c>
      <c r="AB50" s="418">
        <f t="shared" ca="1" si="1"/>
        <v>6.7562271368556293E-3</v>
      </c>
      <c r="AC50" s="417">
        <f t="shared" ca="1" si="3"/>
        <v>-9.7658011454402957E-5</v>
      </c>
      <c r="AD50" s="220"/>
      <c r="AE50" s="220"/>
    </row>
    <row r="51" spans="1:31" customFormat="1" ht="14.5">
      <c r="A51" s="220"/>
      <c r="B51" s="267">
        <v>13</v>
      </c>
      <c r="C51" s="68" t="s">
        <v>610</v>
      </c>
      <c r="D51" s="246">
        <f t="shared" ca="1" si="5"/>
        <v>1.0526315789473684</v>
      </c>
      <c r="E51" s="238"/>
      <c r="F51" s="225">
        <v>0.4</v>
      </c>
      <c r="G51" s="425">
        <v>100</v>
      </c>
      <c r="H51" s="377">
        <v>37</v>
      </c>
      <c r="I51" s="403">
        <f ca="1"/>
        <v>1.0330144341813501E-4</v>
      </c>
      <c r="J51" s="403">
        <f ca="1"/>
        <v>4.3699606631697902E-4</v>
      </c>
      <c r="K51" s="403">
        <f ca="1"/>
        <v>0.23638987025389899</v>
      </c>
      <c r="L51" s="403">
        <f ca="1"/>
        <v>0.23638987025389899</v>
      </c>
      <c r="M51" s="403">
        <f ca="1"/>
        <v>-1.15152052933758E-4</v>
      </c>
      <c r="N51" s="403" t="str">
        <f ca="1"/>
        <v>AKTIEBOLAGET ELECTROLUX</v>
      </c>
      <c r="O51" s="403">
        <f ca="1"/>
        <v>0.22869958522182399</v>
      </c>
      <c r="P51" s="403">
        <f ca="1"/>
        <v>0.71821836550583396</v>
      </c>
      <c r="Q51" s="403">
        <f ca="1"/>
        <v>0.31842625614391401</v>
      </c>
      <c r="R51" s="441">
        <f ca="1"/>
        <v>0.31842625614391401</v>
      </c>
      <c r="S51" s="433"/>
      <c r="T51" s="412" cm="1">
        <f t="array" aca="1" ref="T51:X51" ca="1">IF(AND($U$12,B75&lt;=$C$17,C75&lt;&gt;""),TRANSPOSE(INDEX(getcds(C75,$C$6,G75/10000,F75,D75,$C$13,$C$14,$C$15,$C$8,,,TRUE,TRUE,FALSE,$C$29:$C$31,$C$33),{1;2;3;4;5})),"")</f>
        <v>3.3454352099122502E-2</v>
      </c>
      <c r="U51" s="413">
        <f ca="1"/>
        <v>7.8870388942103797E-2</v>
      </c>
      <c r="V51" s="413">
        <f ca="1"/>
        <v>4.5416036842981303E-2</v>
      </c>
      <c r="W51" s="414">
        <f ca="1"/>
        <v>1.73661980270946E-2</v>
      </c>
      <c r="X51" s="415">
        <f ca="1"/>
        <v>4.5416036842981304</v>
      </c>
      <c r="Y51" s="416">
        <f t="shared" ca="1" si="4"/>
        <v>5.3457106073324885E-2</v>
      </c>
      <c r="Z51" s="417">
        <f t="shared" ca="1" si="2"/>
        <v>-4.2161827477224306E-3</v>
      </c>
      <c r="AA51" s="416">
        <f t="shared" ca="1" si="0"/>
        <v>7.8796623417966324E-2</v>
      </c>
      <c r="AB51" s="418">
        <f t="shared" ca="1" si="1"/>
        <v>1.6497888125739869E-2</v>
      </c>
      <c r="AC51" s="417">
        <f t="shared" ca="1" si="3"/>
        <v>-3.1073601681497486E-4</v>
      </c>
      <c r="AD51" s="220"/>
      <c r="AE51" s="220"/>
    </row>
    <row r="52" spans="1:31" customFormat="1" ht="14.5">
      <c r="A52" s="220"/>
      <c r="B52" s="267">
        <v>14</v>
      </c>
      <c r="C52" s="68" t="s">
        <v>517</v>
      </c>
      <c r="D52" s="246">
        <f t="shared" ca="1" si="5"/>
        <v>1.0526315789473684</v>
      </c>
      <c r="E52" s="238"/>
      <c r="F52" s="225">
        <v>0.4</v>
      </c>
      <c r="G52" s="425">
        <v>100</v>
      </c>
      <c r="H52" s="377">
        <v>38</v>
      </c>
      <c r="I52" s="403">
        <f ca="1"/>
        <v>6.6406050595089195E-5</v>
      </c>
      <c r="J52" s="403">
        <f ca="1"/>
        <v>4.7841930935703901E-4</v>
      </c>
      <c r="K52" s="403">
        <f ca="1"/>
        <v>0.138803031767957</v>
      </c>
      <c r="L52" s="403">
        <f ca="1"/>
        <v>0.138803031767957</v>
      </c>
      <c r="M52" s="403">
        <f ca="1"/>
        <v>-7.63013180173865E-5</v>
      </c>
      <c r="N52" s="403" t="str">
        <f ca="1"/>
        <v>ANHEUSER-BUSCH INBEV</v>
      </c>
      <c r="O52" s="403">
        <f ca="1"/>
        <v>0.24288134810137901</v>
      </c>
      <c r="P52" s="403">
        <f ca="1"/>
        <v>0.77619281187301903</v>
      </c>
      <c r="Q52" s="403">
        <f ca="1"/>
        <v>0.31291367864549802</v>
      </c>
      <c r="R52" s="441">
        <f ca="1"/>
        <v>0.31291367864549802</v>
      </c>
      <c r="S52" s="433"/>
      <c r="T52" s="412" cm="1">
        <f t="array" aca="1" ref="T52:X52" ca="1">IF(AND($U$12,B76&lt;=$C$17,C76&lt;&gt;""),TRANSPOSE(INDEX(getcds(C76,$C$6,G76/10000,F76,D76,$C$13,$C$14,$C$15,$C$8,,,TRUE,TRUE,FALSE,$C$29:$C$31,$C$33),{1;2;3;4;5})),"")</f>
        <v>-2.75713809189672E-2</v>
      </c>
      <c r="U52" s="413">
        <f ca="1"/>
        <v>1.9645400422640801E-2</v>
      </c>
      <c r="V52" s="413">
        <f ca="1"/>
        <v>4.7216781341607998E-2</v>
      </c>
      <c r="W52" s="414">
        <f ca="1"/>
        <v>4.1606818305781196E-3</v>
      </c>
      <c r="X52" s="415">
        <f ca="1"/>
        <v>4.7216781341607996</v>
      </c>
      <c r="Y52" s="416">
        <f t="shared" ca="1" si="4"/>
        <v>5.3457106073324885E-2</v>
      </c>
      <c r="Z52" s="417">
        <f t="shared" ca="1" si="2"/>
        <v>-1.0501862542460526E-3</v>
      </c>
      <c r="AA52" s="416">
        <f t="shared" ca="1" si="0"/>
        <v>4.6267677255985663E-2</v>
      </c>
      <c r="AB52" s="418">
        <f t="shared" ca="1" si="1"/>
        <v>3.9526477390492134E-3</v>
      </c>
      <c r="AC52" s="417">
        <f t="shared" ca="1" si="3"/>
        <v>-4.5447352315967565E-5</v>
      </c>
      <c r="AD52" s="220"/>
      <c r="AE52" s="220"/>
    </row>
    <row r="53" spans="1:31" customFormat="1" ht="14.5">
      <c r="A53" s="220"/>
      <c r="B53" s="267">
        <v>15</v>
      </c>
      <c r="C53" s="68" t="s">
        <v>518</v>
      </c>
      <c r="D53" s="246">
        <f t="shared" ca="1" si="5"/>
        <v>1.0526315789473684</v>
      </c>
      <c r="E53" s="238"/>
      <c r="F53" s="225">
        <v>0.4</v>
      </c>
      <c r="G53" s="425">
        <v>100</v>
      </c>
      <c r="H53" s="377">
        <v>39</v>
      </c>
      <c r="I53" s="403">
        <f ca="1"/>
        <v>8.0305494429338005E-5</v>
      </c>
      <c r="J53" s="403">
        <f ca="1"/>
        <v>4.5733114163220998E-4</v>
      </c>
      <c r="K53" s="403">
        <f ca="1"/>
        <v>0.17559594595445299</v>
      </c>
      <c r="L53" s="403">
        <f ca="1"/>
        <v>0.17559594595445299</v>
      </c>
      <c r="M53" s="403">
        <f ca="1"/>
        <v>-1.1279468211455199E-4</v>
      </c>
      <c r="N53" s="403" t="str">
        <f ca="1"/>
        <v>BRITISH AMERICAN TOBACCO P.L.C.</v>
      </c>
      <c r="O53" s="403">
        <f ca="1"/>
        <v>0.24047705591344901</v>
      </c>
      <c r="P53" s="403">
        <f ca="1"/>
        <v>0.76309404629574795</v>
      </c>
      <c r="Q53" s="403">
        <f ca="1"/>
        <v>0.31513423159410803</v>
      </c>
      <c r="R53" s="441">
        <f ca="1"/>
        <v>0.31513423159410803</v>
      </c>
      <c r="S53" s="433"/>
      <c r="T53" s="412" cm="1">
        <f t="array" aca="1" ref="T53:X53" ca="1">IF(AND($U$12,B77&lt;=$C$17,C77&lt;&gt;""),TRANSPOSE(INDEX(getcds(C77,$C$6,G77/10000,F77,D77,$C$13,$C$14,$C$15,$C$8,,,TRUE,TRUE,FALSE,$C$29:$C$31,$C$33),{1;2;3;4;5})),"")</f>
        <v>-1.37832066271029E-2</v>
      </c>
      <c r="U53" s="413">
        <f ca="1"/>
        <v>3.3070991925215398E-2</v>
      </c>
      <c r="V53" s="413">
        <f ca="1"/>
        <v>4.6854198552318302E-2</v>
      </c>
      <c r="W53" s="414">
        <f ca="1"/>
        <v>7.0582771548824298E-3</v>
      </c>
      <c r="X53" s="415">
        <f ca="1"/>
        <v>4.6854198552318298</v>
      </c>
      <c r="Y53" s="416">
        <f t="shared" ca="1" si="4"/>
        <v>5.3457106073324885E-2</v>
      </c>
      <c r="Z53" s="417">
        <f t="shared" ca="1" si="2"/>
        <v>-1.7678795232963086E-3</v>
      </c>
      <c r="AA53" s="416">
        <f t="shared" ca="1" si="0"/>
        <v>5.8531981984817662E-2</v>
      </c>
      <c r="AB53" s="418">
        <f t="shared" ca="1" si="1"/>
        <v>6.7053632971383077E-3</v>
      </c>
      <c r="AC53" s="417">
        <f t="shared" ca="1" si="3"/>
        <v>-9.6785535179337982E-5</v>
      </c>
      <c r="AD53" s="220"/>
      <c r="AE53" s="220"/>
    </row>
    <row r="54" spans="1:31" customFormat="1" ht="14.5">
      <c r="A54" s="220"/>
      <c r="B54" s="267">
        <v>16</v>
      </c>
      <c r="C54" s="68" t="s">
        <v>533</v>
      </c>
      <c r="D54" s="246">
        <f t="shared" ca="1" si="5"/>
        <v>1.0526315789473684</v>
      </c>
      <c r="E54" s="238"/>
      <c r="F54" s="225">
        <v>0.4</v>
      </c>
      <c r="G54" s="425">
        <v>100</v>
      </c>
      <c r="H54" s="377">
        <v>40</v>
      </c>
      <c r="I54" s="403">
        <f ca="1"/>
        <v>5.8025315327030499E-5</v>
      </c>
      <c r="J54" s="403">
        <f ca="1"/>
        <v>4.8269004291993001E-4</v>
      </c>
      <c r="K54" s="403">
        <f ca="1"/>
        <v>0.12021237267713</v>
      </c>
      <c r="L54" s="403">
        <f ca="1"/>
        <v>0.12021237267713</v>
      </c>
      <c r="M54" s="403">
        <f ca="1"/>
        <v>-5.8317055490342197E-5</v>
      </c>
      <c r="N54" s="403" t="str">
        <f ca="1"/>
        <v>CARLSBERG BREWERIES A/S</v>
      </c>
      <c r="O54" s="403">
        <f ca="1"/>
        <v>0.243591953500678</v>
      </c>
      <c r="P54" s="403">
        <f ca="1"/>
        <v>0.78104448000646098</v>
      </c>
      <c r="Q54" s="403">
        <f ca="1"/>
        <v>0.31187974531061702</v>
      </c>
      <c r="R54" s="441">
        <f ca="1"/>
        <v>0.31187974531061702</v>
      </c>
      <c r="S54" s="433"/>
      <c r="T54" s="412" cm="1">
        <f t="array" aca="1" ref="T54:X54" ca="1">IF(AND($U$12,B78&lt;=$C$17,C78&lt;&gt;""),TRANSPOSE(INDEX(getcds(C78,$C$6,G78/10000,F78,D78,$C$13,$C$14,$C$15,$C$8,,,TRUE,TRUE,FALSE,$C$29:$C$31,$C$33),{1;2;3;4;5})),"")</f>
        <v>-3.2678400006800903E-2</v>
      </c>
      <c r="U54" s="413">
        <f ca="1"/>
        <v>1.47081180602989E-2</v>
      </c>
      <c r="V54" s="413">
        <f ca="1"/>
        <v>4.73865180670998E-2</v>
      </c>
      <c r="W54" s="414">
        <f ca="1"/>
        <v>3.1038613217945501E-3</v>
      </c>
      <c r="X54" s="415">
        <f ca="1"/>
        <v>4.7386518067099797</v>
      </c>
      <c r="Y54" s="416">
        <f t="shared" ca="1" si="4"/>
        <v>5.3457106073324885E-2</v>
      </c>
      <c r="Z54" s="417">
        <f t="shared" ca="1" si="2"/>
        <v>-7.862534272883875E-4</v>
      </c>
      <c r="AA54" s="416">
        <f t="shared" ca="1" si="0"/>
        <v>4.0070790892376668E-2</v>
      </c>
      <c r="AB54" s="418">
        <f t="shared" ca="1" si="1"/>
        <v>2.9486682557048225E-3</v>
      </c>
      <c r="AC54" s="417">
        <f t="shared" ca="1" si="3"/>
        <v>-2.9468296160731443E-5</v>
      </c>
      <c r="AD54" s="220"/>
      <c r="AE54" s="220"/>
    </row>
    <row r="55" spans="1:31" customFormat="1" ht="14.5">
      <c r="A55" s="220"/>
      <c r="B55" s="267">
        <v>17</v>
      </c>
      <c r="C55" s="68" t="s">
        <v>519</v>
      </c>
      <c r="D55" s="246">
        <f t="shared" ca="1" si="5"/>
        <v>1.0526315789473684</v>
      </c>
      <c r="E55" s="238"/>
      <c r="F55" s="225">
        <v>0.4</v>
      </c>
      <c r="G55" s="425">
        <v>100</v>
      </c>
      <c r="H55" s="377">
        <v>41</v>
      </c>
      <c r="I55" s="403">
        <f ca="1"/>
        <v>7.3495569215444894E-5</v>
      </c>
      <c r="J55" s="403">
        <f ca="1"/>
        <v>4.7394615186223399E-4</v>
      </c>
      <c r="K55" s="403">
        <f ca="1"/>
        <v>0.155071560190257</v>
      </c>
      <c r="L55" s="403">
        <f ca="1"/>
        <v>0.155071560190257</v>
      </c>
      <c r="M55" s="403">
        <f ca="1"/>
        <v>-9.2890895543684701E-5</v>
      </c>
      <c r="N55" s="403" t="str">
        <f ca="1"/>
        <v>CARREFOUR</v>
      </c>
      <c r="O55" s="403">
        <f ca="1"/>
        <v>0.24202758694610799</v>
      </c>
      <c r="P55" s="403">
        <f ca="1"/>
        <v>0.77111665215437997</v>
      </c>
      <c r="Q55" s="403">
        <f ca="1"/>
        <v>0.313866373226308</v>
      </c>
      <c r="R55" s="441">
        <f ca="1"/>
        <v>0.313866373226308</v>
      </c>
      <c r="S55" s="433"/>
      <c r="T55" s="412" cm="1">
        <f t="array" aca="1" ref="T55:X55" ca="1">IF(AND($U$12,B79&lt;=$C$17,C79&lt;&gt;""),TRANSPOSE(INDEX(getcds(C79,$C$6,G79/10000,F79,D79,$C$13,$C$14,$C$15,$C$8,,,TRUE,TRUE,FALSE,$C$29:$C$31,$C$33),{1;2;3;4;5})),"")</f>
        <v>-2.22280548993476E-2</v>
      </c>
      <c r="U55" s="413">
        <f ca="1"/>
        <v>2.4872311682202299E-2</v>
      </c>
      <c r="V55" s="413">
        <f ca="1"/>
        <v>4.7100366581549903E-2</v>
      </c>
      <c r="W55" s="414">
        <f ca="1"/>
        <v>5.2807044801101996E-3</v>
      </c>
      <c r="X55" s="415">
        <f ca="1"/>
        <v>4.7100366581549897</v>
      </c>
      <c r="Y55" s="416">
        <f t="shared" ca="1" si="4"/>
        <v>5.3457106073324885E-2</v>
      </c>
      <c r="Z55" s="417">
        <f t="shared" ca="1" si="2"/>
        <v>-1.3296018038842876E-3</v>
      </c>
      <c r="AA55" s="416">
        <f t="shared" ca="1" si="0"/>
        <v>5.1690520063419003E-2</v>
      </c>
      <c r="AB55" s="418">
        <f t="shared" ca="1" si="1"/>
        <v>5.0166692561046892E-3</v>
      </c>
      <c r="AC55" s="417">
        <f t="shared" ca="1" si="3"/>
        <v>-6.4283136301624631E-5</v>
      </c>
      <c r="AD55" s="220"/>
      <c r="AE55" s="220"/>
    </row>
    <row r="56" spans="1:31" customFormat="1" ht="14.5">
      <c r="A56" s="220"/>
      <c r="B56" s="267">
        <v>18</v>
      </c>
      <c r="C56" s="68" t="s">
        <v>534</v>
      </c>
      <c r="D56" s="246">
        <f t="shared" ca="1" si="5"/>
        <v>1.0526315789473684</v>
      </c>
      <c r="E56" s="238"/>
      <c r="F56" s="225">
        <v>0.4</v>
      </c>
      <c r="G56" s="425">
        <v>100</v>
      </c>
      <c r="H56" s="377">
        <v>42</v>
      </c>
      <c r="I56" s="403">
        <f ca="1"/>
        <v>5.0369812872545999E-5</v>
      </c>
      <c r="J56" s="403">
        <f ca="1"/>
        <v>4.8556663716216498E-4</v>
      </c>
      <c r="K56" s="403">
        <f ca="1"/>
        <v>0.10373408924247</v>
      </c>
      <c r="L56" s="403">
        <f ca="1"/>
        <v>0.10373408924247</v>
      </c>
      <c r="M56" s="403">
        <f ca="1"/>
        <v>-4.36553569807408E-5</v>
      </c>
      <c r="N56" s="403" t="str">
        <f ca="1"/>
        <v>COMPASS GROUP PLC</v>
      </c>
      <c r="O56" s="403">
        <f ca="1"/>
        <v>0.24403103966840101</v>
      </c>
      <c r="P56" s="403">
        <f ca="1"/>
        <v>0.784567978522137</v>
      </c>
      <c r="Q56" s="403">
        <f ca="1"/>
        <v>0.31103874533354497</v>
      </c>
      <c r="R56" s="441">
        <f ca="1"/>
        <v>0.31103874533354497</v>
      </c>
      <c r="S56" s="433"/>
      <c r="T56" s="412" cm="1">
        <f t="array" aca="1" ref="T56:X56" ca="1">IF(AND($U$12,B80&lt;=$C$17,C80&lt;&gt;""),TRANSPOSE(INDEX(getcds(C80,$C$6,G80/10000,F80,D80,$C$13,$C$14,$C$15,$C$8,,,TRUE,TRUE,FALSE,$C$29:$C$31,$C$33),{1;2;3;4;5})),"")</f>
        <v>-3.6387345812776202E-2</v>
      </c>
      <c r="U56" s="413">
        <f ca="1"/>
        <v>1.11031744295681E-2</v>
      </c>
      <c r="V56" s="413">
        <f ca="1"/>
        <v>4.7490520242344299E-2</v>
      </c>
      <c r="W56" s="414">
        <f ca="1"/>
        <v>2.33797700528623E-3</v>
      </c>
      <c r="X56" s="415">
        <f ca="1"/>
        <v>4.7490520242344303</v>
      </c>
      <c r="Y56" s="416">
        <f t="shared" ca="1" si="4"/>
        <v>5.3457106073324885E-2</v>
      </c>
      <c r="Z56" s="417">
        <f t="shared" ca="1" si="2"/>
        <v>-5.9354357323205165E-4</v>
      </c>
      <c r="AA56" s="416">
        <f t="shared" ca="1" si="0"/>
        <v>3.4578029747490004E-2</v>
      </c>
      <c r="AB56" s="418">
        <f t="shared" ca="1" si="1"/>
        <v>2.2210781550219185E-3</v>
      </c>
      <c r="AC56" s="417">
        <f t="shared" ca="1" si="3"/>
        <v>-1.919629478585884E-5</v>
      </c>
      <c r="AD56" s="220"/>
      <c r="AE56" s="220"/>
    </row>
    <row r="57" spans="1:31" customFormat="1" ht="14.5">
      <c r="A57" s="220"/>
      <c r="B57" s="267">
        <v>19</v>
      </c>
      <c r="C57" s="68" t="s">
        <v>535</v>
      </c>
      <c r="D57" s="246">
        <f t="shared" ca="1" si="5"/>
        <v>1.0526315789473684</v>
      </c>
      <c r="E57" s="238"/>
      <c r="F57" s="225">
        <v>0.4</v>
      </c>
      <c r="G57" s="425">
        <v>100</v>
      </c>
      <c r="H57" s="377">
        <v>43</v>
      </c>
      <c r="I57" s="403">
        <f ca="1"/>
        <v>6.3082067404924798E-5</v>
      </c>
      <c r="J57" s="403">
        <f ca="1"/>
        <v>4.80271601743483E-4</v>
      </c>
      <c r="K57" s="403">
        <f ca="1"/>
        <v>0.13134665296870399</v>
      </c>
      <c r="L57" s="403">
        <f ca="1"/>
        <v>0.13134665296870399</v>
      </c>
      <c r="M57" s="403">
        <f ca="1"/>
        <v>-6.8953233283330901E-5</v>
      </c>
      <c r="N57" s="403" t="str">
        <f ca="1"/>
        <v>DANONE</v>
      </c>
      <c r="O57" s="403">
        <f ca="1"/>
        <v>0.243198175530456</v>
      </c>
      <c r="P57" s="403">
        <f ca="1"/>
        <v>0.77826211374409704</v>
      </c>
      <c r="Q57" s="403">
        <f ca="1"/>
        <v>0.31248877625619897</v>
      </c>
      <c r="R57" s="441">
        <f ca="1"/>
        <v>0.31248877625619897</v>
      </c>
      <c r="S57" s="433"/>
      <c r="T57" s="412" cm="1">
        <f t="array" aca="1" ref="T57:X57" ca="1">IF(AND($U$12,B81&lt;=$C$17,C81&lt;&gt;""),TRANSPOSE(INDEX(getcds(C81,$C$6,G81/10000,F81,D81,$C$13,$C$14,$C$15,$C$8,,,TRUE,TRUE,FALSE,$C$29:$C$31,$C$33),{1;2;3;4;5})),"")</f>
        <v>-2.9749593414838599E-2</v>
      </c>
      <c r="U57" s="413">
        <f ca="1"/>
        <v>1.7541806544202E-2</v>
      </c>
      <c r="V57" s="413">
        <f ca="1"/>
        <v>4.7291399959040602E-2</v>
      </c>
      <c r="W57" s="414">
        <f ca="1"/>
        <v>3.7093015980485E-3</v>
      </c>
      <c r="X57" s="415">
        <f ca="1"/>
        <v>4.7291399959040596</v>
      </c>
      <c r="Y57" s="416">
        <f t="shared" ca="1" si="4"/>
        <v>5.3457106073324885E-2</v>
      </c>
      <c r="Z57" s="417">
        <f t="shared" ca="1" si="2"/>
        <v>-9.3773421315115121E-4</v>
      </c>
      <c r="AA57" s="416">
        <f t="shared" ca="1" si="0"/>
        <v>4.3782217656234662E-2</v>
      </c>
      <c r="AB57" s="418">
        <f t="shared" ca="1" si="1"/>
        <v>3.5238365181460749E-3</v>
      </c>
      <c r="AC57" s="417">
        <f t="shared" ca="1" si="3"/>
        <v>-3.8400959610090708E-5</v>
      </c>
      <c r="AD57" s="220"/>
      <c r="AE57" s="220"/>
    </row>
    <row r="58" spans="1:31" customFormat="1" ht="14.5">
      <c r="A58" s="220"/>
      <c r="B58" s="267">
        <v>20</v>
      </c>
      <c r="C58" s="68" t="s">
        <v>611</v>
      </c>
      <c r="D58" s="246">
        <f t="shared" ca="1" si="5"/>
        <v>1.0526315789473684</v>
      </c>
      <c r="E58" s="238"/>
      <c r="F58" s="225">
        <v>0.4</v>
      </c>
      <c r="G58" s="425">
        <v>100</v>
      </c>
      <c r="H58" s="377">
        <v>44</v>
      </c>
      <c r="I58" s="403">
        <f ca="1"/>
        <v>1.06959969446439E-4</v>
      </c>
      <c r="J58" s="403">
        <f ca="1"/>
        <v>4.21609019347092E-4</v>
      </c>
      <c r="K58" s="403">
        <f ca="1"/>
        <v>0.25369468995724598</v>
      </c>
      <c r="L58" s="403">
        <f ca="1"/>
        <v>0.25369468995724598</v>
      </c>
      <c r="M58" s="403">
        <f ca="1"/>
        <v>-5.4166925105070296E-7</v>
      </c>
      <c r="N58" s="403" t="str">
        <f ca="1"/>
        <v>DIAGEO PLC</v>
      </c>
      <c r="O58" s="403">
        <f ca="1"/>
        <v>0.213447698022173</v>
      </c>
      <c r="P58" s="403">
        <f ca="1"/>
        <v>0.67404686460516905</v>
      </c>
      <c r="Q58" s="403">
        <f ca="1"/>
        <v>0.31666596082633303</v>
      </c>
      <c r="R58" s="441">
        <f ca="1"/>
        <v>0.31666596082633303</v>
      </c>
      <c r="S58" s="433"/>
      <c r="T58" s="412" cm="1">
        <f t="array" aca="1" ref="T58:X58" ca="1">IF(AND($U$12,B82&lt;=$C$17,C82&lt;&gt;""),TRANSPOSE(INDEX(getcds(C82,$C$6,G82/10000,F82,D82,$C$13,$C$14,$C$15,$C$8,,,TRUE,TRUE,FALSE,$C$29:$C$31,$C$33),{1;2;3;4;5})),"")</f>
        <v>7.9950668836664296E-2</v>
      </c>
      <c r="U58" s="413">
        <f ca="1"/>
        <v>0.12583433593821899</v>
      </c>
      <c r="V58" s="413">
        <f ca="1"/>
        <v>4.5883667101554698E-2</v>
      </c>
      <c r="W58" s="414">
        <f ca="1"/>
        <v>2.7424646696112699E-2</v>
      </c>
      <c r="X58" s="415">
        <f ca="1"/>
        <v>4.5883667101554702</v>
      </c>
      <c r="Y58" s="416">
        <f t="shared" ca="1" si="4"/>
        <v>5.3457106073324885E-2</v>
      </c>
      <c r="Z58" s="417">
        <f t="shared" ca="1" si="2"/>
        <v>-6.7267394439157555E-3</v>
      </c>
      <c r="AA58" s="416">
        <f t="shared" ca="1" si="0"/>
        <v>8.4564896652415331E-2</v>
      </c>
      <c r="AB58" s="418">
        <f t="shared" ca="1" si="1"/>
        <v>2.6053414361307065E-2</v>
      </c>
      <c r="AC58" s="417">
        <f t="shared" ca="1" si="3"/>
        <v>-5.3205838069703875E-4</v>
      </c>
      <c r="AD58" s="220"/>
      <c r="AE58" s="220"/>
    </row>
    <row r="59" spans="1:31" customFormat="1" ht="14.5">
      <c r="A59" s="220"/>
      <c r="B59" s="267">
        <v>21</v>
      </c>
      <c r="C59" s="68" t="s">
        <v>520</v>
      </c>
      <c r="D59" s="246">
        <f t="shared" ca="1" si="5"/>
        <v>1.0526315789473684</v>
      </c>
      <c r="E59" s="238"/>
      <c r="F59" s="225">
        <v>0.4</v>
      </c>
      <c r="G59" s="425">
        <v>100</v>
      </c>
      <c r="H59" s="377">
        <v>45</v>
      </c>
      <c r="I59" s="403">
        <f ca="1"/>
        <v>1.03065580369377E-4</v>
      </c>
      <c r="J59" s="403">
        <f ca="1"/>
        <v>4.0812655939146899E-4</v>
      </c>
      <c r="K59" s="403">
        <f ca="1"/>
        <v>0.25253338210346199</v>
      </c>
      <c r="L59" s="403">
        <f ca="1"/>
        <v>0.25253338210346199</v>
      </c>
      <c r="M59" s="403">
        <f ca="1"/>
        <v>-3.02382955884872E-5</v>
      </c>
      <c r="N59" s="403" t="str">
        <f ca="1"/>
        <v>ELO</v>
      </c>
      <c r="O59" s="403">
        <f ca="1"/>
        <v>0.21693717466367901</v>
      </c>
      <c r="P59" s="403">
        <f ca="1"/>
        <v>0.68201431055308803</v>
      </c>
      <c r="Q59" s="403">
        <f ca="1"/>
        <v>0.31808302451564602</v>
      </c>
      <c r="R59" s="441">
        <f ca="1"/>
        <v>0.31808302451564602</v>
      </c>
      <c r="S59" s="433"/>
      <c r="T59" s="412" cm="1">
        <f t="array" aca="1" ref="T59:X59" ca="1">IF(AND($U$12,B83&lt;=$C$17,C83&lt;&gt;""),TRANSPOSE(INDEX(getcds(C83,$C$6,G83/10000,F83,D83,$C$13,$C$14,$C$15,$C$8,,,TRUE,TRUE,FALSE,$C$29:$C$31,$C$33),{1;2;3;4;5})),"")</f>
        <v>7.1563883628327996E-2</v>
      </c>
      <c r="U59" s="413">
        <f ca="1"/>
        <v>0.11557398540408199</v>
      </c>
      <c r="V59" s="413">
        <f ca="1"/>
        <v>4.4010101775753999E-2</v>
      </c>
      <c r="W59" s="414">
        <f ca="1"/>
        <v>2.6260785760726001E-2</v>
      </c>
      <c r="X59" s="415">
        <f ca="1"/>
        <v>4.4010101775754</v>
      </c>
      <c r="Y59" s="416">
        <f t="shared" ca="1" si="4"/>
        <v>5.3457106073324885E-2</v>
      </c>
      <c r="Z59" s="417">
        <f t="shared" ca="1" si="2"/>
        <v>-6.1782507970629275E-3</v>
      </c>
      <c r="AA59" s="416">
        <f t="shared" ca="1" si="0"/>
        <v>8.417779403448733E-2</v>
      </c>
      <c r="AB59" s="418">
        <f t="shared" ca="1" si="1"/>
        <v>2.49477464726897E-2</v>
      </c>
      <c r="AC59" s="417">
        <f t="shared" ca="1" si="3"/>
        <v>-4.8643815695448474E-4</v>
      </c>
      <c r="AD59" s="220"/>
      <c r="AE59" s="220"/>
    </row>
    <row r="60" spans="1:31" customFormat="1" ht="14.5">
      <c r="A60" s="220"/>
      <c r="B60" s="267">
        <v>22</v>
      </c>
      <c r="C60" s="68" t="s">
        <v>612</v>
      </c>
      <c r="D60" s="246">
        <f t="shared" ca="1" si="5"/>
        <v>1.0526315789473684</v>
      </c>
      <c r="E60" s="238"/>
      <c r="F60" s="225">
        <v>0.4</v>
      </c>
      <c r="G60" s="425">
        <v>100</v>
      </c>
      <c r="H60" s="377">
        <v>46</v>
      </c>
      <c r="I60" s="403">
        <f ca="1"/>
        <v>5.9045355007374397E-5</v>
      </c>
      <c r="J60" s="403">
        <f ca="1"/>
        <v>4.8222745513769799E-4</v>
      </c>
      <c r="K60" s="403">
        <f ca="1"/>
        <v>0.122442955867194</v>
      </c>
      <c r="L60" s="403">
        <f ca="1"/>
        <v>0.122442955867194</v>
      </c>
      <c r="M60" s="403">
        <f ca="1"/>
        <v>-6.0400793431048E-5</v>
      </c>
      <c r="N60" s="403" t="str">
        <f ca="1"/>
        <v>HEINEKEN N.V.</v>
      </c>
      <c r="O60" s="403">
        <f ca="1"/>
        <v>0.243519727735795</v>
      </c>
      <c r="P60" s="403">
        <f ca="1"/>
        <v>0.78051346438024405</v>
      </c>
      <c r="Q60" s="403">
        <f ca="1"/>
        <v>0.31199939379541503</v>
      </c>
      <c r="R60" s="441">
        <f ca="1"/>
        <v>0.31199939379541503</v>
      </c>
      <c r="S60" s="433"/>
      <c r="T60" s="412" cm="1">
        <f t="array" aca="1" ref="T60:X60" ca="1">IF(AND($U$12,B84&lt;=$C$17,C84&lt;&gt;""),TRANSPOSE(INDEX(getcds(C84,$C$6,G84/10000,F84,D84,$C$13,$C$14,$C$15,$C$8,,,TRUE,TRUE,FALSE,$C$29:$C$31,$C$33),{1;2;3;4;5})),"")</f>
        <v>-3.2119436189730399E-2</v>
      </c>
      <c r="U60" s="413">
        <f ca="1"/>
        <v>1.52480507158467E-2</v>
      </c>
      <c r="V60" s="413">
        <f ca="1"/>
        <v>4.73674869055771E-2</v>
      </c>
      <c r="W60" s="414">
        <f ca="1"/>
        <v>3.2190964123223198E-3</v>
      </c>
      <c r="X60" s="415">
        <f ca="1"/>
        <v>4.7367486905577003</v>
      </c>
      <c r="Y60" s="416">
        <f t="shared" ca="1" si="4"/>
        <v>5.3457106073324885E-2</v>
      </c>
      <c r="Z60" s="417">
        <f t="shared" ca="1" si="2"/>
        <v>-8.1511666452845652E-4</v>
      </c>
      <c r="AA60" s="416">
        <f t="shared" ca="1" si="0"/>
        <v>4.0814318622398003E-2</v>
      </c>
      <c r="AB60" s="418">
        <f t="shared" ca="1" si="1"/>
        <v>3.0581415917062035E-3</v>
      </c>
      <c r="AC60" s="417">
        <f t="shared" ca="1" si="3"/>
        <v>-3.1116940014352705E-5</v>
      </c>
      <c r="AD60" s="220"/>
      <c r="AE60" s="220"/>
    </row>
    <row r="61" spans="1:31" customFormat="1" ht="14.5">
      <c r="A61" s="220"/>
      <c r="B61" s="267">
        <v>23</v>
      </c>
      <c r="C61" s="68" t="s">
        <v>536</v>
      </c>
      <c r="D61" s="246">
        <f t="shared" ca="1" si="5"/>
        <v>1.0526315789473684</v>
      </c>
      <c r="E61" s="238"/>
      <c r="F61" s="225">
        <v>0.4</v>
      </c>
      <c r="G61" s="425">
        <v>100</v>
      </c>
      <c r="H61" s="377">
        <v>47</v>
      </c>
      <c r="I61" s="403">
        <f ca="1"/>
        <v>4.8019282491416099E-5</v>
      </c>
      <c r="J61" s="403">
        <f ca="1"/>
        <v>4.8617113330209102E-4</v>
      </c>
      <c r="K61" s="403">
        <f ca="1"/>
        <v>9.87703283929416E-2</v>
      </c>
      <c r="L61" s="403">
        <f ca="1"/>
        <v>9.87703283929416E-2</v>
      </c>
      <c r="M61" s="403">
        <f ca="1"/>
        <v>-3.94869671227305E-5</v>
      </c>
      <c r="N61" s="403" t="str">
        <f ca="1"/>
        <v>HENKEL AG &amp; CO. KGAA</v>
      </c>
      <c r="O61" s="403">
        <f ca="1"/>
        <v>0.24413303092151201</v>
      </c>
      <c r="P61" s="403">
        <f ca="1"/>
        <v>0.78549636393508204</v>
      </c>
      <c r="Q61" s="403">
        <f ca="1"/>
        <v>0.31080096882751301</v>
      </c>
      <c r="R61" s="441">
        <f ca="1"/>
        <v>0.31080096882751301</v>
      </c>
      <c r="S61" s="433"/>
      <c r="T61" s="412" cm="1">
        <f t="array" aca="1" ref="T61:X61" ca="1">IF(AND($U$12,B85&lt;=$C$17,C85&lt;&gt;""),TRANSPOSE(INDEX(getcds(C85,$C$6,G85/10000,F85,D85,$C$13,$C$14,$C$15,$C$8,,,TRUE,TRUE,FALSE,$C$29:$C$31,$C$33),{1;2;3;4;5})),"")</f>
        <v>-3.73645936158759E-2</v>
      </c>
      <c r="U61" s="413">
        <f ca="1"/>
        <v>1.01347104891972E-2</v>
      </c>
      <c r="V61" s="413">
        <f ca="1"/>
        <v>4.7499304105073102E-2</v>
      </c>
      <c r="W61" s="414">
        <f ca="1"/>
        <v>2.13365451981743E-3</v>
      </c>
      <c r="X61" s="415">
        <f ca="1"/>
        <v>4.7499304105073099</v>
      </c>
      <c r="Y61" s="416">
        <f t="shared" ca="1" si="4"/>
        <v>5.3457106073324885E-2</v>
      </c>
      <c r="Z61" s="417">
        <f t="shared" ca="1" si="2"/>
        <v>-5.4177229364345215E-4</v>
      </c>
      <c r="AA61" s="416">
        <f t="shared" ca="1" si="0"/>
        <v>3.2923442797647202E-2</v>
      </c>
      <c r="AB61" s="418">
        <f t="shared" ca="1" si="1"/>
        <v>2.0269717938265585E-3</v>
      </c>
      <c r="AC61" s="417">
        <f t="shared" ca="1" si="3"/>
        <v>-1.6683478053089921E-5</v>
      </c>
      <c r="AD61" s="220"/>
      <c r="AE61" s="220"/>
    </row>
    <row r="62" spans="1:31" customFormat="1" ht="14.5">
      <c r="A62" s="220"/>
      <c r="B62" s="267">
        <v>24</v>
      </c>
      <c r="C62" s="68" t="s">
        <v>521</v>
      </c>
      <c r="D62" s="246">
        <f t="shared" ca="1" si="5"/>
        <v>1.0526315789473684</v>
      </c>
      <c r="E62" s="238"/>
      <c r="F62" s="225">
        <v>0.4</v>
      </c>
      <c r="G62" s="425">
        <v>100</v>
      </c>
      <c r="H62" s="377">
        <v>48</v>
      </c>
      <c r="I62" s="403">
        <f ca="1"/>
        <v>8.3414244432176198E-5</v>
      </c>
      <c r="J62" s="403">
        <f ca="1"/>
        <v>4.5431894356194098E-4</v>
      </c>
      <c r="K62" s="403">
        <f ca="1"/>
        <v>0.183602831478242</v>
      </c>
      <c r="L62" s="403">
        <f ca="1"/>
        <v>0.183602831478242</v>
      </c>
      <c r="M62" s="403">
        <f ca="1"/>
        <v>-1.19602047848318E-4</v>
      </c>
      <c r="N62" s="403" t="str">
        <f ca="1"/>
        <v>IMPERIAL BRANDS PLC</v>
      </c>
      <c r="O62" s="403">
        <f ca="1"/>
        <v>0.23968272564953899</v>
      </c>
      <c r="P62" s="403">
        <f ca="1"/>
        <v>0.75935769219944105</v>
      </c>
      <c r="Q62" s="403">
        <f ca="1"/>
        <v>0.31563876696278698</v>
      </c>
      <c r="R62" s="441">
        <f ca="1"/>
        <v>0.31563876696278698</v>
      </c>
      <c r="S62" s="433"/>
      <c r="T62" s="412" cm="1">
        <f t="array" aca="1" ref="T62:X62" ca="1">IF(AND($U$12,B86&lt;=$C$17,C86&lt;&gt;""),TRANSPOSE(INDEX(getcds(C86,$C$6,G86/10000,F86,D86,$C$13,$C$14,$C$15,$C$8,,,TRUE,TRUE,FALSE,$C$29:$C$31,$C$33),{1;2;3;4;5})),"")</f>
        <v>-9.8502023152009996E-3</v>
      </c>
      <c r="U62" s="413">
        <f ca="1"/>
        <v>3.6872940696785102E-2</v>
      </c>
      <c r="V62" s="413">
        <f ca="1"/>
        <v>4.6723143011986101E-2</v>
      </c>
      <c r="W62" s="414">
        <f ca="1"/>
        <v>7.8917937278589895E-3</v>
      </c>
      <c r="X62" s="415">
        <f ca="1"/>
        <v>4.6723143011986101</v>
      </c>
      <c r="Y62" s="416">
        <f t="shared" ca="1" si="4"/>
        <v>5.3457106073324885E-2</v>
      </c>
      <c r="Z62" s="417">
        <f t="shared" ca="1" si="2"/>
        <v>-1.9711207020634562E-3</v>
      </c>
      <c r="AA62" s="416">
        <f t="shared" ca="1" si="0"/>
        <v>6.1200943826080663E-2</v>
      </c>
      <c r="AB62" s="418">
        <f t="shared" ca="1" si="1"/>
        <v>7.4972040414660393E-3</v>
      </c>
      <c r="AC62" s="417">
        <f t="shared" ca="1" si="3"/>
        <v>-1.1283293861431746E-4</v>
      </c>
      <c r="AD62" s="220"/>
      <c r="AE62" s="220"/>
    </row>
    <row r="63" spans="1:31" customFormat="1" ht="14.5">
      <c r="A63" s="220"/>
      <c r="B63" s="267">
        <v>25</v>
      </c>
      <c r="C63" s="68" t="s">
        <v>537</v>
      </c>
      <c r="D63" s="246">
        <f t="shared" ca="1" si="5"/>
        <v>1.0526315789473684</v>
      </c>
      <c r="E63" s="238"/>
      <c r="F63" s="225">
        <v>0.4</v>
      </c>
      <c r="G63" s="425">
        <v>100</v>
      </c>
      <c r="H63" s="377">
        <v>49</v>
      </c>
      <c r="I63" s="403">
        <f ca="1"/>
        <v>6.8360279107406799E-5</v>
      </c>
      <c r="J63" s="403">
        <f ca="1"/>
        <v>4.77297619865029E-4</v>
      </c>
      <c r="K63" s="403">
        <f ca="1"/>
        <v>0.14322359103055601</v>
      </c>
      <c r="L63" s="403">
        <f ca="1"/>
        <v>0.14322359103055601</v>
      </c>
      <c r="M63" s="403">
        <f ca="1"/>
        <v>-8.0769452622222402E-5</v>
      </c>
      <c r="N63" s="403" t="str">
        <f ca="1"/>
        <v>KERING</v>
      </c>
      <c r="O63" s="403">
        <f ca="1"/>
        <v>0.24267376009470101</v>
      </c>
      <c r="P63" s="403">
        <f ca="1"/>
        <v>0.77489720919341798</v>
      </c>
      <c r="Q63" s="403">
        <f ca="1"/>
        <v>0.313168969013706</v>
      </c>
      <c r="R63" s="441">
        <f ca="1"/>
        <v>0.313168969013706</v>
      </c>
      <c r="S63" s="433"/>
      <c r="T63" s="412" cm="1">
        <f t="array" aca="1" ref="T63:X63" ca="1">IF(AND($U$12,B87&lt;=$C$17,C87&lt;&gt;""),TRANSPOSE(INDEX(getcds(C87,$C$6,G87/10000,F87,D87,$C$13,$C$14,$C$15,$C$8,,,TRUE,TRUE,FALSE,$C$29:$C$31,$C$33),{1;2;3;4;5})),"")</f>
        <v>-2.6207588624650498E-2</v>
      </c>
      <c r="U63" s="413">
        <f ca="1"/>
        <v>2.0974749213478899E-2</v>
      </c>
      <c r="V63" s="413">
        <f ca="1"/>
        <v>4.7182337838129397E-2</v>
      </c>
      <c r="W63" s="414">
        <f ca="1"/>
        <v>4.4454662855914397E-3</v>
      </c>
      <c r="X63" s="415">
        <f ca="1"/>
        <v>4.7182337838129396</v>
      </c>
      <c r="Y63" s="416">
        <f t="shared" ca="1" si="4"/>
        <v>5.3457106073324885E-2</v>
      </c>
      <c r="Z63" s="417">
        <f t="shared" ca="1" si="2"/>
        <v>-1.121249393566332E-3</v>
      </c>
      <c r="AA63" s="416">
        <f t="shared" ca="1" si="0"/>
        <v>4.7741197010185338E-2</v>
      </c>
      <c r="AB63" s="418">
        <f t="shared" ca="1" si="1"/>
        <v>4.2231929713118675E-3</v>
      </c>
      <c r="AC63" s="417">
        <f t="shared" ca="1" si="3"/>
        <v>-5.0067981721996488E-5</v>
      </c>
      <c r="AD63" s="220"/>
      <c r="AE63" s="220"/>
    </row>
    <row r="64" spans="1:31" customFormat="1" ht="14.5">
      <c r="A64" s="220"/>
      <c r="B64" s="267">
        <v>26</v>
      </c>
      <c r="C64" s="68" t="s">
        <v>522</v>
      </c>
      <c r="D64" s="246">
        <f t="shared" ca="1" si="5"/>
        <v>1.0526315789473684</v>
      </c>
      <c r="E64" s="238"/>
      <c r="F64" s="225">
        <v>0.4</v>
      </c>
      <c r="G64" s="425">
        <v>100</v>
      </c>
      <c r="H64" s="377">
        <v>50</v>
      </c>
      <c r="I64" s="403">
        <f ca="1"/>
        <v>1.04621600551036E-4</v>
      </c>
      <c r="J64" s="403">
        <f ca="1"/>
        <v>4.1151067462850201E-4</v>
      </c>
      <c r="K64" s="403">
        <f ca="1"/>
        <v>0.25423787765769301</v>
      </c>
      <c r="L64" s="403">
        <f ca="1"/>
        <v>0.25423787765769301</v>
      </c>
      <c r="M64" s="403">
        <f ca="1"/>
        <v>5.6624119062145199E-5</v>
      </c>
      <c r="N64" s="403" t="str">
        <f ca="1"/>
        <v>KONINKLIJKE AHOLD DELHAIZE N.V.</v>
      </c>
      <c r="O64" s="403">
        <f ca="1"/>
        <v>0.20732277946175401</v>
      </c>
      <c r="P64" s="403">
        <f ca="1"/>
        <v>0.65708525755277702</v>
      </c>
      <c r="Q64" s="403">
        <f ca="1"/>
        <v>0.31551884185303303</v>
      </c>
      <c r="R64" s="441">
        <f ca="1"/>
        <v>0.31551884185303303</v>
      </c>
      <c r="S64" s="433"/>
      <c r="T64" s="412" cm="1">
        <f t="array" aca="1" ref="T64:X64" ca="1">IF(AND($U$12,B88&lt;=$C$17,C88&lt;&gt;""),TRANSPOSE(INDEX(getcds(C88,$C$6,G88/10000,F88,D88,$C$13,$C$14,$C$15,$C$8,,,TRUE,TRUE,FALSE,$C$29:$C$31,$C$33),{1;2;3;4;5})),"")</f>
        <v>9.7804992049707606E-2</v>
      </c>
      <c r="U64" s="413">
        <f ca="1"/>
        <v>0.14341471906702799</v>
      </c>
      <c r="V64" s="413">
        <f ca="1"/>
        <v>4.5609727017320398E-2</v>
      </c>
      <c r="W64" s="414">
        <f ca="1"/>
        <v>3.1443888934605202E-2</v>
      </c>
      <c r="X64" s="415">
        <f ca="1"/>
        <v>4.5609727017320401</v>
      </c>
      <c r="Y64" s="416">
        <f t="shared" ca="1" si="4"/>
        <v>5.3457106073324885E-2</v>
      </c>
      <c r="Z64" s="417">
        <f t="shared" ca="1" si="2"/>
        <v>-7.6665358496422302E-3</v>
      </c>
      <c r="AA64" s="416">
        <f t="shared" ca="1" si="0"/>
        <v>8.4745959219231004E-2</v>
      </c>
      <c r="AB64" s="418">
        <f t="shared" ca="1" si="1"/>
        <v>2.9871694487874939E-2</v>
      </c>
      <c r="AC64" s="417">
        <f t="shared" ca="1" si="3"/>
        <v>-6.0769089667459452E-4</v>
      </c>
      <c r="AD64" s="220"/>
      <c r="AE64" s="220"/>
    </row>
    <row r="65" spans="1:31" customFormat="1" ht="14.5">
      <c r="A65" s="220"/>
      <c r="B65" s="267">
        <v>27</v>
      </c>
      <c r="C65" s="68" t="s">
        <v>523</v>
      </c>
      <c r="D65" s="246">
        <f t="shared" ca="1" si="5"/>
        <v>1.0526315789473684</v>
      </c>
      <c r="E65" s="238"/>
      <c r="F65" s="225">
        <v>0.4</v>
      </c>
      <c r="G65" s="425">
        <v>100</v>
      </c>
      <c r="H65" s="377">
        <v>51</v>
      </c>
      <c r="I65" s="403">
        <f ca="1"/>
        <v>7.1140539964078604E-5</v>
      </c>
      <c r="J65" s="403">
        <f ca="1"/>
        <v>4.64337624280375E-4</v>
      </c>
      <c r="K65" s="403">
        <f ca="1"/>
        <v>0.15320864871618201</v>
      </c>
      <c r="L65" s="403">
        <f ca="1"/>
        <v>0.15320864871618201</v>
      </c>
      <c r="M65" s="403">
        <f ca="1"/>
        <v>-9.0871337729370204E-5</v>
      </c>
      <c r="N65" s="403" t="str">
        <f ca="1"/>
        <v>KONINKLIJKE PHILIPS N.V.</v>
      </c>
      <c r="O65" s="403">
        <f ca="1"/>
        <v>0.24212708573362501</v>
      </c>
      <c r="P65" s="403">
        <f ca="1"/>
        <v>0.77167988806161203</v>
      </c>
      <c r="Q65" s="403">
        <f ca="1"/>
        <v>0.31376622545110699</v>
      </c>
      <c r="R65" s="441">
        <f ca="1"/>
        <v>0.31376622545110699</v>
      </c>
      <c r="S65" s="433"/>
      <c r="T65" s="412" cm="1">
        <f t="array" aca="1" ref="T65:X65" ca="1">IF(AND($U$12,B89&lt;=$C$17,C89&lt;&gt;""),TRANSPOSE(INDEX(getcds(C89,$C$6,G89/10000,F89,D89,$C$13,$C$14,$C$15,$C$8,,,TRUE,TRUE,FALSE,$C$29:$C$31,$C$33),{1;2;3;4;5})),"")</f>
        <v>-2.2820934801697199E-2</v>
      </c>
      <c r="U65" s="413">
        <f ca="1"/>
        <v>2.4253137589085899E-2</v>
      </c>
      <c r="V65" s="413">
        <f ca="1"/>
        <v>4.7074072390783102E-2</v>
      </c>
      <c r="W65" s="414">
        <f ca="1"/>
        <v>5.1521222527232602E-3</v>
      </c>
      <c r="X65" s="415">
        <f ca="1"/>
        <v>4.7074072390783099</v>
      </c>
      <c r="Y65" s="416">
        <f t="shared" ca="1" si="4"/>
        <v>5.3457106073324885E-2</v>
      </c>
      <c r="Z65" s="417">
        <f t="shared" ca="1" si="2"/>
        <v>-1.2965025487107092E-3</v>
      </c>
      <c r="AA65" s="416">
        <f t="shared" ca="1" si="0"/>
        <v>5.1069549572060668E-2</v>
      </c>
      <c r="AB65" s="418">
        <f t="shared" ca="1" si="1"/>
        <v>4.8945161400870971E-3</v>
      </c>
      <c r="AC65" s="417">
        <f t="shared" ca="1" si="3"/>
        <v>-6.1929840619191588E-5</v>
      </c>
      <c r="AD65" s="220"/>
      <c r="AE65" s="220"/>
    </row>
    <row r="66" spans="1:31" customFormat="1" ht="14.5">
      <c r="A66" s="220"/>
      <c r="B66" s="267">
        <v>28</v>
      </c>
      <c r="C66" s="68" t="s">
        <v>524</v>
      </c>
      <c r="D66" s="246">
        <f t="shared" ca="1" si="5"/>
        <v>1.0526315789473684</v>
      </c>
      <c r="E66" s="238"/>
      <c r="F66" s="225">
        <v>0.4</v>
      </c>
      <c r="G66" s="425">
        <v>100</v>
      </c>
      <c r="H66" s="377">
        <v>52</v>
      </c>
      <c r="I66" s="403">
        <f ca="1"/>
        <v>9.7603014152562999E-5</v>
      </c>
      <c r="J66" s="403">
        <f ca="1"/>
        <v>4.5363554899141898E-4</v>
      </c>
      <c r="K66" s="403">
        <f ca="1"/>
        <v>0.215157331407485</v>
      </c>
      <c r="L66" s="403">
        <f ca="1"/>
        <v>0.215157331407485</v>
      </c>
      <c r="M66" s="403">
        <f ca="1"/>
        <v>-1.3426046694744201E-4</v>
      </c>
      <c r="N66" s="403" t="str">
        <f ca="1"/>
        <v>LOUIS DREYFUS COMPANY B.V.</v>
      </c>
      <c r="O66" s="403">
        <f ca="1"/>
        <v>0.2349469637471</v>
      </c>
      <c r="P66" s="403">
        <f ca="1"/>
        <v>0.73998794364905796</v>
      </c>
      <c r="Q66" s="403">
        <f ca="1"/>
        <v>0.31750106979921899</v>
      </c>
      <c r="R66" s="441">
        <f ca="1"/>
        <v>0.31750106979921899</v>
      </c>
      <c r="S66" s="433"/>
      <c r="T66" s="412" cm="1">
        <f t="array" aca="1" ref="T66:X66" ca="1">IF(AND($U$12,B90&lt;=$C$17,C90&lt;&gt;""),TRANSPOSE(INDEX(getcds(C90,$C$6,G90/10000,F90,D90,$C$13,$C$14,$C$15,$C$8,,,TRUE,TRUE,FALSE,$C$29:$C$31,$C$33),{1;2;3;4;5})),"")</f>
        <v>1.05390066852018E-2</v>
      </c>
      <c r="U66" s="413">
        <f ca="1"/>
        <v>5.6708525391350198E-2</v>
      </c>
      <c r="V66" s="413">
        <f ca="1"/>
        <v>4.6169518706148403E-2</v>
      </c>
      <c r="W66" s="414">
        <f ca="1"/>
        <v>1.2282676315574901E-2</v>
      </c>
      <c r="X66" s="415">
        <f ca="1"/>
        <v>4.61695187061484</v>
      </c>
      <c r="Y66" s="416">
        <f t="shared" ca="1" si="4"/>
        <v>5.3457106073324885E-2</v>
      </c>
      <c r="Z66" s="417">
        <f t="shared" ca="1" si="2"/>
        <v>-3.0314736571072417E-3</v>
      </c>
      <c r="AA66" s="416">
        <f t="shared" ca="1" si="0"/>
        <v>7.171911046916167E-2</v>
      </c>
      <c r="AB66" s="418">
        <f t="shared" ca="1" si="1"/>
        <v>1.1668542499796155E-2</v>
      </c>
      <c r="AC66" s="417">
        <f t="shared" ca="1" si="3"/>
        <v>-2.0335424985427528E-4</v>
      </c>
      <c r="AD66" s="220"/>
      <c r="AE66" s="220"/>
    </row>
    <row r="67" spans="1:31" customFormat="1" ht="14.5">
      <c r="A67" s="220"/>
      <c r="B67" s="267">
        <v>29</v>
      </c>
      <c r="C67" s="68" t="s">
        <v>538</v>
      </c>
      <c r="D67" s="246">
        <f t="shared" ca="1" si="5"/>
        <v>1.0526315789473684</v>
      </c>
      <c r="E67" s="238"/>
      <c r="F67" s="225">
        <v>0.4</v>
      </c>
      <c r="G67" s="425">
        <v>100</v>
      </c>
      <c r="H67" s="377">
        <v>53</v>
      </c>
      <c r="I67" s="403">
        <f ca="1"/>
        <v>5.8741378005648903E-5</v>
      </c>
      <c r="J67" s="403">
        <f ca="1"/>
        <v>4.8236050587487398E-4</v>
      </c>
      <c r="K67" s="403">
        <f ca="1"/>
        <v>0.12177899577227499</v>
      </c>
      <c r="L67" s="403">
        <f ca="1"/>
        <v>0.12177899577227499</v>
      </c>
      <c r="M67" s="403">
        <f ca="1"/>
        <v>-5.9773821550663801E-5</v>
      </c>
      <c r="N67" s="403" t="str">
        <f ca="1"/>
        <v>LVMH MOET HENNESSY LOUIS VUITTON</v>
      </c>
      <c r="O67" s="403">
        <f ca="1"/>
        <v>0.243541403380379</v>
      </c>
      <c r="P67" s="403">
        <f ca="1"/>
        <v>0.78067211029420303</v>
      </c>
      <c r="Q67" s="403">
        <f ca="1"/>
        <v>0.31196375554981498</v>
      </c>
      <c r="R67" s="441">
        <f ca="1"/>
        <v>0.31196375554981498</v>
      </c>
      <c r="S67" s="433"/>
      <c r="T67" s="412" cm="1">
        <f t="array" aca="1" ref="T67:X67" ca="1">IF(AND($U$12,B91&lt;=$C$17,C91&lt;&gt;""),TRANSPOSE(INDEX(getcds(C91,$C$6,G91/10000,F91,D91,$C$13,$C$14,$C$15,$C$8,,,TRUE,TRUE,FALSE,$C$29:$C$31,$C$33),{1;2;3;4;5})),"")</f>
        <v>-3.2286431888635198E-2</v>
      </c>
      <c r="U67" s="413">
        <f ca="1"/>
        <v>1.5085831691761401E-2</v>
      </c>
      <c r="V67" s="413">
        <f ca="1"/>
        <v>4.7372263580396597E-2</v>
      </c>
      <c r="W67" s="414">
        <f ca="1"/>
        <v>3.18452836144484E-3</v>
      </c>
      <c r="X67" s="415">
        <f ca="1"/>
        <v>4.7372263580396599</v>
      </c>
      <c r="Y67" s="416">
        <f t="shared" ca="1" si="4"/>
        <v>5.3457106073324885E-2</v>
      </c>
      <c r="Z67" s="417">
        <f t="shared" ca="1" si="2"/>
        <v>-8.0644490495081244E-4</v>
      </c>
      <c r="AA67" s="416">
        <f t="shared" ca="1" si="0"/>
        <v>4.0592998590758329E-2</v>
      </c>
      <c r="AB67" s="418">
        <f t="shared" ca="1" si="1"/>
        <v>3.0253019433725977E-3</v>
      </c>
      <c r="AC67" s="417">
        <f t="shared" ca="1" si="3"/>
        <v>-3.0618957230204346E-5</v>
      </c>
      <c r="AD67" s="220"/>
      <c r="AE67" s="220"/>
    </row>
    <row r="68" spans="1:31" customFormat="1" ht="14.5">
      <c r="A68" s="220"/>
      <c r="B68" s="267">
        <v>30</v>
      </c>
      <c r="C68" s="68" t="s">
        <v>539</v>
      </c>
      <c r="D68" s="246">
        <f t="shared" ca="1" si="5"/>
        <v>1.0526315789473684</v>
      </c>
      <c r="E68" s="238"/>
      <c r="F68" s="225">
        <v>0.4</v>
      </c>
      <c r="G68" s="425">
        <v>100</v>
      </c>
      <c r="H68" s="377">
        <v>54</v>
      </c>
      <c r="I68" s="403">
        <f ca="1"/>
        <v>5.5417487256912398E-5</v>
      </c>
      <c r="J68" s="403">
        <f ca="1"/>
        <v>4.83379933058756E-4</v>
      </c>
      <c r="K68" s="403">
        <f ca="1"/>
        <v>0.114645816813782</v>
      </c>
      <c r="L68" s="403">
        <f ca="1"/>
        <v>0.114645816813782</v>
      </c>
      <c r="M68" s="403">
        <f ca="1"/>
        <v>-5.2971655393188002E-5</v>
      </c>
      <c r="N68" s="403" t="str">
        <f ca="1"/>
        <v>NESTLE S.A.</v>
      </c>
      <c r="O68" s="403">
        <f ca="1"/>
        <v>0.24374776720019101</v>
      </c>
      <c r="P68" s="403">
        <f ca="1"/>
        <v>0.78226172825186502</v>
      </c>
      <c r="Q68" s="403">
        <f ca="1"/>
        <v>0.31159362448281702</v>
      </c>
      <c r="R68" s="441">
        <f ca="1"/>
        <v>0.31159362448281702</v>
      </c>
      <c r="S68" s="433"/>
      <c r="T68" s="412" cm="1">
        <f t="array" aca="1" ref="T68:X68" ca="1">IF(AND($U$12,B92&lt;=$C$17,C92&lt;&gt;""),TRANSPOSE(INDEX(getcds(C92,$C$6,G92/10000,F92,D92,$C$13,$C$14,$C$15,$C$8,,,TRUE,TRUE,FALSE,$C$29:$C$31,$C$33),{1;2;3;4;5})),"")</f>
        <v>-3.3959713949331699E-2</v>
      </c>
      <c r="U68" s="413">
        <f ca="1"/>
        <v>1.3414311429827099E-2</v>
      </c>
      <c r="V68" s="413">
        <f ca="1"/>
        <v>4.7374025379158802E-2</v>
      </c>
      <c r="W68" s="414">
        <f ca="1"/>
        <v>2.8315751770016098E-3</v>
      </c>
      <c r="X68" s="415">
        <f ca="1"/>
        <v>4.7374025379158802</v>
      </c>
      <c r="Y68" s="416">
        <f t="shared" ca="1" si="4"/>
        <v>5.3457106073324885E-2</v>
      </c>
      <c r="Z68" s="417">
        <f t="shared" ca="1" si="2"/>
        <v>-7.1709026900487814E-4</v>
      </c>
      <c r="AA68" s="416">
        <f t="shared" ca="1" si="0"/>
        <v>3.8215272271260668E-2</v>
      </c>
      <c r="AB68" s="418">
        <f t="shared" ca="1" si="1"/>
        <v>2.6899964181515291E-3</v>
      </c>
      <c r="AC68" s="417">
        <f t="shared" ca="1" si="3"/>
        <v>-2.5631578181116244E-5</v>
      </c>
      <c r="AD68" s="220"/>
      <c r="AE68" s="220"/>
    </row>
    <row r="69" spans="1:31" customFormat="1" ht="14.5">
      <c r="A69" s="220"/>
      <c r="B69" s="267">
        <v>31</v>
      </c>
      <c r="C69" s="68" t="s">
        <v>540</v>
      </c>
      <c r="D69" s="246">
        <f t="shared" ca="1" si="5"/>
        <v>1.0526315789473684</v>
      </c>
      <c r="E69" s="238"/>
      <c r="F69" s="225">
        <v>0.4</v>
      </c>
      <c r="G69" s="425">
        <v>100</v>
      </c>
      <c r="H69" s="377">
        <v>55</v>
      </c>
      <c r="I69" s="403">
        <f ca="1"/>
        <v>7.2220239475897496E-5</v>
      </c>
      <c r="J69" s="403">
        <f ca="1"/>
        <v>4.7510444934251498E-4</v>
      </c>
      <c r="K69" s="403">
        <f ca="1"/>
        <v>0.15200918361392199</v>
      </c>
      <c r="L69" s="403">
        <f ca="1"/>
        <v>0.15200918361392199</v>
      </c>
      <c r="M69" s="403">
        <f ca="1"/>
        <v>-9.0035213163548405E-5</v>
      </c>
      <c r="N69" s="403" t="str">
        <f ca="1"/>
        <v>NEXT PLC</v>
      </c>
      <c r="O69" s="403">
        <f ca="1"/>
        <v>0.24222024609880499</v>
      </c>
      <c r="P69" s="403">
        <f ca="1"/>
        <v>0.77220654272245703</v>
      </c>
      <c r="Q69" s="403">
        <f ca="1"/>
        <v>0.31367287467527</v>
      </c>
      <c r="R69" s="441">
        <f ca="1"/>
        <v>0.31367287467527</v>
      </c>
      <c r="S69" s="433"/>
      <c r="T69" s="412" cm="1">
        <f t="array" aca="1" ref="T69:X69" ca="1">IF(AND($U$12,B93&lt;=$C$17,C93&lt;&gt;""),TRANSPOSE(INDEX(getcds(C93,$C$6,G93/10000,F93,D93,$C$13,$C$14,$C$15,$C$8,,,TRUE,TRUE,FALSE,$C$29:$C$31,$C$33),{1;2;3;4;5})),"")</f>
        <v>-2.3375308128902698E-2</v>
      </c>
      <c r="U69" s="413">
        <f ca="1"/>
        <v>2.3810140274720799E-2</v>
      </c>
      <c r="V69" s="413">
        <f ca="1"/>
        <v>4.7185448403623501E-2</v>
      </c>
      <c r="W69" s="414">
        <f ca="1"/>
        <v>5.0460769326698598E-3</v>
      </c>
      <c r="X69" s="415">
        <f ca="1"/>
        <v>4.71854484036235</v>
      </c>
      <c r="Y69" s="416">
        <f t="shared" ca="1" si="4"/>
        <v>5.3457106073324885E-2</v>
      </c>
      <c r="Z69" s="417">
        <f t="shared" ca="1" si="2"/>
        <v>-1.272821194286497E-3</v>
      </c>
      <c r="AA69" s="416">
        <f t="shared" ca="1" si="0"/>
        <v>5.066972787130733E-2</v>
      </c>
      <c r="AB69" s="418">
        <f t="shared" ca="1" si="1"/>
        <v>4.7937730860363667E-3</v>
      </c>
      <c r="AC69" s="417">
        <f t="shared" ca="1" si="3"/>
        <v>-6.0322666414888004E-5</v>
      </c>
      <c r="AD69" s="220"/>
      <c r="AE69" s="220"/>
    </row>
    <row r="70" spans="1:31" customFormat="1" ht="14.5">
      <c r="A70" s="220"/>
      <c r="B70" s="267">
        <v>32</v>
      </c>
      <c r="C70" s="68" t="s">
        <v>525</v>
      </c>
      <c r="D70" s="246">
        <f t="shared" ca="1" si="5"/>
        <v>1.0526315789473684</v>
      </c>
      <c r="E70" s="238"/>
      <c r="F70" s="225">
        <v>0.4</v>
      </c>
      <c r="G70" s="425">
        <v>100</v>
      </c>
      <c r="H70" s="377">
        <v>56</v>
      </c>
      <c r="I70" s="403">
        <f ca="1"/>
        <v>6.4239105870347299E-5</v>
      </c>
      <c r="J70" s="403">
        <f ca="1"/>
        <v>4.7965258316612998E-4</v>
      </c>
      <c r="K70" s="403">
        <f ca="1"/>
        <v>0.13392840594397001</v>
      </c>
      <c r="L70" s="403">
        <f ca="1"/>
        <v>0.13392840594397001</v>
      </c>
      <c r="M70" s="403">
        <f ca="1"/>
        <v>-7.1481689400343401E-5</v>
      </c>
      <c r="N70" s="403" t="str">
        <f ca="1"/>
        <v>PERNOD RICARD</v>
      </c>
      <c r="O70" s="403">
        <f ca="1"/>
        <v>0.24309368791383501</v>
      </c>
      <c r="P70" s="403">
        <f ca="1"/>
        <v>0.77756537388604097</v>
      </c>
      <c r="Q70" s="403">
        <f ca="1"/>
        <v>0.312634404871869</v>
      </c>
      <c r="R70" s="441">
        <f ca="1"/>
        <v>0.312634404871869</v>
      </c>
      <c r="S70" s="433"/>
      <c r="T70" s="412" cm="1">
        <f t="array" aca="1" ref="T70:X70" ca="1">IF(AND($U$12,B94&lt;=$C$17,C94&lt;&gt;""),TRANSPOSE(INDEX(getcds(C94,$C$6,G94/10000,F94,D94,$C$13,$C$14,$C$15,$C$8,,,TRUE,TRUE,FALSE,$C$29:$C$31,$C$33),{1;2;3;4;5})),"")</f>
        <v>-2.90161830379378E-2</v>
      </c>
      <c r="U70" s="413">
        <f ca="1"/>
        <v>1.8250417697358402E-2</v>
      </c>
      <c r="V70" s="413">
        <f ca="1"/>
        <v>4.7266600735296198E-2</v>
      </c>
      <c r="W70" s="414">
        <f ca="1"/>
        <v>3.8611656885514001E-3</v>
      </c>
      <c r="X70" s="415">
        <f ca="1"/>
        <v>4.7266600735296196</v>
      </c>
      <c r="Y70" s="416">
        <f t="shared" ca="1" si="4"/>
        <v>5.3457106073324885E-2</v>
      </c>
      <c r="Z70" s="417">
        <f t="shared" ca="1" si="2"/>
        <v>-9.7561451473017393E-4</v>
      </c>
      <c r="AA70" s="416">
        <f t="shared" ca="1" si="0"/>
        <v>4.4642801981323338E-2</v>
      </c>
      <c r="AB70" s="418">
        <f t="shared" ca="1" si="1"/>
        <v>3.6681074041238298E-3</v>
      </c>
      <c r="AC70" s="417">
        <f t="shared" ca="1" si="3"/>
        <v>-4.073748916698059E-5</v>
      </c>
      <c r="AD70" s="220"/>
      <c r="AE70" s="220"/>
    </row>
    <row r="71" spans="1:31" customFormat="1" ht="14.5">
      <c r="A71" s="220"/>
      <c r="B71" s="267">
        <v>33</v>
      </c>
      <c r="C71" s="68" t="s">
        <v>526</v>
      </c>
      <c r="D71" s="246">
        <f t="shared" ca="1" si="5"/>
        <v>1.0526315789473684</v>
      </c>
      <c r="E71" s="238"/>
      <c r="F71" s="225">
        <v>0.4</v>
      </c>
      <c r="G71" s="425">
        <v>100</v>
      </c>
      <c r="H71" s="377">
        <v>57</v>
      </c>
      <c r="I71" s="403">
        <f ca="1"/>
        <v>5.4717528022649799E-5</v>
      </c>
      <c r="J71" s="403">
        <f ca="1"/>
        <v>4.8396526347716402E-4</v>
      </c>
      <c r="K71" s="403">
        <f ca="1"/>
        <v>0.113060858189529</v>
      </c>
      <c r="L71" s="403">
        <f ca="1"/>
        <v>0.113060858189529</v>
      </c>
      <c r="M71" s="403">
        <f ca="1"/>
        <v>-5.1725048004969198E-5</v>
      </c>
      <c r="N71" s="403" t="str">
        <f ca="1"/>
        <v>SODEXO</v>
      </c>
      <c r="O71" s="403">
        <f ca="1"/>
        <v>0.243799789997282</v>
      </c>
      <c r="P71" s="403">
        <f ca="1"/>
        <v>0.78264719569420504</v>
      </c>
      <c r="Q71" s="403">
        <f ca="1"/>
        <v>0.31150662947310798</v>
      </c>
      <c r="R71" s="441">
        <f ca="1"/>
        <v>0.31150662947310798</v>
      </c>
      <c r="S71" s="433"/>
      <c r="T71" s="412" cm="1">
        <f t="array" aca="1" ref="T71:X71" ca="1">IF(AND($U$12,B95&lt;=$C$17,C95&lt;&gt;""),TRANSPOSE(INDEX(getcds(C95,$C$6,G95/10000,F95,D95,$C$13,$C$14,$C$15,$C$8,,,TRUE,TRUE,FALSE,$C$29:$C$31,$C$33),{1;2;3;4;5})),"")</f>
        <v>-3.4365469151794503E-2</v>
      </c>
      <c r="U71" s="413">
        <f ca="1"/>
        <v>1.3061124756397299E-2</v>
      </c>
      <c r="V71" s="413">
        <f ca="1"/>
        <v>4.7426593908191803E-2</v>
      </c>
      <c r="W71" s="414">
        <f ca="1"/>
        <v>2.7539664310873599E-3</v>
      </c>
      <c r="X71" s="415">
        <f ca="1"/>
        <v>4.7426593908191803</v>
      </c>
      <c r="Y71" s="416">
        <f t="shared" ca="1" si="4"/>
        <v>5.3457106073324885E-2</v>
      </c>
      <c r="Z71" s="417">
        <f t="shared" ca="1" si="2"/>
        <v>-6.9820993153965746E-4</v>
      </c>
      <c r="AA71" s="416">
        <f t="shared" ca="1" si="0"/>
        <v>3.7686952729843001E-2</v>
      </c>
      <c r="AB71" s="418">
        <f t="shared" ca="1" si="1"/>
        <v>2.6162681095329918E-3</v>
      </c>
      <c r="AC71" s="417">
        <f t="shared" ca="1" si="3"/>
        <v>-2.4611699564646289E-5</v>
      </c>
      <c r="AD71" s="220"/>
      <c r="AE71" s="220"/>
    </row>
    <row r="72" spans="1:31" customFormat="1" ht="14.5">
      <c r="A72" s="220"/>
      <c r="B72" s="267">
        <v>34</v>
      </c>
      <c r="C72" s="68" t="s">
        <v>527</v>
      </c>
      <c r="D72" s="246">
        <f t="shared" ca="1" si="5"/>
        <v>1.0526315789473684</v>
      </c>
      <c r="E72" s="238"/>
      <c r="F72" s="225">
        <v>0.4</v>
      </c>
      <c r="G72" s="425">
        <v>100</v>
      </c>
      <c r="H72" s="377">
        <v>58</v>
      </c>
      <c r="I72" s="403">
        <f ca="1"/>
        <v>8.1191238235582794E-5</v>
      </c>
      <c r="J72" s="403">
        <f ca="1"/>
        <v>4.5651512055547202E-4</v>
      </c>
      <c r="K72" s="403">
        <f ca="1"/>
        <v>0.17785005267030801</v>
      </c>
      <c r="L72" s="403">
        <f ca="1"/>
        <v>0.17785005267030801</v>
      </c>
      <c r="M72" s="403">
        <f ca="1"/>
        <v>-1.14812888061777E-4</v>
      </c>
      <c r="N72" s="403" t="str">
        <f ca="1"/>
        <v>SUEDZUCKER AG</v>
      </c>
      <c r="O72" s="403">
        <f ca="1"/>
        <v>0.24026766674213501</v>
      </c>
      <c r="P72" s="403">
        <f ca="1"/>
        <v>0.76209053749842603</v>
      </c>
      <c r="Q72" s="403">
        <f ca="1"/>
        <v>0.31527443908543601</v>
      </c>
      <c r="R72" s="441">
        <f ca="1"/>
        <v>0.31527443908543601</v>
      </c>
      <c r="S72" s="433"/>
      <c r="T72" s="412" cm="1">
        <f t="array" aca="1" ref="T72:X72" ca="1">IF(AND($U$12,B96&lt;=$C$17,C96&lt;&gt;""),TRANSPOSE(INDEX(getcds(C96,$C$6,G96/10000,F96,D96,$C$13,$C$14,$C$15,$C$8,,,TRUE,TRUE,FALSE,$C$29:$C$31,$C$33),{1;2;3;4;5})),"")</f>
        <v>-1.27268815772903E-2</v>
      </c>
      <c r="U72" s="413">
        <f ca="1"/>
        <v>3.40988275702385E-2</v>
      </c>
      <c r="V72" s="413">
        <f ca="1"/>
        <v>4.6825709147528802E-2</v>
      </c>
      <c r="W72" s="414">
        <f ca="1"/>
        <v>7.2820739271255699E-3</v>
      </c>
      <c r="X72" s="415">
        <f ca="1"/>
        <v>4.6825709147528798</v>
      </c>
      <c r="Y72" s="416">
        <f t="shared" ca="1" si="4"/>
        <v>5.3457106073324885E-2</v>
      </c>
      <c r="Z72" s="417">
        <f t="shared" ca="1" si="2"/>
        <v>-1.8228246423982531E-3</v>
      </c>
      <c r="AA72" s="416">
        <f t="shared" ca="1" si="0"/>
        <v>5.9283350890102671E-2</v>
      </c>
      <c r="AB72" s="418">
        <f t="shared" ca="1" si="1"/>
        <v>6.9179702307692907E-3</v>
      </c>
      <c r="AC72" s="417">
        <f t="shared" ca="1" si="3"/>
        <v>-1.0107463798937794E-4</v>
      </c>
      <c r="AD72" s="220"/>
      <c r="AE72" s="220"/>
    </row>
    <row r="73" spans="1:31" customFormat="1" ht="14.5">
      <c r="A73" s="220"/>
      <c r="B73" s="267">
        <v>35</v>
      </c>
      <c r="C73" s="68" t="s">
        <v>541</v>
      </c>
      <c r="D73" s="246">
        <f t="shared" ca="1" si="5"/>
        <v>1.0526315789473684</v>
      </c>
      <c r="E73" s="238"/>
      <c r="F73" s="225">
        <v>0.4</v>
      </c>
      <c r="G73" s="425">
        <v>100</v>
      </c>
      <c r="H73" s="377">
        <v>59</v>
      </c>
      <c r="I73" s="403">
        <f ca="1"/>
        <v>7.2760725509872802E-5</v>
      </c>
      <c r="J73" s="403">
        <f ca="1"/>
        <v>4.63257693255563E-4</v>
      </c>
      <c r="K73" s="403">
        <f ca="1"/>
        <v>0.15706317794431801</v>
      </c>
      <c r="L73" s="403">
        <f ca="1"/>
        <v>0.15706317794431801</v>
      </c>
      <c r="M73" s="403">
        <f ca="1"/>
        <v>-9.4875027881118301E-5</v>
      </c>
      <c r="N73" s="403" t="str">
        <f ca="1"/>
        <v>TESCO PLC</v>
      </c>
      <c r="O73" s="403">
        <f ca="1"/>
        <v>0.24189540693681799</v>
      </c>
      <c r="P73" s="403">
        <f ca="1"/>
        <v>0.77038310384267905</v>
      </c>
      <c r="Q73" s="403">
        <f ca="1"/>
        <v>0.31399365553351499</v>
      </c>
      <c r="R73" s="441">
        <f ca="1"/>
        <v>0.31399365553351499</v>
      </c>
      <c r="S73" s="433"/>
      <c r="T73" s="412" cm="1">
        <f t="array" aca="1" ref="T73:X73" ca="1">IF(AND($U$12,B97&lt;=$C$17,C97&lt;&gt;""),TRANSPOSE(INDEX(getcds(C97,$C$6,G97/10000,F97,D97,$C$13,$C$14,$C$15,$C$8,,,TRUE,TRUE,FALSE,$C$29:$C$31,$C$33),{1;2;3;4;5})),"")</f>
        <v>-2.14558987817677E-2</v>
      </c>
      <c r="U73" s="413">
        <f ca="1"/>
        <v>2.5605720424987499E-2</v>
      </c>
      <c r="V73" s="413">
        <f ca="1"/>
        <v>4.7061619206755202E-2</v>
      </c>
      <c r="W73" s="414">
        <f ca="1"/>
        <v>5.4408923569956701E-3</v>
      </c>
      <c r="X73" s="415">
        <f ca="1"/>
        <v>4.7061619206755196</v>
      </c>
      <c r="Y73" s="416">
        <f t="shared" ca="1" si="4"/>
        <v>5.3457106073324885E-2</v>
      </c>
      <c r="Z73" s="417">
        <f t="shared" ca="1" si="2"/>
        <v>-1.3688077128424583E-3</v>
      </c>
      <c r="AA73" s="416">
        <f t="shared" ca="1" si="0"/>
        <v>5.2354392648106006E-2</v>
      </c>
      <c r="AB73" s="418">
        <f t="shared" ca="1" si="1"/>
        <v>5.1688477391458867E-3</v>
      </c>
      <c r="AC73" s="417">
        <f t="shared" ca="1" si="3"/>
        <v>-6.7028597058371137E-5</v>
      </c>
      <c r="AD73" s="220"/>
      <c r="AE73" s="220"/>
    </row>
    <row r="74" spans="1:31" customFormat="1" ht="14.5">
      <c r="A74" s="220"/>
      <c r="B74" s="267">
        <v>36</v>
      </c>
      <c r="C74" s="68" t="s">
        <v>528</v>
      </c>
      <c r="D74" s="246">
        <f t="shared" ca="1" si="5"/>
        <v>1.0526315789473684</v>
      </c>
      <c r="E74" s="238"/>
      <c r="F74" s="225">
        <v>0.4</v>
      </c>
      <c r="G74" s="425">
        <v>100</v>
      </c>
      <c r="H74" s="377">
        <v>60</v>
      </c>
      <c r="I74" s="403">
        <f ca="1"/>
        <v>5.4445993529488401E-5</v>
      </c>
      <c r="J74" s="403">
        <f ca="1"/>
        <v>4.8380686773139399E-4</v>
      </c>
      <c r="K74" s="403">
        <f ca="1"/>
        <v>0.112536628065636</v>
      </c>
      <c r="L74" s="403">
        <f ca="1"/>
        <v>0.112536628065636</v>
      </c>
      <c r="M74" s="403">
        <f ca="1"/>
        <v>-5.11044620266676E-5</v>
      </c>
      <c r="N74" s="403" t="str">
        <f ca="1"/>
        <v>UNILEVER PLC</v>
      </c>
      <c r="O74" s="403">
        <f ca="1"/>
        <v>0.24380738495653601</v>
      </c>
      <c r="P74" s="403">
        <f ca="1"/>
        <v>0.78272910226113901</v>
      </c>
      <c r="Q74" s="403">
        <f ca="1"/>
        <v>0.31148373588285899</v>
      </c>
      <c r="R74" s="441">
        <f ca="1"/>
        <v>0.31148373588285899</v>
      </c>
      <c r="S74" s="433"/>
      <c r="T74" s="412" cm="1">
        <f t="array" aca="1" ref="T74:X74" ca="1">IF(AND($U$12,B98&lt;=$C$17,C98&lt;&gt;""),TRANSPOSE(INDEX(getcds(C98,$C$6,G98/10000,F98,D98,$C$13,$C$14,$C$15,$C$8,,,TRUE,TRUE,FALSE,$C$29:$C$31,$C$33),{1;2;3;4;5})),"")</f>
        <v>-3.4451686590672298E-2</v>
      </c>
      <c r="U74" s="413">
        <f ca="1"/>
        <v>1.29435351665424E-2</v>
      </c>
      <c r="V74" s="413">
        <f ca="1"/>
        <v>4.7395221757214702E-2</v>
      </c>
      <c r="W74" s="414">
        <f ca="1"/>
        <v>2.7309789229063102E-3</v>
      </c>
      <c r="X74" s="415">
        <f ca="1"/>
        <v>4.7395221757214703</v>
      </c>
      <c r="Y74" s="416">
        <f t="shared" ca="1" si="4"/>
        <v>5.3457106073324885E-2</v>
      </c>
      <c r="Z74" s="417">
        <f t="shared" ca="1" si="2"/>
        <v>-6.9192393236166758E-4</v>
      </c>
      <c r="AA74" s="416">
        <f t="shared" ca="1" si="0"/>
        <v>3.7512209355211996E-2</v>
      </c>
      <c r="AB74" s="418">
        <f t="shared" ca="1" si="1"/>
        <v>2.5944299767609947E-3</v>
      </c>
      <c r="AC74" s="417">
        <f t="shared" ca="1" si="3"/>
        <v>-2.4277030048194355E-5</v>
      </c>
      <c r="AD74" s="220"/>
      <c r="AE74" s="220"/>
    </row>
    <row r="75" spans="1:31" customFormat="1" ht="14.5">
      <c r="A75" s="220"/>
      <c r="B75" s="267">
        <v>37</v>
      </c>
      <c r="C75" s="68" t="s">
        <v>542</v>
      </c>
      <c r="D75" s="246">
        <f t="shared" ca="1" si="5"/>
        <v>1.0526315789473684</v>
      </c>
      <c r="E75" s="238"/>
      <c r="F75" s="225">
        <v>0.4</v>
      </c>
      <c r="G75" s="425">
        <v>100</v>
      </c>
      <c r="H75" s="377">
        <v>61</v>
      </c>
      <c r="I75" s="403">
        <f ca="1"/>
        <v>7.4064736434784601E-5</v>
      </c>
      <c r="J75" s="403">
        <f ca="1"/>
        <v>4.73511422023144E-4</v>
      </c>
      <c r="K75" s="403">
        <f ca="1"/>
        <v>0.15641594476925699</v>
      </c>
      <c r="L75" s="403">
        <f ca="1"/>
        <v>0.15641594476925699</v>
      </c>
      <c r="M75" s="403">
        <f ca="1"/>
        <v>-9.4250692769100102E-5</v>
      </c>
      <c r="N75" s="403" t="str">
        <f ca="1"/>
        <v>BP P.L.C.</v>
      </c>
      <c r="O75" s="403">
        <f ca="1"/>
        <v>0.24194419570530501</v>
      </c>
      <c r="P75" s="403">
        <f ca="1"/>
        <v>0.77065234473862798</v>
      </c>
      <c r="Q75" s="403">
        <f ca="1"/>
        <v>0.31394726475186702</v>
      </c>
      <c r="R75" s="441">
        <f ca="1"/>
        <v>0.31394726475186702</v>
      </c>
      <c r="S75" s="433"/>
      <c r="T75" s="412" cm="1">
        <f t="array" aca="1" ref="T75:X75" ca="1">IF(AND($U$12,B99&lt;=$C$17,C99&lt;&gt;""),TRANSPOSE(INDEX(getcds(C99,$C$6,G99/10000,F99,D99,$C$13,$C$14,$C$15,$C$8,,,TRUE,TRUE,FALSE,$C$29:$C$31,$C$33),{1;2;3;4;5})),"")</f>
        <v>-2.17393102511876E-2</v>
      </c>
      <c r="U75" s="413">
        <f ca="1"/>
        <v>2.53487396001956E-2</v>
      </c>
      <c r="V75" s="413">
        <f ca="1"/>
        <v>4.70880498513832E-2</v>
      </c>
      <c r="W75" s="414">
        <f ca="1"/>
        <v>5.3832638387446398E-3</v>
      </c>
      <c r="X75" s="415">
        <f ca="1"/>
        <v>4.70880498513832</v>
      </c>
      <c r="Y75" s="416">
        <f t="shared" ca="1" si="4"/>
        <v>5.3457106073324885E-2</v>
      </c>
      <c r="Z75" s="417">
        <f t="shared" ca="1" si="2"/>
        <v>-1.3550702616327479E-3</v>
      </c>
      <c r="AA75" s="416">
        <f t="shared" ca="1" si="0"/>
        <v>5.2138648256419E-2</v>
      </c>
      <c r="AB75" s="418">
        <f t="shared" ca="1" si="1"/>
        <v>5.1141006468074079E-3</v>
      </c>
      <c r="AC75" s="417">
        <f t="shared" ca="1" si="3"/>
        <v>-6.6082450887907897E-5</v>
      </c>
      <c r="AD75" s="220"/>
      <c r="AE75" s="220"/>
    </row>
    <row r="76" spans="1:31" customFormat="1" ht="14.5">
      <c r="A76" s="220"/>
      <c r="B76" s="267">
        <v>38</v>
      </c>
      <c r="C76" s="68" t="s">
        <v>543</v>
      </c>
      <c r="D76" s="246">
        <f t="shared" ca="1" si="5"/>
        <v>1.0526315789473684</v>
      </c>
      <c r="E76" s="238"/>
      <c r="F76" s="225">
        <v>0.4</v>
      </c>
      <c r="G76" s="425">
        <v>100</v>
      </c>
      <c r="H76" s="377">
        <v>62</v>
      </c>
      <c r="I76" s="403">
        <f ca="1"/>
        <v>7.8418987472976903E-5</v>
      </c>
      <c r="J76" s="403">
        <f ca="1"/>
        <v>4.5897458406683002E-4</v>
      </c>
      <c r="K76" s="403">
        <f ca="1"/>
        <v>0.170856928020133</v>
      </c>
      <c r="L76" s="403">
        <f ca="1"/>
        <v>0.170856928020133</v>
      </c>
      <c r="M76" s="403">
        <f ca="1"/>
        <v>-1.08468700272302E-4</v>
      </c>
      <c r="N76" s="403" t="str">
        <f ca="1"/>
        <v>CENTRICA PLC</v>
      </c>
      <c r="O76" s="403">
        <f ca="1"/>
        <v>0.240892102503904</v>
      </c>
      <c r="P76" s="403">
        <f ca="1"/>
        <v>0.76513346129672699</v>
      </c>
      <c r="Q76" s="403">
        <f ca="1"/>
        <v>0.31483671109566502</v>
      </c>
      <c r="R76" s="441">
        <f ca="1"/>
        <v>0.31483671109566502</v>
      </c>
      <c r="S76" s="433"/>
      <c r="T76" s="412" cm="1">
        <f t="array" aca="1" ref="T76:X76" ca="1">IF(AND($U$12,B100&lt;=$C$17,C100&lt;&gt;""),TRANSPOSE(INDEX(getcds(C100,$C$6,G100/10000,F100,D100,$C$13,$C$14,$C$15,$C$8,,,TRUE,TRUE,FALSE,$C$29:$C$31,$C$33),{1;2;3;4;5})),"")</f>
        <v>-1.5929959259713099E-2</v>
      </c>
      <c r="U76" s="413">
        <f ca="1"/>
        <v>3.0996406779208601E-2</v>
      </c>
      <c r="V76" s="413">
        <f ca="1"/>
        <v>4.6926366038921703E-2</v>
      </c>
      <c r="W76" s="414">
        <f ca="1"/>
        <v>6.60532860215504E-3</v>
      </c>
      <c r="X76" s="415">
        <f ca="1"/>
        <v>4.6926366038921703</v>
      </c>
      <c r="Y76" s="416">
        <f t="shared" ca="1" si="4"/>
        <v>5.3457106073324885E-2</v>
      </c>
      <c r="Z76" s="417">
        <f t="shared" ca="1" si="2"/>
        <v>-1.6569782050880832E-3</v>
      </c>
      <c r="AA76" s="416">
        <f t="shared" ca="1" si="0"/>
        <v>5.6952309340044333E-2</v>
      </c>
      <c r="AB76" s="418">
        <f t="shared" ca="1" si="1"/>
        <v>6.2750621720472875E-3</v>
      </c>
      <c r="AC76" s="417">
        <f t="shared" ca="1" si="3"/>
        <v>-8.8265847365967008E-5</v>
      </c>
      <c r="AD76" s="220"/>
      <c r="AE76" s="220"/>
    </row>
    <row r="77" spans="1:31" customFormat="1" ht="14.5">
      <c r="A77" s="220"/>
      <c r="B77" s="267">
        <v>39</v>
      </c>
      <c r="C77" s="68" t="s">
        <v>544</v>
      </c>
      <c r="D77" s="246">
        <f t="shared" ca="1" si="5"/>
        <v>1.0526315789473684</v>
      </c>
      <c r="E77" s="238"/>
      <c r="F77" s="225">
        <v>0.4</v>
      </c>
      <c r="G77" s="425">
        <v>100</v>
      </c>
      <c r="H77" s="377">
        <v>63</v>
      </c>
      <c r="I77" s="403">
        <f ca="1"/>
        <v>6.6526518757981104E-5</v>
      </c>
      <c r="J77" s="403">
        <f ca="1"/>
        <v>4.7844084763460699E-4</v>
      </c>
      <c r="K77" s="403">
        <f ca="1"/>
        <v>0.13904857640581</v>
      </c>
      <c r="L77" s="403">
        <f ca="1"/>
        <v>0.13904857640581</v>
      </c>
      <c r="M77" s="403">
        <f ca="1"/>
        <v>-7.6614131749428406E-5</v>
      </c>
      <c r="N77" s="403" t="str">
        <f ca="1"/>
        <v>E.ON SE</v>
      </c>
      <c r="O77" s="403">
        <f ca="1"/>
        <v>0.242873498152408</v>
      </c>
      <c r="P77" s="403">
        <f ca="1"/>
        <v>0.776139327324055</v>
      </c>
      <c r="Q77" s="403">
        <f ca="1"/>
        <v>0.31292512774707398</v>
      </c>
      <c r="R77" s="441">
        <f ca="1"/>
        <v>0.31292512774707398</v>
      </c>
      <c r="S77" s="433"/>
      <c r="T77" s="412" cm="1">
        <f t="array" aca="1" ref="T77:X77" ca="1">IF(AND($U$12,B101&lt;=$C$17,C101&lt;&gt;""),TRANSPOSE(INDEX(getcds(C101,$C$6,G101/10000,F101,D101,$C$13,$C$14,$C$15,$C$8,,,TRUE,TRUE,FALSE,$C$29:$C$31,$C$33),{1;2;3;4;5})),"")</f>
        <v>-2.75150813937419E-2</v>
      </c>
      <c r="U77" s="413">
        <f ca="1"/>
        <v>1.97150378855293E-2</v>
      </c>
      <c r="V77" s="413">
        <f ca="1"/>
        <v>4.7230119279271197E-2</v>
      </c>
      <c r="W77" s="414">
        <f ca="1"/>
        <v>4.1742511317734501E-3</v>
      </c>
      <c r="X77" s="415">
        <f ca="1"/>
        <v>4.7230119279271197</v>
      </c>
      <c r="Y77" s="416">
        <f t="shared" ca="1" si="4"/>
        <v>5.3457106073324885E-2</v>
      </c>
      <c r="Z77" s="417">
        <f t="shared" ca="1" si="2"/>
        <v>-1.0539088714863578E-3</v>
      </c>
      <c r="AA77" s="416">
        <f t="shared" ca="1" si="0"/>
        <v>4.6349525468603332E-2</v>
      </c>
      <c r="AB77" s="418">
        <f t="shared" ca="1" si="1"/>
        <v>3.9655385751847776E-3</v>
      </c>
      <c r="AC77" s="417">
        <f t="shared" ca="1" si="3"/>
        <v>-4.5689132529490958E-5</v>
      </c>
      <c r="AD77" s="220"/>
      <c r="AE77" s="220"/>
    </row>
    <row r="78" spans="1:31" customFormat="1" ht="14.5">
      <c r="A78" s="220"/>
      <c r="B78" s="267">
        <v>40</v>
      </c>
      <c r="C78" s="68" t="s">
        <v>560</v>
      </c>
      <c r="D78" s="246">
        <f t="shared" ca="1" si="5"/>
        <v>1.0526315789473684</v>
      </c>
      <c r="E78" s="238"/>
      <c r="F78" s="225">
        <v>0.4</v>
      </c>
      <c r="G78" s="425">
        <v>100</v>
      </c>
      <c r="H78" s="377">
        <v>64</v>
      </c>
      <c r="I78" s="403">
        <f ca="1"/>
        <v>7.7599757084687599E-5</v>
      </c>
      <c r="J78" s="403">
        <f ca="1"/>
        <v>4.5964182483914398E-4</v>
      </c>
      <c r="K78" s="403">
        <f ca="1"/>
        <v>0.168826579504257</v>
      </c>
      <c r="L78" s="403">
        <f ca="1"/>
        <v>0.168826579504257</v>
      </c>
      <c r="M78" s="403">
        <f ca="1"/>
        <v>-1.06190164663564E-4</v>
      </c>
      <c r="N78" s="403" t="str">
        <f ca="1"/>
        <v>EDP - ENERGIAS DE PORTUGAL S.A.</v>
      </c>
      <c r="O78" s="403">
        <f ca="1"/>
        <v>0.241036844530541</v>
      </c>
      <c r="P78" s="403">
        <f ca="1"/>
        <v>0.76585397978467795</v>
      </c>
      <c r="Q78" s="403">
        <f ca="1"/>
        <v>0.31472950574508901</v>
      </c>
      <c r="R78" s="441">
        <f ca="1"/>
        <v>0.31472950574508901</v>
      </c>
      <c r="S78" s="433"/>
      <c r="T78" s="412" cm="1">
        <f t="array" aca="1" ref="T78:X78" ca="1">IF(AND($U$12,B102&lt;=$C$17,C102&lt;&gt;""),TRANSPOSE(INDEX(getcds(C102,$C$6,G102/10000,F102,D102,$C$13,$C$14,$C$15,$C$8,,,TRUE,TRUE,FALSE,$C$29:$C$31,$C$33),{1;2;3;4;5})),"")</f>
        <v>-1.6688399773344902E-2</v>
      </c>
      <c r="U78" s="413">
        <f ca="1"/>
        <v>3.01806238287795E-2</v>
      </c>
      <c r="V78" s="413">
        <f ca="1"/>
        <v>4.6869023602124402E-2</v>
      </c>
      <c r="W78" s="414">
        <f ca="1"/>
        <v>6.43935407850303E-3</v>
      </c>
      <c r="X78" s="415">
        <f ca="1"/>
        <v>4.6869023602124402</v>
      </c>
      <c r="Y78" s="416">
        <f t="shared" ca="1" si="4"/>
        <v>5.3457106073324885E-2</v>
      </c>
      <c r="Z78" s="417">
        <f t="shared" ca="1" si="2"/>
        <v>-1.6133688093741799E-3</v>
      </c>
      <c r="AA78" s="416">
        <f t="shared" ca="1" si="0"/>
        <v>5.6275526501419003E-2</v>
      </c>
      <c r="AB78" s="418">
        <f t="shared" ca="1" si="1"/>
        <v>6.1173863745778781E-3</v>
      </c>
      <c r="AC78" s="417">
        <f t="shared" ca="1" si="3"/>
        <v>-8.4921524805291911E-5</v>
      </c>
      <c r="AD78" s="220"/>
      <c r="AE78" s="220"/>
    </row>
    <row r="79" spans="1:31" customFormat="1" ht="14.5">
      <c r="A79" s="220"/>
      <c r="B79" s="267">
        <v>41</v>
      </c>
      <c r="C79" s="68" t="s">
        <v>545</v>
      </c>
      <c r="D79" s="246">
        <f t="shared" ca="1" si="5"/>
        <v>1.0526315789473684</v>
      </c>
      <c r="E79" s="238"/>
      <c r="F79" s="225">
        <v>0.4</v>
      </c>
      <c r="G79" s="425">
        <v>100</v>
      </c>
      <c r="H79" s="377">
        <v>65</v>
      </c>
      <c r="I79" s="403">
        <f ca="1"/>
        <v>7.9643753993625602E-5</v>
      </c>
      <c r="J79" s="403">
        <f ca="1"/>
        <v>4.57917434070569E-4</v>
      </c>
      <c r="K79" s="403">
        <f ca="1"/>
        <v>0.173926013879069</v>
      </c>
      <c r="L79" s="403">
        <f ca="1"/>
        <v>0.173926013879069</v>
      </c>
      <c r="M79" s="403">
        <f ca="1"/>
        <v>-1.11127518918128E-4</v>
      </c>
      <c r="N79" s="403" t="str">
        <f ca="1"/>
        <v>ELECTRICITE DE FRANCE</v>
      </c>
      <c r="O79" s="403">
        <f ca="1"/>
        <v>0.24061799994813801</v>
      </c>
      <c r="P79" s="403">
        <f ca="1"/>
        <v>0.76377398615629</v>
      </c>
      <c r="Q79" s="403">
        <f ca="1"/>
        <v>0.31503822375393198</v>
      </c>
      <c r="R79" s="441">
        <f ca="1"/>
        <v>0.31503822375393198</v>
      </c>
      <c r="S79" s="433"/>
      <c r="T79" s="412" cm="1">
        <f t="array" aca="1" ref="T79:X79" ca="1">IF(AND($U$12,B103&lt;=$C$17,C103&lt;&gt;""),TRANSPOSE(INDEX(getcds(C103,$C$6,G103/10000,F103,D103,$C$13,$C$14,$C$15,$C$8,,,TRUE,TRUE,FALSE,$C$29:$C$31,$C$33),{1;2;3;4;5})),"")</f>
        <v>-1.4498932796095E-2</v>
      </c>
      <c r="U79" s="413">
        <f ca="1"/>
        <v>3.2342636623673301E-2</v>
      </c>
      <c r="V79" s="413">
        <f ca="1"/>
        <v>4.6841569419768303E-2</v>
      </c>
      <c r="W79" s="414">
        <f ca="1"/>
        <v>6.90468680368849E-3</v>
      </c>
      <c r="X79" s="415">
        <f ca="1"/>
        <v>4.6841569419768296</v>
      </c>
      <c r="Y79" s="416">
        <f t="shared" ca="1" si="4"/>
        <v>5.3457106073324885E-2</v>
      </c>
      <c r="Z79" s="417">
        <f t="shared" ca="1" si="2"/>
        <v>-1.728943756682703E-3</v>
      </c>
      <c r="AA79" s="416">
        <f t="shared" ca="1" si="0"/>
        <v>5.797533795968967E-2</v>
      </c>
      <c r="AB79" s="418">
        <f t="shared" ca="1" si="1"/>
        <v>6.5594524635040653E-3</v>
      </c>
      <c r="AC79" s="417">
        <f t="shared" ca="1" si="3"/>
        <v>-9.3753764438244701E-5</v>
      </c>
      <c r="AD79" s="220"/>
      <c r="AE79" s="220"/>
    </row>
    <row r="80" spans="1:31" customFormat="1" ht="14.5">
      <c r="A80" s="220"/>
      <c r="B80" s="267">
        <v>42</v>
      </c>
      <c r="C80" s="68" t="s">
        <v>546</v>
      </c>
      <c r="D80" s="246">
        <f t="shared" ca="1" si="5"/>
        <v>1.0526315789473684</v>
      </c>
      <c r="E80" s="238"/>
      <c r="F80" s="225">
        <v>0.4</v>
      </c>
      <c r="G80" s="425">
        <v>100</v>
      </c>
      <c r="H80" s="377">
        <v>66</v>
      </c>
      <c r="I80" s="403">
        <f ca="1"/>
        <v>7.7932221079852801E-5</v>
      </c>
      <c r="J80" s="403">
        <f ca="1"/>
        <v>4.5937791542776199E-4</v>
      </c>
      <c r="K80" s="403">
        <f ca="1"/>
        <v>0.169647295750568</v>
      </c>
      <c r="L80" s="403">
        <f ca="1"/>
        <v>0.169647295750568</v>
      </c>
      <c r="M80" s="403">
        <f ca="1"/>
        <v>-1.07446656361634E-4</v>
      </c>
      <c r="N80" s="403" t="str">
        <f ca="1"/>
        <v>ENEL S.P.A.</v>
      </c>
      <c r="O80" s="403">
        <f ca="1"/>
        <v>0.24099761034174699</v>
      </c>
      <c r="P80" s="403">
        <f ca="1"/>
        <v>0.76566619537465996</v>
      </c>
      <c r="Q80" s="403">
        <f ca="1"/>
        <v>0.31475545322178</v>
      </c>
      <c r="R80" s="441">
        <f ca="1"/>
        <v>0.31475545322178</v>
      </c>
      <c r="S80" s="433"/>
      <c r="T80" s="412" cm="1">
        <f t="array" aca="1" ref="T80:X80" ca="1">IF(AND($U$12,B104&lt;=$C$17,C104&lt;&gt;""),TRANSPOSE(INDEX(getcds(C104,$C$6,G104/10000,F104,D104,$C$13,$C$14,$C$15,$C$8,,,TRUE,TRUE,FALSE,$C$29:$C$31,$C$33),{1;2;3;4;5})),"")</f>
        <v>-1.6490731973326199E-2</v>
      </c>
      <c r="U80" s="413">
        <f ca="1"/>
        <v>3.0479295043353501E-2</v>
      </c>
      <c r="V80" s="413">
        <f ca="1"/>
        <v>4.6970027016679697E-2</v>
      </c>
      <c r="W80" s="414">
        <f ca="1"/>
        <v>6.4890946374226797E-3</v>
      </c>
      <c r="X80" s="415">
        <f ca="1"/>
        <v>4.6970027016679703</v>
      </c>
      <c r="Y80" s="416">
        <f t="shared" ref="Y80:Y143" ca="1" si="6">IF($U$12,IF(T80="","",$U$13*D104/$C$18),"")</f>
        <v>5.3457106073324885E-2</v>
      </c>
      <c r="Z80" s="417">
        <f t="shared" ref="Z80:Z143" ca="1" si="7">IF($U$12,IF(Y80="","",Y80*($Z$10-W80)*X80),"")</f>
        <v>-1.6293349081727116E-3</v>
      </c>
      <c r="AA80" s="416">
        <f t="shared" ref="AA80:AA143" ca="1" si="8">IF($U$12,IF(OR(T80="",L80=""),"",L80/($C$20-$C$19)),"")</f>
        <v>5.6549098583522667E-2</v>
      </c>
      <c r="AB80" s="418">
        <f t="shared" ref="AB80:AB143" ca="1" si="9">IF($U$12,IF(W80="","",W80*$AC$10),"")</f>
        <v>6.1646399055515456E-3</v>
      </c>
      <c r="AC80" s="417">
        <f t="shared" ref="AC80:AC143" ca="1" si="10">IF($U$12,IF(AA80="","",AA80*(AB80-W80)*X80),"")</f>
        <v>-8.6178833008143462E-5</v>
      </c>
      <c r="AD80" s="220"/>
      <c r="AE80" s="220"/>
    </row>
    <row r="81" spans="1:31" customFormat="1" ht="14.5">
      <c r="A81" s="220"/>
      <c r="B81" s="267">
        <v>43</v>
      </c>
      <c r="C81" s="68" t="s">
        <v>561</v>
      </c>
      <c r="D81" s="246">
        <f t="shared" ca="1" si="5"/>
        <v>1.0526315789473684</v>
      </c>
      <c r="E81" s="238"/>
      <c r="F81" s="225">
        <v>0.4</v>
      </c>
      <c r="G81" s="425">
        <v>100</v>
      </c>
      <c r="H81" s="377">
        <v>67</v>
      </c>
      <c r="I81" s="403">
        <f ca="1"/>
        <v>6.9900048275406396E-5</v>
      </c>
      <c r="J81" s="403">
        <f ca="1"/>
        <v>4.7640119426163298E-4</v>
      </c>
      <c r="K81" s="403">
        <f ca="1"/>
        <v>0.14672517432233401</v>
      </c>
      <c r="L81" s="403">
        <f ca="1"/>
        <v>0.14672517432233401</v>
      </c>
      <c r="M81" s="403">
        <f ca="1"/>
        <v>-8.4371034196770696E-5</v>
      </c>
      <c r="N81" s="403" t="str">
        <f ca="1"/>
        <v>ENGIE</v>
      </c>
      <c r="O81" s="403">
        <f ca="1"/>
        <v>0.242498737759299</v>
      </c>
      <c r="P81" s="403">
        <f ca="1"/>
        <v>0.77383707391183498</v>
      </c>
      <c r="Q81" s="403">
        <f ca="1"/>
        <v>0.313371827138548</v>
      </c>
      <c r="R81" s="441">
        <f ca="1"/>
        <v>0.313371827138548</v>
      </c>
      <c r="S81" s="433"/>
      <c r="T81" s="412" cm="1">
        <f t="array" aca="1" ref="T81:X81" ca="1">IF(AND($U$12,B105&lt;=$C$17,C105&lt;&gt;""),TRANSPOSE(INDEX(getcds(C105,$C$6,G105/10000,F105,D105,$C$13,$C$14,$C$15,$C$8,,,TRUE,TRUE,FALSE,$C$29:$C$31,$C$33),{1;2;3;4;5})),"")</f>
        <v>-2.5091656749299401E-2</v>
      </c>
      <c r="U81" s="413">
        <f ca="1"/>
        <v>2.20725428051631E-2</v>
      </c>
      <c r="V81" s="413">
        <f ca="1"/>
        <v>4.7164199554462501E-2</v>
      </c>
      <c r="W81" s="414">
        <f ca="1"/>
        <v>4.6799358440664197E-3</v>
      </c>
      <c r="X81" s="415">
        <f ca="1"/>
        <v>4.7164199554462503</v>
      </c>
      <c r="Y81" s="416">
        <f t="shared" ca="1" si="6"/>
        <v>5.3457106073324885E-2</v>
      </c>
      <c r="Z81" s="417">
        <f t="shared" ca="1" si="7"/>
        <v>-1.1799342620436052E-3</v>
      </c>
      <c r="AA81" s="416">
        <f t="shared" ca="1" si="8"/>
        <v>4.8908391440778E-2</v>
      </c>
      <c r="AB81" s="418">
        <f t="shared" ca="1" si="9"/>
        <v>4.4459390518630983E-3</v>
      </c>
      <c r="AC81" s="417">
        <f t="shared" ca="1" si="10"/>
        <v>-5.3976628180412221E-5</v>
      </c>
      <c r="AD81" s="220"/>
      <c r="AE81" s="220"/>
    </row>
    <row r="82" spans="1:31" customFormat="1" ht="14.5">
      <c r="A82" s="220"/>
      <c r="B82" s="267">
        <v>44</v>
      </c>
      <c r="C82" s="68" t="s">
        <v>547</v>
      </c>
      <c r="D82" s="246">
        <f t="shared" ca="1" si="5"/>
        <v>1.0526315789473684</v>
      </c>
      <c r="E82" s="238"/>
      <c r="F82" s="225">
        <v>0.4</v>
      </c>
      <c r="G82" s="425">
        <v>100</v>
      </c>
      <c r="H82" s="377">
        <v>68</v>
      </c>
      <c r="I82" s="403">
        <f ca="1"/>
        <v>7.4951097726299093E-5</v>
      </c>
      <c r="J82" s="403">
        <f ca="1"/>
        <v>4.61700891152811E-4</v>
      </c>
      <c r="K82" s="403">
        <f ca="1"/>
        <v>0.16233691370868999</v>
      </c>
      <c r="L82" s="403">
        <f ca="1"/>
        <v>0.16233691370868999</v>
      </c>
      <c r="M82" s="403">
        <f ca="1"/>
        <v>-1.0006471773678701E-4</v>
      </c>
      <c r="N82" s="403" t="str">
        <f ca="1"/>
        <v>ENI S.P.A.</v>
      </c>
      <c r="O82" s="403">
        <f ca="1"/>
        <v>0.24153684456275601</v>
      </c>
      <c r="P82" s="403">
        <f ca="1"/>
        <v>0.76844529312681698</v>
      </c>
      <c r="Q82" s="403">
        <f ca="1"/>
        <v>0.31431885486595701</v>
      </c>
      <c r="R82" s="441">
        <f ca="1"/>
        <v>0.31431885486595701</v>
      </c>
      <c r="S82" s="433"/>
      <c r="T82" s="412" cm="1">
        <f t="array" aca="1" ref="T82:X82" ca="1">IF(AND($U$12,B106&lt;=$C$17,C106&lt;&gt;""),TRANSPOSE(INDEX(getcds(C106,$C$6,G106/10000,F106,D106,$C$13,$C$14,$C$15,$C$8,,,TRUE,TRUE,FALSE,$C$29:$C$31,$C$33),{1;2;3;4;5})),"")</f>
        <v>-1.9416098028228301E-2</v>
      </c>
      <c r="U82" s="413">
        <f ca="1"/>
        <v>2.7572448162317999E-2</v>
      </c>
      <c r="V82" s="413">
        <f ca="1"/>
        <v>4.69885461905463E-2</v>
      </c>
      <c r="W82" s="414">
        <f ca="1"/>
        <v>5.8679083303635696E-3</v>
      </c>
      <c r="X82" s="415">
        <f ca="1"/>
        <v>4.6988546190546296</v>
      </c>
      <c r="Y82" s="416">
        <f t="shared" ca="1" si="6"/>
        <v>5.3457106073324885E-2</v>
      </c>
      <c r="Z82" s="417">
        <f t="shared" ca="1" si="7"/>
        <v>-1.4739432861142852E-3</v>
      </c>
      <c r="AA82" s="416">
        <f t="shared" ca="1" si="8"/>
        <v>5.4112304569563334E-2</v>
      </c>
      <c r="AB82" s="418">
        <f t="shared" ca="1" si="9"/>
        <v>5.5745129138453911E-3</v>
      </c>
      <c r="AC82" s="417">
        <f t="shared" ca="1" si="10"/>
        <v>-7.4600435634392435E-5</v>
      </c>
      <c r="AD82" s="220"/>
      <c r="AE82" s="220"/>
    </row>
    <row r="83" spans="1:31" customFormat="1" ht="14.5">
      <c r="A83" s="220"/>
      <c r="B83" s="267">
        <v>45</v>
      </c>
      <c r="C83" s="68" t="s">
        <v>613</v>
      </c>
      <c r="D83" s="246">
        <f t="shared" ca="1" si="5"/>
        <v>1.0526315789473684</v>
      </c>
      <c r="E83" s="238"/>
      <c r="F83" s="225">
        <v>0.4</v>
      </c>
      <c r="G83" s="425">
        <v>100</v>
      </c>
      <c r="H83" s="377">
        <v>69</v>
      </c>
      <c r="I83" s="403">
        <f ca="1"/>
        <v>5.60097714903795E-5</v>
      </c>
      <c r="J83" s="403">
        <f ca="1"/>
        <v>4.8335585900506601E-4</v>
      </c>
      <c r="K83" s="403">
        <f ca="1"/>
        <v>0.115876885418684</v>
      </c>
      <c r="L83" s="403">
        <f ca="1"/>
        <v>0.115876885418684</v>
      </c>
      <c r="M83" s="403">
        <f ca="1"/>
        <v>-5.4208133942772401E-5</v>
      </c>
      <c r="N83" s="403" t="str">
        <f ca="1"/>
        <v>EQUINOR ASA</v>
      </c>
      <c r="O83" s="403">
        <f ca="1"/>
        <v>0.243718349740049</v>
      </c>
      <c r="P83" s="403">
        <f ca="1"/>
        <v>0.78201572011058196</v>
      </c>
      <c r="Q83" s="403">
        <f ca="1"/>
        <v>0.311654028777818</v>
      </c>
      <c r="R83" s="441">
        <f ca="1"/>
        <v>0.311654028777818</v>
      </c>
      <c r="S83" s="433"/>
      <c r="T83" s="412" cm="1">
        <f t="array" aca="1" ref="T83:X83" ca="1">IF(AND($U$12,B107&lt;=$C$17,C107&lt;&gt;""),TRANSPOSE(INDEX(getcds(C107,$C$6,G107/10000,F107,D107,$C$13,$C$14,$C$15,$C$8,,,TRUE,TRUE,FALSE,$C$29:$C$31,$C$33),{1;2;3;4;5})),"")</f>
        <v>-3.3700758011138698E-2</v>
      </c>
      <c r="U83" s="413">
        <f ca="1"/>
        <v>1.3692644371873499E-2</v>
      </c>
      <c r="V83" s="413">
        <f ca="1"/>
        <v>4.7393402383012199E-2</v>
      </c>
      <c r="W83" s="414">
        <f ca="1"/>
        <v>2.88914567922676E-3</v>
      </c>
      <c r="X83" s="415">
        <f ca="1"/>
        <v>4.73934023830122</v>
      </c>
      <c r="Y83" s="416">
        <f t="shared" ca="1" si="6"/>
        <v>5.3457106073324885E-2</v>
      </c>
      <c r="Z83" s="417">
        <f t="shared" ca="1" si="7"/>
        <v>-7.319691426115562E-4</v>
      </c>
      <c r="AA83" s="416">
        <f t="shared" ca="1" si="8"/>
        <v>3.862562847289467E-2</v>
      </c>
      <c r="AB83" s="418">
        <f t="shared" ca="1" si="9"/>
        <v>2.7446883952654219E-3</v>
      </c>
      <c r="AC83" s="417">
        <f t="shared" ca="1" si="10"/>
        <v>-2.6444349715972909E-5</v>
      </c>
      <c r="AD83" s="220"/>
      <c r="AE83" s="220"/>
    </row>
    <row r="84" spans="1:31" customFormat="1" ht="14.5">
      <c r="A84" s="220"/>
      <c r="B84" s="267">
        <v>46</v>
      </c>
      <c r="C84" s="68" t="s">
        <v>562</v>
      </c>
      <c r="D84" s="246">
        <f t="shared" ca="1" si="5"/>
        <v>1.0526315789473684</v>
      </c>
      <c r="E84" s="238"/>
      <c r="F84" s="225">
        <v>0.4</v>
      </c>
      <c r="G84" s="425">
        <v>100</v>
      </c>
      <c r="H84" s="377">
        <v>70</v>
      </c>
      <c r="I84" s="403">
        <f ca="1"/>
        <v>7.0702756507314896E-5</v>
      </c>
      <c r="J84" s="403">
        <f ca="1"/>
        <v>4.7597483594421001E-4</v>
      </c>
      <c r="K84" s="403">
        <f ca="1"/>
        <v>0.14854305557364</v>
      </c>
      <c r="L84" s="403">
        <f ca="1"/>
        <v>0.14854305557364</v>
      </c>
      <c r="M84" s="403">
        <f ca="1"/>
        <v>-8.6308532235068695E-5</v>
      </c>
      <c r="N84" s="403" t="str">
        <f ca="1"/>
        <v>FORTUM OYJ</v>
      </c>
      <c r="O84" s="403">
        <f ca="1"/>
        <v>0.24240614679050199</v>
      </c>
      <c r="P84" s="403">
        <f ca="1"/>
        <v>0.77328645424962605</v>
      </c>
      <c r="Q84" s="403">
        <f ca="1"/>
        <v>0.31347522701108899</v>
      </c>
      <c r="R84" s="441">
        <f ca="1"/>
        <v>0.31347522701108899</v>
      </c>
      <c r="S84" s="433"/>
      <c r="T84" s="412" cm="1">
        <f t="array" aca="1" ref="T84:X84" ca="1">IF(AND($U$12,B108&lt;=$C$17,C108&lt;&gt;""),TRANSPOSE(INDEX(getcds(C108,$C$6,G108/10000,F108,D108,$C$13,$C$14,$C$15,$C$8,,,TRUE,TRUE,FALSE,$C$29:$C$31,$C$33),{1;2;3;4;5})),"")</f>
        <v>-2.4512057104868999E-2</v>
      </c>
      <c r="U84" s="413">
        <f ca="1"/>
        <v>2.2657292001393301E-2</v>
      </c>
      <c r="V84" s="413">
        <f ca="1"/>
        <v>4.7169349106262297E-2</v>
      </c>
      <c r="W84" s="414">
        <f ca="1"/>
        <v>4.80339297248968E-3</v>
      </c>
      <c r="X84" s="415">
        <f ca="1"/>
        <v>4.7169349106262297</v>
      </c>
      <c r="Y84" s="416">
        <f t="shared" ca="1" si="6"/>
        <v>5.3457106073324885E-2</v>
      </c>
      <c r="Z84" s="417">
        <f t="shared" ca="1" si="7"/>
        <v>-1.2111932618527753E-3</v>
      </c>
      <c r="AA84" s="416">
        <f t="shared" ca="1" si="8"/>
        <v>4.9514351857880001E-2</v>
      </c>
      <c r="AB84" s="418">
        <f t="shared" ca="1" si="9"/>
        <v>4.5632233238651959E-3</v>
      </c>
      <c r="AC84" s="417">
        <f t="shared" ca="1" si="10"/>
        <v>-5.609305641518585E-5</v>
      </c>
      <c r="AD84" s="220"/>
      <c r="AE84" s="220"/>
    </row>
    <row r="85" spans="1:31" customFormat="1" ht="14.5">
      <c r="A85" s="220"/>
      <c r="B85" s="267">
        <v>47</v>
      </c>
      <c r="C85" s="68" t="s">
        <v>548</v>
      </c>
      <c r="D85" s="246">
        <f t="shared" ca="1" si="5"/>
        <v>1.0526315789473684</v>
      </c>
      <c r="E85" s="238"/>
      <c r="F85" s="225">
        <v>0.4</v>
      </c>
      <c r="G85" s="425">
        <v>100</v>
      </c>
      <c r="H85" s="377">
        <v>71</v>
      </c>
      <c r="I85" s="403">
        <f ca="1"/>
        <v>6.5923178442841597E-5</v>
      </c>
      <c r="J85" s="403">
        <f ca="1"/>
        <v>4.7883261927652199E-4</v>
      </c>
      <c r="K85" s="403">
        <f ca="1"/>
        <v>0.13767478611303899</v>
      </c>
      <c r="L85" s="403">
        <f ca="1"/>
        <v>0.13767478611303899</v>
      </c>
      <c r="M85" s="403">
        <f ca="1"/>
        <v>-7.5277285935357901E-5</v>
      </c>
      <c r="N85" s="403" t="str">
        <f ca="1"/>
        <v>IBERDROLA, S.A.</v>
      </c>
      <c r="O85" s="403">
        <f ca="1"/>
        <v>0.24293685527615</v>
      </c>
      <c r="P85" s="403">
        <f ca="1"/>
        <v>0.77654100540096505</v>
      </c>
      <c r="Q85" s="403">
        <f ca="1"/>
        <v>0.31284485118813499</v>
      </c>
      <c r="R85" s="441">
        <f ca="1"/>
        <v>0.31284485118813499</v>
      </c>
      <c r="S85" s="433"/>
      <c r="T85" s="412" cm="1">
        <f t="array" aca="1" ref="T85:X85" ca="1">IF(AND($U$12,B109&lt;=$C$17,C109&lt;&gt;""),TRANSPOSE(INDEX(getcds(C109,$C$6,G109/10000,F109,D109,$C$13,$C$14,$C$15,$C$8,,,TRUE,TRUE,FALSE,$C$29:$C$31,$C$33),{1;2;3;4;5})),"")</f>
        <v>-2.7937900422068201E-2</v>
      </c>
      <c r="U85" s="413">
        <f ca="1"/>
        <v>1.9312895359405599E-2</v>
      </c>
      <c r="V85" s="413">
        <f ca="1"/>
        <v>4.7250795781473801E-2</v>
      </c>
      <c r="W85" s="414">
        <f ca="1"/>
        <v>4.0873164229284402E-3</v>
      </c>
      <c r="X85" s="415">
        <f ca="1"/>
        <v>4.7250795781473798</v>
      </c>
      <c r="Y85" s="416">
        <f t="shared" ca="1" si="6"/>
        <v>5.3457106073324885E-2</v>
      </c>
      <c r="Z85" s="417">
        <f t="shared" ca="1" si="7"/>
        <v>-1.0324114958107677E-3</v>
      </c>
      <c r="AA85" s="416">
        <f t="shared" ca="1" si="8"/>
        <v>4.5891595371012998E-2</v>
      </c>
      <c r="AB85" s="418">
        <f t="shared" ca="1" si="9"/>
        <v>3.8829506017820179E-3</v>
      </c>
      <c r="AC85" s="417">
        <f t="shared" ca="1" si="10"/>
        <v>-4.4314978963827825E-5</v>
      </c>
      <c r="AD85" s="220"/>
      <c r="AE85" s="220"/>
    </row>
    <row r="86" spans="1:31" customFormat="1" ht="14.5">
      <c r="A86" s="220"/>
      <c r="B86" s="267">
        <v>48</v>
      </c>
      <c r="C86" s="68" t="s">
        <v>563</v>
      </c>
      <c r="D86" s="246">
        <f t="shared" ca="1" si="5"/>
        <v>1.0526315789473684</v>
      </c>
      <c r="E86" s="238"/>
      <c r="F86" s="225">
        <v>0.4</v>
      </c>
      <c r="G86" s="425">
        <v>100</v>
      </c>
      <c r="H86" s="377">
        <v>72</v>
      </c>
      <c r="I86" s="403">
        <f ca="1"/>
        <v>7.6009214642476194E-5</v>
      </c>
      <c r="J86" s="403">
        <f ca="1"/>
        <v>4.60902718492981E-4</v>
      </c>
      <c r="K86" s="403">
        <f ca="1"/>
        <v>0.16491379111627799</v>
      </c>
      <c r="L86" s="403">
        <f ca="1"/>
        <v>0.16491379111627799</v>
      </c>
      <c r="M86" s="403">
        <f ca="1"/>
        <v>-1.02507734205774E-4</v>
      </c>
      <c r="N86" s="403" t="str">
        <f ca="1"/>
        <v>NATIONAL GRID PLC</v>
      </c>
      <c r="O86" s="403">
        <f ca="1"/>
        <v>0.24134485064244901</v>
      </c>
      <c r="P86" s="403">
        <f ca="1"/>
        <v>0.76743610903880799</v>
      </c>
      <c r="Q86" s="403">
        <f ca="1"/>
        <v>0.31448201068454601</v>
      </c>
      <c r="R86" s="441">
        <f ca="1"/>
        <v>0.31448201068454601</v>
      </c>
      <c r="S86" s="433"/>
      <c r="T86" s="412" cm="1">
        <f t="array" aca="1" ref="T86:X86" ca="1">IF(AND($U$12,B110&lt;=$C$17,C110&lt;&gt;""),TRANSPOSE(INDEX(getcds(C110,$C$6,G110/10000,F110,D110,$C$13,$C$14,$C$15,$C$8,,,TRUE,TRUE,FALSE,$C$29:$C$31,$C$33),{1;2;3;4;5})),"")</f>
        <v>-1.8353798988218602E-2</v>
      </c>
      <c r="U86" s="413">
        <f ca="1"/>
        <v>2.8584642998823299E-2</v>
      </c>
      <c r="V86" s="413">
        <f ca="1"/>
        <v>4.6938441987041897E-2</v>
      </c>
      <c r="W86" s="414">
        <f ca="1"/>
        <v>6.0898150404554404E-3</v>
      </c>
      <c r="X86" s="415">
        <f ca="1"/>
        <v>4.6938441987041903</v>
      </c>
      <c r="Y86" s="416">
        <f t="shared" ca="1" si="6"/>
        <v>5.3457106073324885E-2</v>
      </c>
      <c r="Z86" s="417">
        <f t="shared" ca="1" si="7"/>
        <v>-1.5280522928562202E-3</v>
      </c>
      <c r="AA86" s="416">
        <f t="shared" ca="1" si="8"/>
        <v>5.4971263705425995E-2</v>
      </c>
      <c r="AB86" s="418">
        <f t="shared" ca="1" si="9"/>
        <v>5.785324288432668E-3</v>
      </c>
      <c r="AC86" s="417">
        <f t="shared" ca="1" si="10"/>
        <v>-7.8566697410688789E-5</v>
      </c>
      <c r="AD86" s="220"/>
      <c r="AE86" s="220"/>
    </row>
    <row r="87" spans="1:31" customFormat="1" ht="14.5">
      <c r="A87" s="220"/>
      <c r="B87" s="267">
        <v>49</v>
      </c>
      <c r="C87" s="68" t="s">
        <v>549</v>
      </c>
      <c r="D87" s="246">
        <f t="shared" ca="1" si="5"/>
        <v>1.0526315789473684</v>
      </c>
      <c r="E87" s="238"/>
      <c r="F87" s="225">
        <v>0.4</v>
      </c>
      <c r="G87" s="425">
        <v>100</v>
      </c>
      <c r="H87" s="377">
        <v>73</v>
      </c>
      <c r="I87" s="403">
        <f ca="1"/>
        <v>7.1468192896608802E-5</v>
      </c>
      <c r="J87" s="403">
        <f ca="1"/>
        <v>4.7524392025935898E-4</v>
      </c>
      <c r="K87" s="403">
        <f ca="1"/>
        <v>0.150382129786333</v>
      </c>
      <c r="L87" s="403">
        <f ca="1"/>
        <v>0.150382129786333</v>
      </c>
      <c r="M87" s="403">
        <f ca="1"/>
        <v>-8.7984347174452303E-5</v>
      </c>
      <c r="N87" s="403" t="str">
        <f ca="1"/>
        <v>NATURGY ENERGY GROUP, S.A.</v>
      </c>
      <c r="O87" s="403">
        <f ca="1"/>
        <v>0.24229495284126701</v>
      </c>
      <c r="P87" s="403">
        <f ca="1"/>
        <v>0.77264186582151595</v>
      </c>
      <c r="Q87" s="403">
        <f ca="1"/>
        <v>0.31359283460991999</v>
      </c>
      <c r="R87" s="441">
        <f ca="1"/>
        <v>0.31359283460991999</v>
      </c>
      <c r="S87" s="433"/>
      <c r="T87" s="412" cm="1">
        <f t="array" aca="1" ref="T87:X87" ca="1">IF(AND($U$12,B111&lt;=$C$17,C111&lt;&gt;""),TRANSPOSE(INDEX(getcds(C111,$C$6,G111/10000,F111,D111,$C$13,$C$14,$C$15,$C$8,,,TRUE,TRUE,FALSE,$C$29:$C$31,$C$33),{1;2;3;4;5})),"")</f>
        <v>-2.3833542970016899E-2</v>
      </c>
      <c r="U87" s="413">
        <f ca="1"/>
        <v>2.3274498852273201E-2</v>
      </c>
      <c r="V87" s="413">
        <f ca="1"/>
        <v>4.71080418222901E-2</v>
      </c>
      <c r="W87" s="414">
        <f ca="1"/>
        <v>4.9406636217386498E-3</v>
      </c>
      <c r="X87" s="415">
        <f ca="1"/>
        <v>4.7108041822290101</v>
      </c>
      <c r="Y87" s="416">
        <f t="shared" ca="1" si="6"/>
        <v>5.3457106073324885E-2</v>
      </c>
      <c r="Z87" s="417">
        <f t="shared" ca="1" si="7"/>
        <v>-1.2441873539494445E-3</v>
      </c>
      <c r="AA87" s="416">
        <f t="shared" ca="1" si="8"/>
        <v>5.0127376595444334E-2</v>
      </c>
      <c r="AB87" s="418">
        <f t="shared" ca="1" si="9"/>
        <v>4.6936304406517172E-3</v>
      </c>
      <c r="AC87" s="417">
        <f t="shared" ca="1" si="10"/>
        <v>-5.8334478451906702E-5</v>
      </c>
      <c r="AD87" s="220"/>
      <c r="AE87" s="220"/>
    </row>
    <row r="88" spans="1:31" customFormat="1" ht="14.5">
      <c r="A88" s="220"/>
      <c r="B88" s="267">
        <v>50</v>
      </c>
      <c r="C88" s="68" t="s">
        <v>550</v>
      </c>
      <c r="D88" s="246">
        <f t="shared" ca="1" si="5"/>
        <v>1.0526315789473684</v>
      </c>
      <c r="E88" s="238"/>
      <c r="F88" s="225">
        <v>0.4</v>
      </c>
      <c r="G88" s="425">
        <v>100</v>
      </c>
      <c r="H88" s="377">
        <v>74</v>
      </c>
      <c r="I88" s="403">
        <f ca="1"/>
        <v>7.7212965039747894E-5</v>
      </c>
      <c r="J88" s="403">
        <f ca="1"/>
        <v>4.5995621245369399E-4</v>
      </c>
      <c r="K88" s="403">
        <f ca="1"/>
        <v>0.167870251448166</v>
      </c>
      <c r="L88" s="403">
        <f ca="1"/>
        <v>0.167870251448166</v>
      </c>
      <c r="M88" s="403">
        <f ca="1"/>
        <v>-1.05313205952051E-4</v>
      </c>
      <c r="N88" s="403" t="str">
        <f ca="1"/>
        <v>REPSOL, S.A.</v>
      </c>
      <c r="O88" s="403">
        <f ca="1"/>
        <v>0.241115209259705</v>
      </c>
      <c r="P88" s="403">
        <f ca="1"/>
        <v>0.76625259886477803</v>
      </c>
      <c r="Q88" s="403">
        <f ca="1"/>
        <v>0.31466804760848199</v>
      </c>
      <c r="R88" s="441">
        <f ca="1"/>
        <v>0.31466804760848199</v>
      </c>
      <c r="S88" s="433"/>
      <c r="T88" s="412" cm="1">
        <f t="array" aca="1" ref="T88:X88" ca="1">IF(AND($U$12,B112&lt;=$C$17,C112&lt;&gt;""),TRANSPOSE(INDEX(getcds(C112,$C$6,G112/10000,F112,D112,$C$13,$C$14,$C$15,$C$8,,,TRUE,TRUE,FALSE,$C$29:$C$31,$C$33),{1;2;3;4;5})),"")</f>
        <v>-1.71079988050294E-2</v>
      </c>
      <c r="U88" s="413">
        <f ca="1"/>
        <v>2.97816706613078E-2</v>
      </c>
      <c r="V88" s="413">
        <f ca="1"/>
        <v>4.68896694663372E-2</v>
      </c>
      <c r="W88" s="414">
        <f ca="1"/>
        <v>6.3514354014989399E-3</v>
      </c>
      <c r="X88" s="415">
        <f ca="1"/>
        <v>4.6889669466337196</v>
      </c>
      <c r="Y88" s="416">
        <f t="shared" ca="1" si="6"/>
        <v>5.3457106073324885E-2</v>
      </c>
      <c r="Z88" s="417">
        <f t="shared" ca="1" si="7"/>
        <v>-1.5920419275823586E-3</v>
      </c>
      <c r="AA88" s="416">
        <f t="shared" ca="1" si="8"/>
        <v>5.5956750482722001E-2</v>
      </c>
      <c r="AB88" s="418">
        <f t="shared" ca="1" si="9"/>
        <v>6.0338636314239925E-3</v>
      </c>
      <c r="AC88" s="417">
        <f t="shared" ca="1" si="10"/>
        <v>-8.332427570767024E-5</v>
      </c>
      <c r="AD88" s="220"/>
      <c r="AE88" s="220"/>
    </row>
    <row r="89" spans="1:31" customFormat="1" ht="14.5">
      <c r="A89" s="220"/>
      <c r="B89" s="267">
        <v>51</v>
      </c>
      <c r="C89" s="68" t="s">
        <v>551</v>
      </c>
      <c r="D89" s="246">
        <f t="shared" ca="1" si="5"/>
        <v>1.0526315789473684</v>
      </c>
      <c r="E89" s="238"/>
      <c r="F89" s="225">
        <v>0.4</v>
      </c>
      <c r="G89" s="425">
        <v>100</v>
      </c>
      <c r="H89" s="377">
        <v>75</v>
      </c>
      <c r="I89" s="403">
        <f ca="1"/>
        <v>5.9669956014047902E-5</v>
      </c>
      <c r="J89" s="403">
        <f ca="1"/>
        <v>4.8188897141271798E-4</v>
      </c>
      <c r="K89" s="403">
        <f ca="1"/>
        <v>0.12382511232643099</v>
      </c>
      <c r="L89" s="403">
        <f ca="1"/>
        <v>0.12382511232643099</v>
      </c>
      <c r="M89" s="403">
        <f ca="1"/>
        <v>-6.1672081620354195E-5</v>
      </c>
      <c r="N89" s="403" t="str">
        <f ca="1"/>
        <v>SHELL PLC</v>
      </c>
      <c r="O89" s="403">
        <f ca="1"/>
        <v>0.243472019356059</v>
      </c>
      <c r="P89" s="403">
        <f ca="1"/>
        <v>0.78017124019182105</v>
      </c>
      <c r="Q89" s="403">
        <f ca="1"/>
        <v>0.31207510199452698</v>
      </c>
      <c r="R89" s="441">
        <f ca="1"/>
        <v>0.31207510199452698</v>
      </c>
      <c r="S89" s="433"/>
      <c r="T89" s="412" cm="1">
        <f t="array" aca="1" ref="T89:X89" ca="1">IF(AND($U$12,B113&lt;=$C$17,C113&lt;&gt;""),TRANSPOSE(INDEX(getcds(C113,$C$6,G113/10000,F113,D113,$C$13,$C$14,$C$15,$C$8,,,TRUE,TRUE,FALSE,$C$29:$C$31,$C$33),{1;2;3;4;5})),"")</f>
        <v>-3.1759200201917102E-2</v>
      </c>
      <c r="U89" s="413">
        <f ca="1"/>
        <v>1.5589169111604901E-2</v>
      </c>
      <c r="V89" s="413">
        <f ca="1"/>
        <v>4.7348369313522001E-2</v>
      </c>
      <c r="W89" s="414">
        <f ca="1"/>
        <v>3.29244055024993E-3</v>
      </c>
      <c r="X89" s="415">
        <f ca="1"/>
        <v>4.7348369313522003</v>
      </c>
      <c r="Y89" s="416">
        <f t="shared" ca="1" si="6"/>
        <v>5.3457106073324885E-2</v>
      </c>
      <c r="Z89" s="417">
        <f t="shared" ca="1" si="7"/>
        <v>-8.3335186679406455E-4</v>
      </c>
      <c r="AA89" s="416">
        <f t="shared" ca="1" si="8"/>
        <v>4.1275037442143662E-2</v>
      </c>
      <c r="AB89" s="418">
        <f t="shared" ca="1" si="9"/>
        <v>3.1278185227374333E-3</v>
      </c>
      <c r="AC89" s="417">
        <f t="shared" ca="1" si="10"/>
        <v>-3.2172176938670194E-5</v>
      </c>
      <c r="AD89" s="220"/>
      <c r="AE89" s="220"/>
    </row>
    <row r="90" spans="1:31" customFormat="1" ht="14.5">
      <c r="A90" s="220"/>
      <c r="B90" s="267">
        <v>52</v>
      </c>
      <c r="C90" s="68" t="s">
        <v>552</v>
      </c>
      <c r="D90" s="246">
        <f t="shared" ca="1" si="5"/>
        <v>1.0526315789473684</v>
      </c>
      <c r="E90" s="238"/>
      <c r="F90" s="225">
        <v>0.4</v>
      </c>
      <c r="G90" s="425">
        <v>100</v>
      </c>
      <c r="H90" s="377">
        <v>76</v>
      </c>
      <c r="I90" s="403">
        <f ca="1"/>
        <v>5.8154479319756397E-5</v>
      </c>
      <c r="J90" s="403">
        <f ca="1"/>
        <v>4.8261804842632299E-4</v>
      </c>
      <c r="K90" s="403">
        <f ca="1"/>
        <v>0.120497937259871</v>
      </c>
      <c r="L90" s="403">
        <f ca="1"/>
        <v>0.120497937259871</v>
      </c>
      <c r="M90" s="403">
        <f ca="1"/>
        <v>-5.8573000780179899E-5</v>
      </c>
      <c r="N90" s="403" t="str">
        <f ca="1"/>
        <v>TOTALENERGIES SE</v>
      </c>
      <c r="O90" s="403">
        <f ca="1"/>
        <v>0.24358253158245499</v>
      </c>
      <c r="P90" s="403">
        <f ca="1"/>
        <v>0.78097549944519595</v>
      </c>
      <c r="Q90" s="403">
        <f ca="1"/>
        <v>0.31189522815439902</v>
      </c>
      <c r="R90" s="441">
        <f ca="1"/>
        <v>0.31189522815439902</v>
      </c>
      <c r="S90" s="433"/>
      <c r="T90" s="412" cm="1">
        <f t="array" aca="1" ref="T90:X90" ca="1">IF(AND($U$12,B114&lt;=$C$17,C114&lt;&gt;""),TRANSPOSE(INDEX(getcds(C114,$C$6,G114/10000,F114,D114,$C$13,$C$14,$C$15,$C$8,,,TRUE,TRUE,FALSE,$C$29:$C$31,$C$33),{1;2;3;4;5})),"")</f>
        <v>-3.2605788889679597E-2</v>
      </c>
      <c r="U90" s="413">
        <f ca="1"/>
        <v>1.47762369066828E-2</v>
      </c>
      <c r="V90" s="413">
        <f ca="1"/>
        <v>4.7382025796362401E-2</v>
      </c>
      <c r="W90" s="414">
        <f ca="1"/>
        <v>3.1185321138838301E-3</v>
      </c>
      <c r="X90" s="415">
        <f ca="1"/>
        <v>4.7382025796362397</v>
      </c>
      <c r="Y90" s="416">
        <f t="shared" ca="1" si="6"/>
        <v>5.3457106073324885E-2</v>
      </c>
      <c r="Z90" s="417">
        <f t="shared" ca="1" si="7"/>
        <v>-7.8989486368512144E-4</v>
      </c>
      <c r="AA90" s="416">
        <f t="shared" ca="1" si="8"/>
        <v>4.0165979086623664E-2</v>
      </c>
      <c r="AB90" s="418">
        <f t="shared" ca="1" si="9"/>
        <v>2.9626055081896385E-3</v>
      </c>
      <c r="AC90" s="417">
        <f t="shared" ca="1" si="10"/>
        <v>-2.9675101128640973E-5</v>
      </c>
      <c r="AD90" s="220"/>
      <c r="AE90" s="220"/>
    </row>
    <row r="91" spans="1:31" customFormat="1" ht="14.5">
      <c r="A91" s="220"/>
      <c r="B91" s="267">
        <v>53</v>
      </c>
      <c r="C91" s="68" t="s">
        <v>553</v>
      </c>
      <c r="D91" s="246">
        <f t="shared" ca="1" si="5"/>
        <v>1.0526315789473684</v>
      </c>
      <c r="E91" s="238"/>
      <c r="F91" s="225">
        <v>0.4</v>
      </c>
      <c r="G91" s="425">
        <v>100</v>
      </c>
      <c r="H91" s="377">
        <v>77</v>
      </c>
      <c r="I91" s="403">
        <f ca="1"/>
        <v>6.8652292062956196E-5</v>
      </c>
      <c r="J91" s="403">
        <f ca="1"/>
        <v>4.7724220260529101E-4</v>
      </c>
      <c r="K91" s="403">
        <f ca="1"/>
        <v>0.143852097924659</v>
      </c>
      <c r="L91" s="403">
        <f ca="1"/>
        <v>0.143852097924659</v>
      </c>
      <c r="M91" s="403">
        <f ca="1"/>
        <v>-8.1504717993490303E-5</v>
      </c>
      <c r="N91" s="403" t="str">
        <f ca="1"/>
        <v>VEOLIA ENVIRONNEMENT</v>
      </c>
      <c r="O91" s="403">
        <f ca="1"/>
        <v>0.24264757639106699</v>
      </c>
      <c r="P91" s="403">
        <f ca="1"/>
        <v>0.77473311122983801</v>
      </c>
      <c r="Q91" s="403">
        <f ca="1"/>
        <v>0.31320150497489402</v>
      </c>
      <c r="R91" s="441">
        <f ca="1"/>
        <v>0.31320150497489402</v>
      </c>
      <c r="S91" s="433"/>
      <c r="T91" s="412" cm="1">
        <f t="array" aca="1" ref="T91:X91" ca="1">IF(AND($U$12,B115&lt;=$C$17,C115&lt;&gt;""),TRANSPOSE(INDEX(getcds(C115,$C$6,G115/10000,F115,D115,$C$13,$C$14,$C$15,$C$8,,,TRUE,TRUE,FALSE,$C$29:$C$31,$C$33),{1;2;3;4;5})),"")</f>
        <v>-2.60348539261453E-2</v>
      </c>
      <c r="U91" s="413">
        <f ca="1"/>
        <v>2.1165092922119599E-2</v>
      </c>
      <c r="V91" s="413">
        <f ca="1"/>
        <v>4.7199946848264902E-2</v>
      </c>
      <c r="W91" s="414">
        <f ca="1"/>
        <v>4.48413490594801E-3</v>
      </c>
      <c r="X91" s="415">
        <f ca="1"/>
        <v>4.7199946848264904</v>
      </c>
      <c r="Y91" s="416">
        <f t="shared" ca="1" si="6"/>
        <v>5.3457106073324885E-2</v>
      </c>
      <c r="Z91" s="417">
        <f t="shared" ca="1" si="7"/>
        <v>-1.1314246173895221E-3</v>
      </c>
      <c r="AA91" s="416">
        <f t="shared" ca="1" si="8"/>
        <v>4.7950699308219664E-2</v>
      </c>
      <c r="AB91" s="418">
        <f t="shared" ca="1" si="9"/>
        <v>4.2599281606506096E-3</v>
      </c>
      <c r="AC91" s="417">
        <f t="shared" ca="1" si="10"/>
        <v>-5.0744050326954098E-5</v>
      </c>
      <c r="AD91" s="220"/>
      <c r="AE91" s="220"/>
    </row>
    <row r="92" spans="1:31" customFormat="1" ht="14.5">
      <c r="A92" s="220"/>
      <c r="B92" s="267">
        <v>54</v>
      </c>
      <c r="C92" s="68" t="s">
        <v>554</v>
      </c>
      <c r="D92" s="246">
        <f t="shared" ca="1" si="5"/>
        <v>1.0526315789473684</v>
      </c>
      <c r="E92" s="238"/>
      <c r="F92" s="225">
        <v>0.4</v>
      </c>
      <c r="G92" s="425">
        <v>100</v>
      </c>
      <c r="H92" s="377">
        <v>78</v>
      </c>
      <c r="I92" s="403">
        <f ca="1"/>
        <v>6.1340095792141694E-5</v>
      </c>
      <c r="J92" s="403">
        <f ca="1"/>
        <v>4.81041173276216E-4</v>
      </c>
      <c r="K92" s="403">
        <f ca="1"/>
        <v>0.12751527145664901</v>
      </c>
      <c r="L92" s="403">
        <f ca="1"/>
        <v>0.12751527145664901</v>
      </c>
      <c r="M92" s="403">
        <f ca="1"/>
        <v>-6.5163902864713303E-5</v>
      </c>
      <c r="N92" s="403" t="str">
        <f ca="1"/>
        <v>BERTELSMANN SE &amp; CO. KGAA</v>
      </c>
      <c r="O92" s="403">
        <f ca="1"/>
        <v>0.24334032129324701</v>
      </c>
      <c r="P92" s="403">
        <f ca="1"/>
        <v>0.77924215593325996</v>
      </c>
      <c r="Q92" s="403">
        <f ca="1"/>
        <v>0.31227817879258601</v>
      </c>
      <c r="R92" s="441">
        <f ca="1"/>
        <v>0.31227817879258601</v>
      </c>
      <c r="S92" s="433"/>
      <c r="T92" s="412" cm="1">
        <f t="array" aca="1" ref="T92:X92" ca="1">IF(AND($U$12,B116&lt;=$C$17,C116&lt;&gt;""),TRANSPOSE(INDEX(getcds(C116,$C$6,G116/10000,F116,D116,$C$13,$C$14,$C$15,$C$8,,,TRUE,TRUE,FALSE,$C$29:$C$31,$C$33),{1;2;3;4;5})),"")</f>
        <v>-3.07812167718521E-2</v>
      </c>
      <c r="U92" s="413">
        <f ca="1"/>
        <v>1.65277484179173E-2</v>
      </c>
      <c r="V92" s="413">
        <f ca="1"/>
        <v>4.7308965189769403E-2</v>
      </c>
      <c r="W92" s="414">
        <f ca="1"/>
        <v>3.4935763975432301E-3</v>
      </c>
      <c r="X92" s="415">
        <f ca="1"/>
        <v>4.7308965189769401</v>
      </c>
      <c r="Y92" s="416">
        <f t="shared" ca="1" si="6"/>
        <v>5.3457106073324885E-2</v>
      </c>
      <c r="Z92" s="417">
        <f t="shared" ca="1" si="7"/>
        <v>-8.835256003298309E-4</v>
      </c>
      <c r="AA92" s="416">
        <f t="shared" ca="1" si="8"/>
        <v>4.2505090485549672E-2</v>
      </c>
      <c r="AB92" s="418">
        <f t="shared" ca="1" si="9"/>
        <v>3.3188975776660685E-3</v>
      </c>
      <c r="AC92" s="417">
        <f t="shared" ca="1" si="10"/>
        <v>-3.5125672101298694E-5</v>
      </c>
      <c r="AD92" s="220"/>
      <c r="AE92" s="220"/>
    </row>
    <row r="93" spans="1:31" customFormat="1" ht="14.5">
      <c r="A93" s="220"/>
      <c r="B93" s="267">
        <v>55</v>
      </c>
      <c r="C93" s="68" t="s">
        <v>555</v>
      </c>
      <c r="D93" s="246">
        <f t="shared" ca="1" si="5"/>
        <v>1.0526315789473684</v>
      </c>
      <c r="E93" s="238"/>
      <c r="F93" s="225">
        <v>0.4</v>
      </c>
      <c r="G93" s="425">
        <v>100</v>
      </c>
      <c r="H93" s="377">
        <v>79</v>
      </c>
      <c r="I93" s="403">
        <f ca="1"/>
        <v>8.2785914023324504E-5</v>
      </c>
      <c r="J93" s="403">
        <f ca="1"/>
        <v>4.5496938821315103E-4</v>
      </c>
      <c r="K93" s="403">
        <f ca="1"/>
        <v>0.18195930576441299</v>
      </c>
      <c r="L93" s="403">
        <f ca="1"/>
        <v>0.18195930576441299</v>
      </c>
      <c r="M93" s="403">
        <f ca="1"/>
        <v>-1.18625870267968E-4</v>
      </c>
      <c r="N93" s="403" t="str">
        <f ca="1"/>
        <v>BRITISH TELECOMMUNICATIONS PUBLIC LIMITED COMPANY</v>
      </c>
      <c r="O93" s="403">
        <f ca="1"/>
        <v>0.239876506670997</v>
      </c>
      <c r="P93" s="403">
        <f ca="1"/>
        <v>0.76027114012185104</v>
      </c>
      <c r="Q93" s="403">
        <f ca="1"/>
        <v>0.31551441849094902</v>
      </c>
      <c r="R93" s="441">
        <f ca="1"/>
        <v>0.31551441849094902</v>
      </c>
      <c r="S93" s="433"/>
      <c r="T93" s="412" cm="1">
        <f t="array" aca="1" ref="T93:X93" ca="1">IF(AND($U$12,B117&lt;=$C$17,C117&lt;&gt;""),TRANSPOSE(INDEX(getcds(C117,$C$6,G117/10000,F117,D117,$C$13,$C$14,$C$15,$C$8,,,TRUE,TRUE,FALSE,$C$29:$C$31,$C$33),{1;2;3;4;5})),"")</f>
        <v>-1.08117264440533E-2</v>
      </c>
      <c r="U93" s="413">
        <f ca="1"/>
        <v>3.6025650663221297E-2</v>
      </c>
      <c r="V93" s="413">
        <f ca="1"/>
        <v>4.6837377107274598E-2</v>
      </c>
      <c r="W93" s="414">
        <f ca="1"/>
        <v>7.6916456232614004E-3</v>
      </c>
      <c r="X93" s="415">
        <f ca="1"/>
        <v>4.6837377107274598</v>
      </c>
      <c r="Y93" s="416">
        <f t="shared" ca="1" si="6"/>
        <v>5.3457106073324885E-2</v>
      </c>
      <c r="Z93" s="417">
        <f t="shared" ca="1" si="7"/>
        <v>-1.9258270288643646E-3</v>
      </c>
      <c r="AA93" s="416">
        <f t="shared" ca="1" si="8"/>
        <v>6.0653101921470998E-2</v>
      </c>
      <c r="AB93" s="418">
        <f t="shared" ca="1" si="9"/>
        <v>7.3070633420983296E-3</v>
      </c>
      <c r="AC93" s="417">
        <f t="shared" ca="1" si="10"/>
        <v>-1.0925337307318356E-4</v>
      </c>
      <c r="AD93" s="220"/>
      <c r="AE93" s="220"/>
    </row>
    <row r="94" spans="1:31" customFormat="1" ht="14.5">
      <c r="A94" s="220"/>
      <c r="B94" s="267">
        <v>56</v>
      </c>
      <c r="C94" s="68" t="s">
        <v>556</v>
      </c>
      <c r="D94" s="246">
        <f t="shared" ca="1" si="5"/>
        <v>1.0526315789473684</v>
      </c>
      <c r="E94" s="238"/>
      <c r="F94" s="225">
        <v>0.4</v>
      </c>
      <c r="G94" s="425">
        <v>100</v>
      </c>
      <c r="H94" s="377">
        <v>80</v>
      </c>
      <c r="I94" s="403">
        <f ca="1"/>
        <v>6.0263305018371003E-5</v>
      </c>
      <c r="J94" s="403">
        <f ca="1"/>
        <v>4.81476821654935E-4</v>
      </c>
      <c r="K94" s="403">
        <f ca="1"/>
        <v>0.125163460228955</v>
      </c>
      <c r="L94" s="403">
        <f ca="1"/>
        <v>0.125163460228955</v>
      </c>
      <c r="M94" s="403">
        <f ca="1"/>
        <v>-6.2859100104011305E-5</v>
      </c>
      <c r="N94" s="403" t="str">
        <f ca="1"/>
        <v>DEUTSCHE TELEKOM AG</v>
      </c>
      <c r="O94" s="403">
        <f ca="1"/>
        <v>0.243421970710821</v>
      </c>
      <c r="P94" s="403">
        <f ca="1"/>
        <v>0.77982172064993505</v>
      </c>
      <c r="Q94" s="403">
        <f ca="1"/>
        <v>0.31215079583567301</v>
      </c>
      <c r="R94" s="441">
        <f ca="1"/>
        <v>0.31215079583567301</v>
      </c>
      <c r="S94" s="433"/>
      <c r="T94" s="412" cm="1">
        <f t="array" aca="1" ref="T94:X94" ca="1">IF(AND($U$12,B118&lt;=$C$17,C118&lt;&gt;""),TRANSPOSE(INDEX(getcds(C118,$C$6,G118/10000,F118,D118,$C$13,$C$14,$C$15,$C$8,,,TRUE,TRUE,FALSE,$C$29:$C$31,$C$33),{1;2;3;4;5})),"")</f>
        <v>-3.1391284894668997E-2</v>
      </c>
      <c r="U94" s="413">
        <f ca="1"/>
        <v>1.5926152661710501E-2</v>
      </c>
      <c r="V94" s="413">
        <f ca="1"/>
        <v>4.7317437556379502E-2</v>
      </c>
      <c r="W94" s="414">
        <f ca="1"/>
        <v>3.36581046738515E-3</v>
      </c>
      <c r="X94" s="415">
        <f ca="1"/>
        <v>4.7317437556379502</v>
      </c>
      <c r="Y94" s="416">
        <f t="shared" ca="1" si="6"/>
        <v>5.3457106073324885E-2</v>
      </c>
      <c r="Z94" s="417">
        <f t="shared" ca="1" si="7"/>
        <v>-8.5136603217702547E-4</v>
      </c>
      <c r="AA94" s="416">
        <f t="shared" ca="1" si="8"/>
        <v>4.1721153409651664E-2</v>
      </c>
      <c r="AB94" s="418">
        <f t="shared" ca="1" si="9"/>
        <v>3.1975199440158922E-3</v>
      </c>
      <c r="AC94" s="417">
        <f t="shared" ca="1" si="10"/>
        <v>-3.322287292123794E-5</v>
      </c>
      <c r="AD94" s="220"/>
      <c r="AE94" s="220"/>
    </row>
    <row r="95" spans="1:31" customFormat="1" ht="14.5">
      <c r="A95" s="220"/>
      <c r="B95" s="267">
        <v>57</v>
      </c>
      <c r="C95" s="68" t="s">
        <v>564</v>
      </c>
      <c r="D95" s="246">
        <f t="shared" ca="1" si="5"/>
        <v>1.0526315789473684</v>
      </c>
      <c r="E95" s="238"/>
      <c r="F95" s="225">
        <v>0.4</v>
      </c>
      <c r="G95" s="425">
        <v>100</v>
      </c>
      <c r="H95" s="377">
        <v>81</v>
      </c>
      <c r="I95" s="403">
        <f ca="1"/>
        <v>9.4341523608287801E-5</v>
      </c>
      <c r="J95" s="403">
        <f ca="1"/>
        <v>4.6012251528535999E-4</v>
      </c>
      <c r="K95" s="403">
        <f ca="1"/>
        <v>0.20503566001280901</v>
      </c>
      <c r="L95" s="403">
        <f ca="1"/>
        <v>0.20503566001280901</v>
      </c>
      <c r="M95" s="403">
        <f ca="1"/>
        <v>-1.3321797826351599E-4</v>
      </c>
      <c r="N95" s="403" t="str">
        <f ca="1"/>
        <v>ITV PLC</v>
      </c>
      <c r="O95" s="403">
        <f ca="1"/>
        <v>0.236879369083278</v>
      </c>
      <c r="P95" s="403">
        <f ca="1"/>
        <v>0.74749419647537496</v>
      </c>
      <c r="Q95" s="403">
        <f ca="1"/>
        <v>0.316897937402356</v>
      </c>
      <c r="R95" s="441">
        <f ca="1"/>
        <v>0.316897937402356</v>
      </c>
      <c r="S95" s="433"/>
      <c r="T95" s="412" cm="1">
        <f t="array" aca="1" ref="T95:X95" ca="1">IF(AND($U$12,B119&lt;=$C$17,C119&lt;&gt;""),TRANSPOSE(INDEX(getcds(C119,$C$6,G119/10000,F119,D119,$C$13,$C$14,$C$15,$C$8,,,TRUE,TRUE,FALSE,$C$29:$C$31,$C$33),{1;2;3;4;5})),"")</f>
        <v>2.6376879206578001E-3</v>
      </c>
      <c r="U95" s="413">
        <f ca="1"/>
        <v>4.9143283526599899E-2</v>
      </c>
      <c r="V95" s="413">
        <f ca="1"/>
        <v>4.6505595605942099E-2</v>
      </c>
      <c r="W95" s="414">
        <f ca="1"/>
        <v>1.05671764625934E-2</v>
      </c>
      <c r="X95" s="415">
        <f ca="1"/>
        <v>4.6505595605942096</v>
      </c>
      <c r="Y95" s="416">
        <f t="shared" ca="1" si="6"/>
        <v>5.3457106073324885E-2</v>
      </c>
      <c r="Z95" s="417">
        <f t="shared" ca="1" si="7"/>
        <v>-2.6270577202729272E-3</v>
      </c>
      <c r="AA95" s="416">
        <f t="shared" ca="1" si="8"/>
        <v>6.8345220004269666E-2</v>
      </c>
      <c r="AB95" s="418">
        <f t="shared" ca="1" si="9"/>
        <v>1.003881763946373E-2</v>
      </c>
      <c r="AC95" s="417">
        <f t="shared" ca="1" si="10"/>
        <v>-1.6793542621788333E-4</v>
      </c>
      <c r="AD95" s="220"/>
      <c r="AE95" s="220"/>
    </row>
    <row r="96" spans="1:31" customFormat="1" ht="14.5">
      <c r="A96" s="220"/>
      <c r="B96" s="267">
        <v>58</v>
      </c>
      <c r="C96" s="68" t="s">
        <v>557</v>
      </c>
      <c r="D96" s="246">
        <f t="shared" ca="1" si="5"/>
        <v>1.0526315789473684</v>
      </c>
      <c r="E96" s="238"/>
      <c r="F96" s="225">
        <v>0.4</v>
      </c>
      <c r="G96" s="425">
        <v>100</v>
      </c>
      <c r="H96" s="377">
        <v>82</v>
      </c>
      <c r="I96" s="403">
        <f ca="1"/>
        <v>7.0919735926189295E-5</v>
      </c>
      <c r="J96" s="403">
        <f ca="1"/>
        <v>4.75761308226945E-4</v>
      </c>
      <c r="K96" s="403">
        <f ca="1"/>
        <v>0.149065791395461</v>
      </c>
      <c r="L96" s="403">
        <f ca="1"/>
        <v>0.149065791395461</v>
      </c>
      <c r="M96" s="403">
        <f ca="1"/>
        <v>-8.6776351085258099E-5</v>
      </c>
      <c r="N96" s="403" t="str">
        <f ca="1"/>
        <v>KONINKLIJKE KPN N.V.</v>
      </c>
      <c r="O96" s="403">
        <f ca="1"/>
        <v>0.242374696614819</v>
      </c>
      <c r="P96" s="403">
        <f ca="1"/>
        <v>0.77310324641816897</v>
      </c>
      <c r="Q96" s="403">
        <f ca="1"/>
        <v>0.31350883305400001</v>
      </c>
      <c r="R96" s="441">
        <f ca="1"/>
        <v>0.31350883305400001</v>
      </c>
      <c r="S96" s="433"/>
      <c r="T96" s="412" cm="1">
        <f t="array" aca="1" ref="T96:X96" ca="1">IF(AND($U$12,B120&lt;=$C$17,C120&lt;&gt;""),TRANSPOSE(INDEX(getcds(C120,$C$6,G120/10000,F120,D120,$C$13,$C$14,$C$15,$C$8,,,TRUE,TRUE,FALSE,$C$29:$C$31,$C$33),{1;2;3;4;5})),"")</f>
        <v>-2.4319206755967802E-2</v>
      </c>
      <c r="U96" s="413">
        <f ca="1"/>
        <v>2.2830867457174098E-2</v>
      </c>
      <c r="V96" s="413">
        <f ca="1"/>
        <v>4.71500742131419E-2</v>
      </c>
      <c r="W96" s="414">
        <f ca="1"/>
        <v>4.8421699940422499E-3</v>
      </c>
      <c r="X96" s="415">
        <f ca="1"/>
        <v>4.7150074213141897</v>
      </c>
      <c r="Y96" s="416">
        <f t="shared" ca="1" si="6"/>
        <v>5.3457106073324885E-2</v>
      </c>
      <c r="Z96" s="417">
        <f t="shared" ca="1" si="7"/>
        <v>-1.2204721034041767E-3</v>
      </c>
      <c r="AA96" s="416">
        <f t="shared" ca="1" si="8"/>
        <v>4.9688597131820333E-2</v>
      </c>
      <c r="AB96" s="418">
        <f t="shared" ca="1" si="9"/>
        <v>4.6000614943401373E-3</v>
      </c>
      <c r="AC96" s="417">
        <f t="shared" ca="1" si="10"/>
        <v>-5.6721688762475562E-5</v>
      </c>
      <c r="AD96" s="220"/>
      <c r="AE96" s="220"/>
    </row>
    <row r="97" spans="1:31" customFormat="1" ht="14.5">
      <c r="A97" s="220"/>
      <c r="B97" s="267">
        <v>59</v>
      </c>
      <c r="C97" s="68" t="s">
        <v>558</v>
      </c>
      <c r="D97" s="246">
        <f t="shared" ca="1" si="5"/>
        <v>1.0526315789473684</v>
      </c>
      <c r="E97" s="238"/>
      <c r="F97" s="225">
        <v>0.4</v>
      </c>
      <c r="G97" s="425">
        <v>100</v>
      </c>
      <c r="H97" s="377">
        <v>83</v>
      </c>
      <c r="I97" s="403">
        <f ca="1"/>
        <v>5.93335379924609E-5</v>
      </c>
      <c r="J97" s="403">
        <f ca="1"/>
        <v>4.8218258165138699E-4</v>
      </c>
      <c r="K97" s="403">
        <f ca="1"/>
        <v>0.123052014424193</v>
      </c>
      <c r="L97" s="403">
        <f ca="1"/>
        <v>0.123052014424193</v>
      </c>
      <c r="M97" s="403">
        <f ca="1"/>
        <v>-6.1034717884971302E-5</v>
      </c>
      <c r="N97" s="403" t="str">
        <f ca="1"/>
        <v>ORANGE</v>
      </c>
      <c r="O97" s="403">
        <f ca="1"/>
        <v>0.24350169884466999</v>
      </c>
      <c r="P97" s="403">
        <f ca="1"/>
        <v>0.78037733963701394</v>
      </c>
      <c r="Q97" s="403">
        <f ca="1"/>
        <v>0.31203071447196701</v>
      </c>
      <c r="R97" s="441">
        <f ca="1"/>
        <v>0.31203071447196701</v>
      </c>
      <c r="S97" s="433"/>
      <c r="T97" s="412" cm="1">
        <f t="array" aca="1" ref="T97:X97" ca="1">IF(AND($U$12,B121&lt;=$C$17,C121&lt;&gt;""),TRANSPOSE(INDEX(getcds(C121,$C$6,G121/10000,F121,D121,$C$13,$C$14,$C$15,$C$8,,,TRUE,TRUE,FALSE,$C$29:$C$31,$C$33),{1;2;3;4;5})),"")</f>
        <v>-3.1976146986330001E-2</v>
      </c>
      <c r="U97" s="413">
        <f ca="1"/>
        <v>1.5399397269863601E-2</v>
      </c>
      <c r="V97" s="413">
        <f ca="1"/>
        <v>4.73755442561936E-2</v>
      </c>
      <c r="W97" s="414">
        <f ca="1"/>
        <v>3.25049506272434E-3</v>
      </c>
      <c r="X97" s="415">
        <f ca="1"/>
        <v>4.7375544256193596</v>
      </c>
      <c r="Y97" s="416">
        <f t="shared" ca="1" si="6"/>
        <v>5.3457106073324885E-2</v>
      </c>
      <c r="Z97" s="417">
        <f t="shared" ca="1" si="7"/>
        <v>-8.2320721332036675E-4</v>
      </c>
      <c r="AA97" s="416">
        <f t="shared" ca="1" si="8"/>
        <v>4.1017338141397665E-2</v>
      </c>
      <c r="AB97" s="418">
        <f t="shared" ca="1" si="9"/>
        <v>3.0879703095881227E-3</v>
      </c>
      <c r="AC97" s="417">
        <f t="shared" ca="1" si="10"/>
        <v>-3.1582114249585565E-5</v>
      </c>
      <c r="AD97" s="220"/>
      <c r="AE97" s="220"/>
    </row>
    <row r="98" spans="1:31" customFormat="1" ht="14.5">
      <c r="A98" s="220"/>
      <c r="B98" s="267">
        <v>60</v>
      </c>
      <c r="C98" s="68" t="s">
        <v>559</v>
      </c>
      <c r="D98" s="246">
        <f t="shared" ca="1" si="5"/>
        <v>1.0526315789473684</v>
      </c>
      <c r="E98" s="238"/>
      <c r="F98" s="225">
        <v>0.4</v>
      </c>
      <c r="G98" s="425">
        <v>100</v>
      </c>
      <c r="H98" s="377">
        <v>84</v>
      </c>
      <c r="I98" s="403">
        <f ca="1"/>
        <v>7.4009510433221693E-5</v>
      </c>
      <c r="J98" s="403">
        <f ca="1"/>
        <v>4.6238407834729402E-4</v>
      </c>
      <c r="K98" s="403">
        <f ca="1"/>
        <v>0.16006068093381401</v>
      </c>
      <c r="L98" s="403">
        <f ca="1"/>
        <v>0.16006068093381401</v>
      </c>
      <c r="M98" s="403">
        <f ca="1"/>
        <v>-9.7954452115460702E-5</v>
      </c>
      <c r="N98" s="403" t="str">
        <f ca="1"/>
        <v>PEARSON PLC</v>
      </c>
      <c r="O98" s="403">
        <f ca="1"/>
        <v>0.241702160266491</v>
      </c>
      <c r="P98" s="403">
        <f ca="1"/>
        <v>0.769329836006724</v>
      </c>
      <c r="Q98" s="403">
        <f ca="1"/>
        <v>0.314172347092462</v>
      </c>
      <c r="R98" s="441">
        <f ca="1"/>
        <v>0.314172347092462</v>
      </c>
      <c r="S98" s="433"/>
      <c r="T98" s="412" cm="1">
        <f t="array" aca="1" ref="T98:X98" ca="1">IF(AND($U$12,B122&lt;=$C$17,C122&lt;&gt;""),TRANSPOSE(INDEX(getcds(C122,$C$6,G122/10000,F122,D122,$C$13,$C$14,$C$15,$C$8,,,TRUE,TRUE,FALSE,$C$29:$C$31,$C$33),{1;2;3;4;5})),"")</f>
        <v>-2.0347195796551001E-2</v>
      </c>
      <c r="U98" s="413">
        <f ca="1"/>
        <v>2.6700933893383801E-2</v>
      </c>
      <c r="V98" s="413">
        <f ca="1"/>
        <v>4.7048129689934798E-2</v>
      </c>
      <c r="W98" s="414">
        <f ca="1"/>
        <v>5.6752381166590799E-3</v>
      </c>
      <c r="X98" s="415">
        <f ca="1"/>
        <v>4.7048129689934797</v>
      </c>
      <c r="Y98" s="416">
        <f t="shared" ca="1" si="6"/>
        <v>5.3457106073324885E-2</v>
      </c>
      <c r="Z98" s="417">
        <f t="shared" ca="1" si="7"/>
        <v>-1.4273546553954519E-3</v>
      </c>
      <c r="AA98" s="416">
        <f t="shared" ca="1" si="8"/>
        <v>5.3353560311271336E-2</v>
      </c>
      <c r="AB98" s="418">
        <f t="shared" ca="1" si="9"/>
        <v>5.3914762108261257E-3</v>
      </c>
      <c r="AC98" s="417">
        <f t="shared" ca="1" si="10"/>
        <v>-7.1229494342396043E-5</v>
      </c>
      <c r="AD98" s="220"/>
      <c r="AE98" s="220"/>
    </row>
    <row r="99" spans="1:31" customFormat="1" ht="14.5">
      <c r="A99" s="220"/>
      <c r="B99" s="267">
        <v>61</v>
      </c>
      <c r="C99" s="68" t="s">
        <v>565</v>
      </c>
      <c r="D99" s="246">
        <f t="shared" ca="1" si="5"/>
        <v>1.0526315789473684</v>
      </c>
      <c r="E99" s="238"/>
      <c r="F99" s="225">
        <v>0.4</v>
      </c>
      <c r="G99" s="425">
        <v>100</v>
      </c>
      <c r="H99" s="377">
        <v>85</v>
      </c>
      <c r="I99" s="403">
        <f ca="1"/>
        <v>7.0392049192300406E-5</v>
      </c>
      <c r="J99" s="403">
        <f ca="1"/>
        <v>4.76229127896031E-4</v>
      </c>
      <c r="K99" s="403">
        <f ca="1"/>
        <v>0.147811305669796</v>
      </c>
      <c r="L99" s="403">
        <f ca="1"/>
        <v>0.147811305669796</v>
      </c>
      <c r="M99" s="403">
        <f ca="1"/>
        <v>-8.5610419729298398E-5</v>
      </c>
      <c r="N99" s="403" t="str">
        <f ca="1"/>
        <v>PUBLICIS GROUPE SA</v>
      </c>
      <c r="O99" s="403">
        <f ca="1"/>
        <v>0.24244751372576201</v>
      </c>
      <c r="P99" s="403">
        <f ca="1"/>
        <v>0.77352951866878605</v>
      </c>
      <c r="Q99" s="403">
        <f ca="1"/>
        <v>0.31343020256422099</v>
      </c>
      <c r="R99" s="441">
        <f ca="1"/>
        <v>0.31343020256422099</v>
      </c>
      <c r="S99" s="433"/>
      <c r="T99" s="412" cm="1">
        <f t="array" aca="1" ref="T99:X99" ca="1">IF(AND($U$12,B123&lt;=$C$17,C123&lt;&gt;""),TRANSPOSE(INDEX(getcds(C123,$C$6,G123/10000,F123,D123,$C$13,$C$14,$C$15,$C$8,,,TRUE,TRUE,FALSE,$C$29:$C$31,$C$33),{1;2;3;4;5})),"")</f>
        <v>-2.4767914388195599E-2</v>
      </c>
      <c r="U99" s="413">
        <f ca="1"/>
        <v>2.2418246522964601E-2</v>
      </c>
      <c r="V99" s="413">
        <f ca="1"/>
        <v>4.7186160911160201E-2</v>
      </c>
      <c r="W99" s="414">
        <f ca="1"/>
        <v>4.75102150504946E-3</v>
      </c>
      <c r="X99" s="415">
        <f ca="1"/>
        <v>4.7186160911160204</v>
      </c>
      <c r="Y99" s="416">
        <f t="shared" ca="1" si="6"/>
        <v>5.3457106073324885E-2</v>
      </c>
      <c r="Z99" s="417">
        <f t="shared" ca="1" si="7"/>
        <v>-1.1984145823560673E-3</v>
      </c>
      <c r="AA99" s="416">
        <f t="shared" ca="1" si="8"/>
        <v>4.9270435223265331E-2</v>
      </c>
      <c r="AB99" s="418">
        <f t="shared" ca="1" si="9"/>
        <v>4.5134704297969865E-3</v>
      </c>
      <c r="AC99" s="417">
        <f t="shared" ca="1" si="10"/>
        <v>-5.5227838156446217E-5</v>
      </c>
      <c r="AD99" s="220"/>
      <c r="AE99" s="220"/>
    </row>
    <row r="100" spans="1:31" customFormat="1" ht="14.5">
      <c r="A100" s="220"/>
      <c r="B100" s="267">
        <v>62</v>
      </c>
      <c r="C100" s="68" t="s">
        <v>566</v>
      </c>
      <c r="D100" s="246">
        <f t="shared" ca="1" si="5"/>
        <v>1.0526315789473684</v>
      </c>
      <c r="E100" s="238"/>
      <c r="F100" s="225">
        <v>0.4</v>
      </c>
      <c r="G100" s="425">
        <v>100</v>
      </c>
      <c r="H100" s="377">
        <v>86</v>
      </c>
      <c r="I100" s="403">
        <f ca="1"/>
        <v>1.0288442388419399E-4</v>
      </c>
      <c r="J100" s="403">
        <f ca="1"/>
        <v>4.3983686953113398E-4</v>
      </c>
      <c r="K100" s="403">
        <f ca="1"/>
        <v>0.23391496032124101</v>
      </c>
      <c r="L100" s="403">
        <f ca="1"/>
        <v>0.23391496032124101</v>
      </c>
      <c r="M100" s="403">
        <f ca="1"/>
        <v>-1.20079743104857E-4</v>
      </c>
      <c r="N100" s="403" t="str">
        <f ca="1"/>
        <v>SES</v>
      </c>
      <c r="O100" s="403">
        <f ca="1"/>
        <v>0.22969516415333799</v>
      </c>
      <c r="P100" s="403">
        <f ca="1"/>
        <v>0.72153337275684903</v>
      </c>
      <c r="Q100" s="403">
        <f ca="1"/>
        <v>0.31834309101422997</v>
      </c>
      <c r="R100" s="441">
        <f ca="1"/>
        <v>0.31834309101422997</v>
      </c>
      <c r="S100" s="433"/>
      <c r="T100" s="412" cm="1">
        <f t="array" aca="1" ref="T100:X100" ca="1">IF(AND($U$12,B124&lt;=$C$17,C124&lt;&gt;""),TRANSPOSE(INDEX(getcds(C124,$C$6,G124/10000,F124,D124,$C$13,$C$14,$C$15,$C$8,,,TRUE,TRUE,FALSE,$C$29:$C$31,$C$33),{1;2;3;4;5})),"")</f>
        <v>2.9964870782264501E-2</v>
      </c>
      <c r="U100" s="413">
        <f ca="1"/>
        <v>7.5529165002354098E-2</v>
      </c>
      <c r="V100" s="413">
        <f ca="1"/>
        <v>4.5564294220089598E-2</v>
      </c>
      <c r="W100" s="414">
        <f ca="1"/>
        <v>1.6576393049681601E-2</v>
      </c>
      <c r="X100" s="415">
        <f ca="1"/>
        <v>4.5564294220089598</v>
      </c>
      <c r="Y100" s="416">
        <f t="shared" ca="1" si="6"/>
        <v>5.3457106073324885E-2</v>
      </c>
      <c r="Z100" s="417">
        <f t="shared" ca="1" si="7"/>
        <v>-4.0375705851604998E-3</v>
      </c>
      <c r="AA100" s="416">
        <f t="shared" ca="1" si="8"/>
        <v>7.7971653440413666E-2</v>
      </c>
      <c r="AB100" s="418">
        <f t="shared" ca="1" si="9"/>
        <v>1.5747573397197519E-2</v>
      </c>
      <c r="AC100" s="417">
        <f t="shared" ca="1" si="10"/>
        <v>-2.9445669391036934E-4</v>
      </c>
      <c r="AD100" s="220"/>
      <c r="AE100" s="220"/>
    </row>
    <row r="101" spans="1:31" customFormat="1" ht="14.5">
      <c r="A101" s="220"/>
      <c r="B101" s="267">
        <v>63</v>
      </c>
      <c r="C101" s="68" t="s">
        <v>576</v>
      </c>
      <c r="D101" s="246">
        <f t="shared" ca="1" si="5"/>
        <v>1.0526315789473684</v>
      </c>
      <c r="E101" s="238"/>
      <c r="F101" s="225">
        <v>0.4</v>
      </c>
      <c r="G101" s="425">
        <v>100</v>
      </c>
      <c r="H101" s="377">
        <v>87</v>
      </c>
      <c r="I101" s="403">
        <f ca="1"/>
        <v>3.8627655543868098E-5</v>
      </c>
      <c r="J101" s="403">
        <f ca="1"/>
        <v>4.8887196914248305E-4</v>
      </c>
      <c r="K101" s="403">
        <f ca="1"/>
        <v>7.9013848168926107E-2</v>
      </c>
      <c r="L101" s="403">
        <f ca="1"/>
        <v>7.9013848168926107E-2</v>
      </c>
      <c r="M101" s="403">
        <f ca="1"/>
        <v>-2.5144471875171399E-5</v>
      </c>
      <c r="N101" s="403" t="str">
        <f ca="1"/>
        <v>SKY LIMITED</v>
      </c>
      <c r="O101" s="403">
        <f ca="1"/>
        <v>0.244453827786524</v>
      </c>
      <c r="P101" s="403">
        <f ca="1"/>
        <v>0.788760391473464</v>
      </c>
      <c r="Q101" s="403">
        <f ca="1"/>
        <v>0.30992153058023802</v>
      </c>
      <c r="R101" s="441">
        <f ca="1"/>
        <v>0.30992153058023802</v>
      </c>
      <c r="S101" s="433"/>
      <c r="T101" s="412" cm="1">
        <f t="array" aca="1" ref="T101:X101" ca="1">IF(AND($U$12,B125&lt;=$C$17,C125&lt;&gt;""),TRANSPOSE(INDEX(getcds(C125,$C$6,G125/10000,F125,D125,$C$13,$C$14,$C$15,$C$8,,,TRUE,TRUE,FALSE,$C$29:$C$31,$C$33),{1;2;3;4;5})),"")</f>
        <v>-4.0800412077329901E-2</v>
      </c>
      <c r="U101" s="413">
        <f ca="1"/>
        <v>6.8156317990683496E-3</v>
      </c>
      <c r="V101" s="413">
        <f ca="1"/>
        <v>4.7616043876398298E-2</v>
      </c>
      <c r="W101" s="414">
        <f ca="1"/>
        <v>1.4313729668009301E-3</v>
      </c>
      <c r="X101" s="415">
        <f ca="1"/>
        <v>4.7616043876398297</v>
      </c>
      <c r="Y101" s="416">
        <f t="shared" ca="1" si="6"/>
        <v>5.3457106073324885E-2</v>
      </c>
      <c r="Z101" s="417">
        <f t="shared" ca="1" si="7"/>
        <v>-3.6434395203952284E-4</v>
      </c>
      <c r="AA101" s="416">
        <f t="shared" ca="1" si="8"/>
        <v>2.6337949389642037E-2</v>
      </c>
      <c r="AB101" s="418">
        <f t="shared" ca="1" si="9"/>
        <v>1.3598043184608836E-3</v>
      </c>
      <c r="AC101" s="417">
        <f t="shared" ca="1" si="10"/>
        <v>-8.9754882691148555E-6</v>
      </c>
      <c r="AD101" s="220"/>
      <c r="AE101" s="220"/>
    </row>
    <row r="102" spans="1:31" customFormat="1" ht="14.5">
      <c r="A102" s="220"/>
      <c r="B102" s="267">
        <v>64</v>
      </c>
      <c r="C102" s="68" t="s">
        <v>614</v>
      </c>
      <c r="D102" s="246">
        <f t="shared" ca="1" si="5"/>
        <v>1.0526315789473684</v>
      </c>
      <c r="E102" s="238"/>
      <c r="F102" s="225">
        <v>0.4</v>
      </c>
      <c r="G102" s="425">
        <v>100</v>
      </c>
      <c r="H102" s="377">
        <v>88</v>
      </c>
      <c r="I102" s="403">
        <f ca="1"/>
        <v>5.9039928514721397E-5</v>
      </c>
      <c r="J102" s="403">
        <f ca="1"/>
        <v>4.8219993767282903E-4</v>
      </c>
      <c r="K102" s="403">
        <f ca="1"/>
        <v>0.12243868964325701</v>
      </c>
      <c r="L102" s="403">
        <f ca="1"/>
        <v>0.12243868964325701</v>
      </c>
      <c r="M102" s="403">
        <f ca="1"/>
        <v>-6.0376890378406298E-5</v>
      </c>
      <c r="N102" s="403" t="str">
        <f ca="1"/>
        <v>STMICROELECTRONICS N.V.</v>
      </c>
      <c r="O102" s="403">
        <f ca="1"/>
        <v>0.24351907978234999</v>
      </c>
      <c r="P102" s="403">
        <f ca="1"/>
        <v>0.780510594001113</v>
      </c>
      <c r="Q102" s="403">
        <f ca="1"/>
        <v>0.31199971102762902</v>
      </c>
      <c r="R102" s="441">
        <f ca="1"/>
        <v>0.31199971102762902</v>
      </c>
      <c r="S102" s="433"/>
      <c r="T102" s="412" cm="1">
        <f t="array" aca="1" ref="T102:X102" ca="1">IF(AND($U$12,B126&lt;=$C$17,C126&lt;&gt;""),TRANSPOSE(INDEX(getcds(C126,$C$6,G126/10000,F126,D126,$C$13,$C$14,$C$15,$C$8,,,TRUE,TRUE,FALSE,$C$29:$C$31,$C$33),{1;2;3;4;5})),"")</f>
        <v>-3.2116414738013702E-2</v>
      </c>
      <c r="U102" s="413">
        <f ca="1"/>
        <v>1.52466815047824E-2</v>
      </c>
      <c r="V102" s="413">
        <f ca="1"/>
        <v>4.7363096242796103E-2</v>
      </c>
      <c r="W102" s="414">
        <f ca="1"/>
        <v>3.2191057414455702E-3</v>
      </c>
      <c r="X102" s="415">
        <f ca="1"/>
        <v>4.7363096242796097</v>
      </c>
      <c r="Y102" s="416">
        <f t="shared" ca="1" si="6"/>
        <v>5.3457106073324885E-2</v>
      </c>
      <c r="Z102" s="417">
        <f t="shared" ca="1" si="7"/>
        <v>-8.1504347046735366E-4</v>
      </c>
      <c r="AA102" s="416">
        <f t="shared" ca="1" si="8"/>
        <v>4.0812896547752338E-2</v>
      </c>
      <c r="AB102" s="418">
        <f t="shared" ca="1" si="9"/>
        <v>3.0581504543732915E-3</v>
      </c>
      <c r="AC102" s="417">
        <f t="shared" ca="1" si="10"/>
        <v>-3.111306174756069E-5</v>
      </c>
      <c r="AD102" s="220"/>
      <c r="AE102" s="220"/>
    </row>
    <row r="103" spans="1:31" customFormat="1" ht="14.5">
      <c r="A103" s="220"/>
      <c r="B103" s="267">
        <v>65</v>
      </c>
      <c r="C103" s="68" t="s">
        <v>567</v>
      </c>
      <c r="D103" s="246">
        <f t="shared" ca="1" si="5"/>
        <v>1.0526315789473684</v>
      </c>
      <c r="E103" s="238"/>
      <c r="F103" s="225">
        <v>0.4</v>
      </c>
      <c r="G103" s="425">
        <v>100</v>
      </c>
      <c r="H103" s="377">
        <v>89</v>
      </c>
      <c r="I103" s="403">
        <f ca="1"/>
        <v>8.0120618030845602E-5</v>
      </c>
      <c r="J103" s="403">
        <f ca="1"/>
        <v>4.5749822516459501E-4</v>
      </c>
      <c r="K103" s="403">
        <f ca="1"/>
        <v>0.175127713341446</v>
      </c>
      <c r="L103" s="403">
        <f ca="1"/>
        <v>0.175127713341446</v>
      </c>
      <c r="M103" s="403">
        <f ca="1"/>
        <v>-1.1239508048216899E-4</v>
      </c>
      <c r="N103" s="403" t="str">
        <f ca="1"/>
        <v>TELEFONICA, S.A.</v>
      </c>
      <c r="O103" s="403">
        <f ca="1"/>
        <v>0.240520878422749</v>
      </c>
      <c r="P103" s="403">
        <f ca="1"/>
        <v>0.76330702631846303</v>
      </c>
      <c r="Q103" s="403">
        <f ca="1"/>
        <v>0.31510371335478898</v>
      </c>
      <c r="R103" s="441">
        <f ca="1"/>
        <v>0.31510371335478898</v>
      </c>
      <c r="S103" s="433"/>
      <c r="T103" s="412" cm="1">
        <f t="array" aca="1" ref="T103:X103" ca="1">IF(AND($U$12,B127&lt;=$C$17,C127&lt;&gt;""),TRANSPOSE(INDEX(getcds(C127,$C$6,G127/10000,F127,D127,$C$13,$C$14,$C$15,$C$8,,,TRUE,TRUE,FALSE,$C$29:$C$31,$C$33),{1;2;3;4;5})),"")</f>
        <v>-1.40073961246982E-2</v>
      </c>
      <c r="U103" s="413">
        <f ca="1"/>
        <v>3.2858685137863497E-2</v>
      </c>
      <c r="V103" s="413">
        <f ca="1"/>
        <v>4.6866081262561698E-2</v>
      </c>
      <c r="W103" s="414">
        <f ca="1"/>
        <v>7.0111868226781296E-3</v>
      </c>
      <c r="X103" s="415">
        <f ca="1"/>
        <v>4.6866081262561696</v>
      </c>
      <c r="Y103" s="416">
        <f t="shared" ca="1" si="6"/>
        <v>5.3457106073324885E-2</v>
      </c>
      <c r="Z103" s="417">
        <f t="shared" ca="1" si="7"/>
        <v>-1.7565302168447527E-3</v>
      </c>
      <c r="AA103" s="416">
        <f t="shared" ca="1" si="8"/>
        <v>5.8375904447148665E-2</v>
      </c>
      <c r="AB103" s="418">
        <f t="shared" ca="1" si="9"/>
        <v>6.6606274815442226E-3</v>
      </c>
      <c r="AC103" s="417">
        <f t="shared" ca="1" si="10"/>
        <v>-9.590777319334331E-5</v>
      </c>
      <c r="AD103" s="220"/>
      <c r="AE103" s="220"/>
    </row>
    <row r="104" spans="1:31" customFormat="1" ht="14.5">
      <c r="A104" s="220"/>
      <c r="B104" s="267">
        <v>66</v>
      </c>
      <c r="C104" s="68" t="s">
        <v>577</v>
      </c>
      <c r="D104" s="246">
        <f t="shared" ref="D104:D133" ca="1" si="11">100/95</f>
        <v>1.0526315789473684</v>
      </c>
      <c r="E104" s="238"/>
      <c r="F104" s="225">
        <v>0.4</v>
      </c>
      <c r="G104" s="425">
        <v>100</v>
      </c>
      <c r="H104" s="377">
        <v>90</v>
      </c>
      <c r="I104" s="403">
        <f ca="1"/>
        <v>5.1269894148413602E-5</v>
      </c>
      <c r="J104" s="403">
        <f ca="1"/>
        <v>4.8531050197100602E-4</v>
      </c>
      <c r="K104" s="403">
        <f ca="1"/>
        <v>0.105643487911738</v>
      </c>
      <c r="L104" s="403">
        <f ca="1"/>
        <v>0.105643487911738</v>
      </c>
      <c r="M104" s="403">
        <f ca="1"/>
        <v>-4.5300059473307697E-5</v>
      </c>
      <c r="N104" s="403" t="str">
        <f ca="1"/>
        <v>TELEKOM AUSTRIA AKTIENGESELLSCHAFT</v>
      </c>
      <c r="O104" s="403">
        <f ca="1"/>
        <v>0.24398848939708201</v>
      </c>
      <c r="P104" s="403">
        <f ca="1"/>
        <v>0.78419585447907703</v>
      </c>
      <c r="Q104" s="403">
        <f ca="1"/>
        <v>0.31113208263407299</v>
      </c>
      <c r="R104" s="441">
        <f ca="1"/>
        <v>0.31113208263407299</v>
      </c>
      <c r="S104" s="433"/>
      <c r="T104" s="412" cm="1">
        <f t="array" aca="1" ref="T104:X104" ca="1">IF(AND($U$12,B128&lt;=$C$17,C128&lt;&gt;""),TRANSPOSE(INDEX(getcds(C128,$C$6,G128/10000,F128,D128,$C$13,$C$14,$C$15,$C$8,,,TRUE,TRUE,FALSE,$C$29:$C$31,$C$33),{1;2;3;4;5})),"")</f>
        <v>-3.5995636293765301E-2</v>
      </c>
      <c r="U104" s="413">
        <f ca="1"/>
        <v>1.14901402509935E-2</v>
      </c>
      <c r="V104" s="413">
        <f ca="1"/>
        <v>4.7485776544758801E-2</v>
      </c>
      <c r="W104" s="414">
        <f ca="1"/>
        <v>2.41970145316317E-3</v>
      </c>
      <c r="X104" s="415">
        <f ca="1"/>
        <v>4.7485776544758798</v>
      </c>
      <c r="Y104" s="416">
        <f t="shared" ca="1" si="6"/>
        <v>5.3457106073324885E-2</v>
      </c>
      <c r="Z104" s="417">
        <f t="shared" ca="1" si="7"/>
        <v>-6.1422964619473638E-4</v>
      </c>
      <c r="AA104" s="416">
        <f t="shared" ca="1" si="8"/>
        <v>3.5214495970579331E-2</v>
      </c>
      <c r="AB104" s="418">
        <f t="shared" ca="1" si="9"/>
        <v>2.2987163805050113E-3</v>
      </c>
      <c r="AC104" s="417">
        <f t="shared" ca="1" si="10"/>
        <v>-2.023097487850003E-5</v>
      </c>
      <c r="AD104" s="220"/>
      <c r="AE104" s="220"/>
    </row>
    <row r="105" spans="1:31" customFormat="1" ht="14.5">
      <c r="A105" s="220"/>
      <c r="B105" s="267">
        <v>67</v>
      </c>
      <c r="C105" s="68" t="s">
        <v>568</v>
      </c>
      <c r="D105" s="246">
        <f t="shared" ca="1" si="11"/>
        <v>1.0526315789473684</v>
      </c>
      <c r="E105" s="238"/>
      <c r="F105" s="225">
        <v>0.4</v>
      </c>
      <c r="G105" s="425">
        <v>100</v>
      </c>
      <c r="H105" s="377">
        <v>91</v>
      </c>
      <c r="I105" s="403">
        <f ca="1"/>
        <v>5.4072505307571902E-5</v>
      </c>
      <c r="J105" s="403">
        <f ca="1"/>
        <v>4.8422134211693999E-4</v>
      </c>
      <c r="K105" s="403">
        <f ca="1"/>
        <v>0.11166898400466101</v>
      </c>
      <c r="L105" s="403">
        <f ca="1"/>
        <v>0.11166898400466101</v>
      </c>
      <c r="M105" s="403">
        <f ca="1"/>
        <v>-5.0490074604097103E-5</v>
      </c>
      <c r="N105" s="403" t="str">
        <f ca="1"/>
        <v>TELENOR ASA</v>
      </c>
      <c r="O105" s="403">
        <f ca="1"/>
        <v>0.24383735513378599</v>
      </c>
      <c r="P105" s="403">
        <f ca="1"/>
        <v>0.78294727870366498</v>
      </c>
      <c r="Q105" s="403">
        <f ca="1"/>
        <v>0.31143521635008498</v>
      </c>
      <c r="R105" s="441">
        <f ca="1"/>
        <v>0.31143521635008498</v>
      </c>
      <c r="S105" s="433"/>
      <c r="T105" s="412" cm="1">
        <f t="array" aca="1" ref="T105:X105" ca="1">IF(AND($U$12,B129&lt;=$C$17,C129&lt;&gt;""),TRANSPOSE(INDEX(getcds(C129,$C$6,G129/10000,F129,D129,$C$13,$C$14,$C$15,$C$8,,,TRUE,TRUE,FALSE,$C$29:$C$31,$C$33),{1;2;3;4;5})),"")</f>
        <v>-3.4681346003858297E-2</v>
      </c>
      <c r="U105" s="413">
        <f ca="1"/>
        <v>1.27558937006273E-2</v>
      </c>
      <c r="V105" s="413">
        <f ca="1"/>
        <v>4.7437239704485601E-2</v>
      </c>
      <c r="W105" s="414">
        <f ca="1"/>
        <v>2.6890042043110499E-3</v>
      </c>
      <c r="X105" s="415">
        <f ca="1"/>
        <v>4.7437239704485599</v>
      </c>
      <c r="Y105" s="416">
        <f t="shared" ca="1" si="6"/>
        <v>5.3457106073324885E-2</v>
      </c>
      <c r="Z105" s="417">
        <f t="shared" ca="1" si="7"/>
        <v>-6.818931626144894E-4</v>
      </c>
      <c r="AA105" s="416">
        <f t="shared" ca="1" si="8"/>
        <v>3.7222994668220336E-2</v>
      </c>
      <c r="AB105" s="418">
        <f t="shared" ca="1" si="9"/>
        <v>2.5545539940954971E-3</v>
      </c>
      <c r="AC105" s="417">
        <f t="shared" ca="1" si="10"/>
        <v>-2.3740628160341789E-5</v>
      </c>
      <c r="AD105" s="220"/>
      <c r="AE105" s="220"/>
    </row>
    <row r="106" spans="1:31" customFormat="1" ht="14.5">
      <c r="A106" s="220"/>
      <c r="B106" s="267">
        <v>68</v>
      </c>
      <c r="C106" s="68" t="s">
        <v>569</v>
      </c>
      <c r="D106" s="246">
        <f t="shared" ca="1" si="11"/>
        <v>1.0526315789473684</v>
      </c>
      <c r="E106" s="238"/>
      <c r="F106" s="225">
        <v>0.4</v>
      </c>
      <c r="G106" s="425">
        <v>100</v>
      </c>
      <c r="H106" s="377">
        <v>92</v>
      </c>
      <c r="I106" s="403">
        <f ca="1"/>
        <v>5.5141169424588501E-5</v>
      </c>
      <c r="J106" s="403">
        <f ca="1"/>
        <v>4.8381862471692398E-4</v>
      </c>
      <c r="K106" s="403">
        <f ca="1"/>
        <v>0.11397074566290399</v>
      </c>
      <c r="L106" s="403">
        <f ca="1"/>
        <v>0.11397074566290399</v>
      </c>
      <c r="M106" s="403">
        <f ca="1"/>
        <v>-5.2553653433176101E-5</v>
      </c>
      <c r="N106" s="403" t="str">
        <f ca="1"/>
        <v>TELIA COMPANY AB</v>
      </c>
      <c r="O106" s="403">
        <f ca="1"/>
        <v>0.24377520819644699</v>
      </c>
      <c r="P106" s="403">
        <f ca="1"/>
        <v>0.78245114480298095</v>
      </c>
      <c r="Q106" s="403">
        <f ca="1"/>
        <v>0.311553264143832</v>
      </c>
      <c r="R106" s="441">
        <f ca="1"/>
        <v>0.311553264143832</v>
      </c>
      <c r="S106" s="433"/>
      <c r="T106" s="412" cm="1">
        <f t="array" aca="1" ref="T106:X106" ca="1">IF(AND($U$12,B130&lt;=$C$17,C130&lt;&gt;""),TRANSPOSE(INDEX(getcds(C130,$C$6,G130/10000,F130,D130,$C$13,$C$14,$C$15,$C$8,,,TRUE,TRUE,FALSE,$C$29:$C$31,$C$33),{1;2;3;4;5})),"")</f>
        <v>-3.4159099792611801E-2</v>
      </c>
      <c r="U106" s="413">
        <f ca="1"/>
        <v>1.3263797098353999E-2</v>
      </c>
      <c r="V106" s="413">
        <f ca="1"/>
        <v>4.74228968909658E-2</v>
      </c>
      <c r="W106" s="414">
        <f ca="1"/>
        <v>2.7969183596797099E-3</v>
      </c>
      <c r="X106" s="415">
        <f ca="1"/>
        <v>4.7422896890965802</v>
      </c>
      <c r="Y106" s="416">
        <f t="shared" ca="1" si="6"/>
        <v>5.3457106073324885E-2</v>
      </c>
      <c r="Z106" s="417">
        <f t="shared" ca="1" si="7"/>
        <v>-7.0904420842176914E-4</v>
      </c>
      <c r="AA106" s="416">
        <f t="shared" ca="1" si="8"/>
        <v>3.7990248554301331E-2</v>
      </c>
      <c r="AB106" s="418">
        <f t="shared" ca="1" si="9"/>
        <v>2.6570724416957242E-3</v>
      </c>
      <c r="AC106" s="417">
        <f t="shared" ca="1" si="10"/>
        <v>-2.5194747427014513E-5</v>
      </c>
      <c r="AD106" s="220"/>
      <c r="AE106" s="220"/>
    </row>
    <row r="107" spans="1:31" customFormat="1" ht="14.5">
      <c r="A107" s="220"/>
      <c r="B107" s="267">
        <v>69</v>
      </c>
      <c r="C107" s="68" t="s">
        <v>578</v>
      </c>
      <c r="D107" s="246">
        <f t="shared" ca="1" si="11"/>
        <v>1.0526315789473684</v>
      </c>
      <c r="E107" s="238"/>
      <c r="F107" s="225">
        <v>0.4</v>
      </c>
      <c r="G107" s="425">
        <v>100</v>
      </c>
      <c r="H107" s="377">
        <v>93</v>
      </c>
      <c r="I107" s="403">
        <f ca="1"/>
        <v>7.4738707200787706E-5</v>
      </c>
      <c r="J107" s="403">
        <f ca="1"/>
        <v>4.6185520710684101E-4</v>
      </c>
      <c r="K107" s="403">
        <f ca="1"/>
        <v>0.161822809509861</v>
      </c>
      <c r="L107" s="403">
        <f ca="1"/>
        <v>0.161822809509861</v>
      </c>
      <c r="M107" s="403">
        <f ca="1"/>
        <v>-9.9793885255186103E-5</v>
      </c>
      <c r="N107" s="403" t="str">
        <f ca="1"/>
        <v>VIVENDI SE</v>
      </c>
      <c r="O107" s="403">
        <f ca="1"/>
        <v>0.24158515490971899</v>
      </c>
      <c r="P107" s="403">
        <f ca="1"/>
        <v>0.76870399874214301</v>
      </c>
      <c r="Q107" s="403">
        <f ca="1"/>
        <v>0.31427591804521998</v>
      </c>
      <c r="R107" s="441">
        <f ca="1"/>
        <v>0.31427591804521998</v>
      </c>
      <c r="S107" s="433"/>
      <c r="T107" s="412" cm="1">
        <f t="array" aca="1" ref="T107:X107" ca="1">IF(AND($U$12,B131&lt;=$C$17,C131&lt;&gt;""),TRANSPOSE(INDEX(getcds(C131,$C$6,G131/10000,F131,D131,$C$13,$C$14,$C$15,$C$8,,,TRUE,TRUE,FALSE,$C$29:$C$31,$C$33),{1;2;3;4;5})),"")</f>
        <v>-1.9688419728571601E-2</v>
      </c>
      <c r="U107" s="413">
        <f ca="1"/>
        <v>2.7361036686663499E-2</v>
      </c>
      <c r="V107" s="413">
        <f ca="1"/>
        <v>4.70494564152351E-2</v>
      </c>
      <c r="W107" s="414">
        <f ca="1"/>
        <v>5.8153778537181301E-3</v>
      </c>
      <c r="X107" s="415">
        <f ca="1"/>
        <v>4.7049456415235102</v>
      </c>
      <c r="Y107" s="416">
        <f t="shared" ca="1" si="6"/>
        <v>5.3457106073324885E-2</v>
      </c>
      <c r="Z107" s="417">
        <f t="shared" ca="1" si="7"/>
        <v>-1.4626418404351024E-3</v>
      </c>
      <c r="AA107" s="416">
        <f t="shared" ca="1" si="8"/>
        <v>5.3940936503286997E-2</v>
      </c>
      <c r="AB107" s="418">
        <f t="shared" ca="1" si="9"/>
        <v>5.5246089610322237E-3</v>
      </c>
      <c r="AC107" s="417">
        <f t="shared" ca="1" si="10"/>
        <v>-7.3793997128970948E-5</v>
      </c>
      <c r="AD107" s="220"/>
      <c r="AE107" s="220"/>
    </row>
    <row r="108" spans="1:31" customFormat="1" ht="14.5">
      <c r="A108" s="220"/>
      <c r="B108" s="267">
        <v>70</v>
      </c>
      <c r="C108" s="68" t="s">
        <v>570</v>
      </c>
      <c r="D108" s="246">
        <f t="shared" ca="1" si="11"/>
        <v>1.0526315789473684</v>
      </c>
      <c r="E108" s="238"/>
      <c r="F108" s="225">
        <v>0.4</v>
      </c>
      <c r="G108" s="425">
        <v>100</v>
      </c>
      <c r="H108" s="377">
        <v>94</v>
      </c>
      <c r="I108" s="403">
        <f ca="1"/>
        <v>7.9833203963459694E-5</v>
      </c>
      <c r="J108" s="403">
        <f ca="1"/>
        <v>4.5775536526796698E-4</v>
      </c>
      <c r="K108" s="403">
        <f ca="1"/>
        <v>0.17440145986432301</v>
      </c>
      <c r="L108" s="403">
        <f ca="1"/>
        <v>0.17440145986432301</v>
      </c>
      <c r="M108" s="403">
        <f ca="1"/>
        <v>-1.1178774650433E-4</v>
      </c>
      <c r="N108" s="403" t="str">
        <f ca="1"/>
        <v>VODAFONE GROUP PUBLIC LIMITED COMPANY</v>
      </c>
      <c r="O108" s="403">
        <f ca="1"/>
        <v>0.24058892359218401</v>
      </c>
      <c r="P108" s="403">
        <f ca="1"/>
        <v>0.76363971531256503</v>
      </c>
      <c r="Q108" s="403">
        <f ca="1"/>
        <v>0.31505554094146199</v>
      </c>
      <c r="R108" s="441">
        <f ca="1"/>
        <v>0.31505554094146199</v>
      </c>
      <c r="S108" s="433"/>
      <c r="T108" s="412" cm="1">
        <f t="array" aca="1" ref="T108:X108" ca="1">IF(AND($U$12,B132&lt;=$C$17,C132&lt;&gt;""),TRANSPOSE(INDEX(getcds(C132,$C$6,G132/10000,F132,D132,$C$13,$C$14,$C$15,$C$8,,,TRUE,TRUE,FALSE,$C$29:$C$31,$C$33),{1;2;3;4;5})),"")</f>
        <v>-1.43575950658583E-2</v>
      </c>
      <c r="U108" s="413">
        <f ca="1"/>
        <v>3.2530731404931103E-2</v>
      </c>
      <c r="V108" s="413">
        <f ca="1"/>
        <v>4.6888326470789402E-2</v>
      </c>
      <c r="W108" s="414">
        <f ca="1"/>
        <v>6.9379169301760297E-3</v>
      </c>
      <c r="X108" s="415">
        <f ca="1"/>
        <v>4.6888326470789403</v>
      </c>
      <c r="Y108" s="416">
        <f t="shared" ca="1" si="6"/>
        <v>5.3457106073324885E-2</v>
      </c>
      <c r="Z108" s="417">
        <f t="shared" ca="1" si="7"/>
        <v>-1.7389987593562414E-3</v>
      </c>
      <c r="AA108" s="416">
        <f t="shared" ca="1" si="8"/>
        <v>5.8133819954774339E-2</v>
      </c>
      <c r="AB108" s="418">
        <f t="shared" ca="1" si="9"/>
        <v>6.5910210836672275E-3</v>
      </c>
      <c r="AC108" s="417">
        <f t="shared" ca="1" si="10"/>
        <v>-9.4556784124569468E-5</v>
      </c>
      <c r="AD108" s="220"/>
      <c r="AE108" s="220"/>
    </row>
    <row r="109" spans="1:31" customFormat="1" ht="14.5">
      <c r="A109" s="220"/>
      <c r="B109" s="267">
        <v>71</v>
      </c>
      <c r="C109" s="68" t="s">
        <v>571</v>
      </c>
      <c r="D109" s="246">
        <f t="shared" ca="1" si="11"/>
        <v>1.0526315789473684</v>
      </c>
      <c r="E109" s="238"/>
      <c r="F109" s="225">
        <v>0.4</v>
      </c>
      <c r="G109" s="425">
        <v>100</v>
      </c>
      <c r="H109" s="377">
        <v>95</v>
      </c>
      <c r="I109" s="403">
        <f ca="1"/>
        <v>7.9096167720336103E-5</v>
      </c>
      <c r="J109" s="403">
        <f ca="1"/>
        <v>4.5839786028031398E-4</v>
      </c>
      <c r="K109" s="403">
        <f ca="1"/>
        <v>0.17254916432630901</v>
      </c>
      <c r="L109" s="403">
        <f ca="1"/>
        <v>0.17254916432630901</v>
      </c>
      <c r="M109" s="403">
        <f ca="1"/>
        <v>-1.0996478253652001E-4</v>
      </c>
      <c r="N109" s="403" t="str">
        <f ca="1"/>
        <v>WPP 2005 LIMITED</v>
      </c>
      <c r="O109" s="403">
        <f ca="1"/>
        <v>0.24074432163814899</v>
      </c>
      <c r="P109" s="403">
        <f ca="1"/>
        <v>0.76439747616667897</v>
      </c>
      <c r="Q109" s="403">
        <f ca="1"/>
        <v>0.31494651558171</v>
      </c>
      <c r="R109" s="441">
        <f ca="1"/>
        <v>0.31494651558171</v>
      </c>
      <c r="S109" s="433"/>
      <c r="T109" s="412" cm="1">
        <f t="array" aca="1" ref="T109:X109" ca="1">IF(AND($U$12,B133&lt;=$C$17,C133&lt;&gt;""),TRANSPOSE(INDEX(getcds(C133,$C$6,G133/10000,F133,D133,$C$13,$C$14,$C$15,$C$8,,,TRUE,TRUE,FALSE,$C$29:$C$31,$C$33),{1;2;3;4;5})),"")</f>
        <v>-1.5155238070188599E-2</v>
      </c>
      <c r="U109" s="413">
        <f ca="1"/>
        <v>3.17294439441159E-2</v>
      </c>
      <c r="V109" s="413">
        <f ca="1"/>
        <v>4.6884682014304499E-2</v>
      </c>
      <c r="W109" s="414">
        <f ca="1"/>
        <v>6.76755020636276E-3</v>
      </c>
      <c r="X109" s="415">
        <f ca="1"/>
        <v>4.6884682014304504</v>
      </c>
      <c r="Y109" s="416">
        <f t="shared" ca="1" si="6"/>
        <v>5.3457106073324885E-2</v>
      </c>
      <c r="Z109" s="417">
        <f t="shared" ca="1" si="7"/>
        <v>-1.6961642505682187E-3</v>
      </c>
      <c r="AA109" s="416">
        <f t="shared" ca="1" si="8"/>
        <v>5.7516388108769669E-2</v>
      </c>
      <c r="AB109" s="418">
        <f t="shared" ca="1" si="9"/>
        <v>6.4291726960446216E-3</v>
      </c>
      <c r="AC109" s="417">
        <f t="shared" ca="1" si="10"/>
        <v>-9.1248150618261127E-5</v>
      </c>
      <c r="AD109" s="220"/>
      <c r="AE109" s="220"/>
    </row>
    <row r="110" spans="1:31" customFormat="1" ht="14.5">
      <c r="A110" s="220"/>
      <c r="B110" s="267">
        <v>72</v>
      </c>
      <c r="C110" s="68" t="s">
        <v>572</v>
      </c>
      <c r="D110" s="246">
        <f t="shared" ca="1" si="11"/>
        <v>1.0526315789473684</v>
      </c>
      <c r="E110" s="238"/>
      <c r="F110" s="225">
        <v>0.4</v>
      </c>
      <c r="G110" s="425">
        <v>100</v>
      </c>
      <c r="H110" s="377">
        <v>96</v>
      </c>
      <c r="I110" s="403"/>
      <c r="J110" s="403"/>
      <c r="K110" s="403"/>
      <c r="L110" s="403"/>
      <c r="M110" s="403"/>
      <c r="N110" s="403"/>
      <c r="O110" s="403"/>
      <c r="P110" s="403"/>
      <c r="Q110" s="403"/>
      <c r="R110" s="441"/>
      <c r="S110" s="433"/>
      <c r="T110" s="412" t="str" cm="1">
        <f t="array" aca="1" ref="T110" ca="1">IF(AND($U$12,B134&lt;=$C$17,C134&lt;&gt;""),TRANSPOSE(INDEX(getcds(C134,$C$6,G134/10000,F134,D134,$C$13,$C$14,$C$15,$C$8,,,TRUE,TRUE,FALSE,$C$29:$C$31,$C$33),{1;2;3;4;5})),"")</f>
        <v/>
      </c>
      <c r="U110" s="413"/>
      <c r="V110" s="413"/>
      <c r="W110" s="414"/>
      <c r="X110" s="415"/>
      <c r="Y110" s="416" t="str">
        <f t="shared" ca="1" si="6"/>
        <v/>
      </c>
      <c r="Z110" s="417" t="str">
        <f t="shared" ca="1" si="7"/>
        <v/>
      </c>
      <c r="AA110" s="416" t="str">
        <f t="shared" ca="1" si="8"/>
        <v/>
      </c>
      <c r="AB110" s="418" t="str">
        <f t="shared" ca="1" si="9"/>
        <v/>
      </c>
      <c r="AC110" s="417" t="str">
        <f t="shared" ca="1" si="10"/>
        <v/>
      </c>
      <c r="AD110" s="220"/>
    </row>
    <row r="111" spans="1:31" customFormat="1" ht="14.5">
      <c r="A111" s="220"/>
      <c r="B111" s="267">
        <v>73</v>
      </c>
      <c r="C111" s="68" t="s">
        <v>573</v>
      </c>
      <c r="D111" s="246">
        <f t="shared" ca="1" si="11"/>
        <v>1.0526315789473684</v>
      </c>
      <c r="E111" s="238"/>
      <c r="F111" s="225">
        <v>0.4</v>
      </c>
      <c r="G111" s="425">
        <v>100</v>
      </c>
      <c r="H111" s="377">
        <v>97</v>
      </c>
      <c r="I111" s="403"/>
      <c r="J111" s="403"/>
      <c r="K111" s="403"/>
      <c r="L111" s="403"/>
      <c r="M111" s="403"/>
      <c r="N111" s="403"/>
      <c r="O111" s="403"/>
      <c r="P111" s="403"/>
      <c r="Q111" s="403"/>
      <c r="R111" s="441"/>
      <c r="S111" s="433"/>
      <c r="T111" s="412" t="str" cm="1">
        <f t="array" aca="1" ref="T111" ca="1">IF(AND($U$12,B135&lt;=$C$17,C135&lt;&gt;""),TRANSPOSE(INDEX(getcds(C135,$C$6,G135/10000,F135,D135,$C$13,$C$14,$C$15,$C$8,,,TRUE,TRUE,FALSE,$C$29:$C$31,$C$33),{1;2;3;4;5})),"")</f>
        <v/>
      </c>
      <c r="U111" s="413"/>
      <c r="V111" s="413"/>
      <c r="W111" s="414"/>
      <c r="X111" s="415"/>
      <c r="Y111" s="416" t="str">
        <f t="shared" ca="1" si="6"/>
        <v/>
      </c>
      <c r="Z111" s="417" t="str">
        <f t="shared" ca="1" si="7"/>
        <v/>
      </c>
      <c r="AA111" s="416" t="str">
        <f t="shared" ca="1" si="8"/>
        <v/>
      </c>
      <c r="AB111" s="418" t="str">
        <f t="shared" ca="1" si="9"/>
        <v/>
      </c>
      <c r="AC111" s="417" t="str">
        <f t="shared" ca="1" si="10"/>
        <v/>
      </c>
      <c r="AD111" s="220"/>
    </row>
    <row r="112" spans="1:31" customFormat="1" ht="14.5">
      <c r="A112" s="220"/>
      <c r="B112" s="267">
        <v>74</v>
      </c>
      <c r="C112" s="68" t="s">
        <v>574</v>
      </c>
      <c r="D112" s="246">
        <f t="shared" ca="1" si="11"/>
        <v>1.0526315789473684</v>
      </c>
      <c r="E112" s="238"/>
      <c r="F112" s="225">
        <v>0.4</v>
      </c>
      <c r="G112" s="425">
        <v>100</v>
      </c>
      <c r="H112" s="377">
        <v>98</v>
      </c>
      <c r="I112" s="403"/>
      <c r="J112" s="403"/>
      <c r="K112" s="403"/>
      <c r="L112" s="403"/>
      <c r="M112" s="403"/>
      <c r="N112" s="403"/>
      <c r="O112" s="403"/>
      <c r="P112" s="403"/>
      <c r="Q112" s="403"/>
      <c r="R112" s="441"/>
      <c r="S112" s="433"/>
      <c r="T112" s="412" t="str" cm="1">
        <f t="array" aca="1" ref="T112" ca="1">IF(AND($U$12,B136&lt;=$C$17,C136&lt;&gt;""),TRANSPOSE(INDEX(getcds(C136,$C$6,G136/10000,F136,D136,$C$13,$C$14,$C$15,$C$8,,,TRUE,TRUE,FALSE,$C$29:$C$31,$C$33),{1;2;3;4;5})),"")</f>
        <v/>
      </c>
      <c r="U112" s="413"/>
      <c r="V112" s="413"/>
      <c r="W112" s="414"/>
      <c r="X112" s="415"/>
      <c r="Y112" s="416" t="str">
        <f t="shared" ca="1" si="6"/>
        <v/>
      </c>
      <c r="Z112" s="417" t="str">
        <f t="shared" ca="1" si="7"/>
        <v/>
      </c>
      <c r="AA112" s="416" t="str">
        <f t="shared" ca="1" si="8"/>
        <v/>
      </c>
      <c r="AB112" s="418" t="str">
        <f t="shared" ca="1" si="9"/>
        <v/>
      </c>
      <c r="AC112" s="417" t="str">
        <f t="shared" ca="1" si="10"/>
        <v/>
      </c>
      <c r="AD112" s="220"/>
    </row>
    <row r="113" spans="1:30" customFormat="1" ht="14.5">
      <c r="A113" s="220"/>
      <c r="B113" s="267">
        <v>75</v>
      </c>
      <c r="C113" s="68" t="s">
        <v>579</v>
      </c>
      <c r="D113" s="246">
        <f t="shared" ca="1" si="11"/>
        <v>1.0526315789473684</v>
      </c>
      <c r="E113" s="238"/>
      <c r="F113" s="225">
        <v>0.4</v>
      </c>
      <c r="G113" s="425">
        <v>100</v>
      </c>
      <c r="H113" s="377">
        <v>99</v>
      </c>
      <c r="I113" s="403"/>
      <c r="J113" s="403"/>
      <c r="K113" s="403"/>
      <c r="L113" s="403"/>
      <c r="M113" s="403"/>
      <c r="N113" s="403"/>
      <c r="O113" s="403"/>
      <c r="P113" s="403"/>
      <c r="Q113" s="403"/>
      <c r="R113" s="441"/>
      <c r="S113" s="433"/>
      <c r="T113" s="412" t="str" cm="1">
        <f t="array" aca="1" ref="T113" ca="1">IF(AND($U$12,B137&lt;=$C$17,C137&lt;&gt;""),TRANSPOSE(INDEX(getcds(C137,$C$6,G137/10000,F137,D137,$C$13,$C$14,$C$15,$C$8,,,TRUE,TRUE,FALSE,$C$29:$C$31,$C$33),{1;2;3;4;5})),"")</f>
        <v/>
      </c>
      <c r="U113" s="413"/>
      <c r="V113" s="413"/>
      <c r="W113" s="414"/>
      <c r="X113" s="415"/>
      <c r="Y113" s="416" t="str">
        <f t="shared" ca="1" si="6"/>
        <v/>
      </c>
      <c r="Z113" s="417" t="str">
        <f t="shared" ca="1" si="7"/>
        <v/>
      </c>
      <c r="AA113" s="416" t="str">
        <f t="shared" ca="1" si="8"/>
        <v/>
      </c>
      <c r="AB113" s="418" t="str">
        <f t="shared" ca="1" si="9"/>
        <v/>
      </c>
      <c r="AC113" s="417" t="str">
        <f t="shared" ca="1" si="10"/>
        <v/>
      </c>
      <c r="AD113" s="220"/>
    </row>
    <row r="114" spans="1:30" customFormat="1" ht="14.5">
      <c r="A114" s="220"/>
      <c r="B114" s="267">
        <v>76</v>
      </c>
      <c r="C114" s="68" t="s">
        <v>580</v>
      </c>
      <c r="D114" s="246">
        <f t="shared" ca="1" si="11"/>
        <v>1.0526315789473684</v>
      </c>
      <c r="E114" s="238"/>
      <c r="F114" s="225">
        <v>0.4</v>
      </c>
      <c r="G114" s="425">
        <v>100</v>
      </c>
      <c r="H114" s="377">
        <v>100</v>
      </c>
      <c r="I114" s="403"/>
      <c r="J114" s="403"/>
      <c r="K114" s="403"/>
      <c r="L114" s="403"/>
      <c r="M114" s="403"/>
      <c r="N114" s="403"/>
      <c r="O114" s="403"/>
      <c r="P114" s="403"/>
      <c r="Q114" s="403"/>
      <c r="R114" s="441"/>
      <c r="S114" s="433"/>
      <c r="T114" s="412" t="str" cm="1">
        <f t="array" aca="1" ref="T114" ca="1">IF(AND($U$12,B138&lt;=$C$17,C138&lt;&gt;""),TRANSPOSE(INDEX(getcds(C138,$C$6,G138/10000,F138,D138,$C$13,$C$14,$C$15,$C$8,,,TRUE,TRUE,FALSE,$C$29:$C$31,$C$33),{1;2;3;4;5})),"")</f>
        <v/>
      </c>
      <c r="U114" s="413"/>
      <c r="V114" s="413"/>
      <c r="W114" s="414"/>
      <c r="X114" s="415"/>
      <c r="Y114" s="416" t="str">
        <f t="shared" ca="1" si="6"/>
        <v/>
      </c>
      <c r="Z114" s="417" t="str">
        <f t="shared" ca="1" si="7"/>
        <v/>
      </c>
      <c r="AA114" s="416" t="str">
        <f t="shared" ca="1" si="8"/>
        <v/>
      </c>
      <c r="AB114" s="418" t="str">
        <f t="shared" ca="1" si="9"/>
        <v/>
      </c>
      <c r="AC114" s="417" t="str">
        <f t="shared" ca="1" si="10"/>
        <v/>
      </c>
      <c r="AD114" s="220"/>
    </row>
    <row r="115" spans="1:30" customFormat="1" ht="14.5">
      <c r="A115" s="220"/>
      <c r="B115" s="267">
        <v>77</v>
      </c>
      <c r="C115" s="68" t="s">
        <v>575</v>
      </c>
      <c r="D115" s="246">
        <f t="shared" ca="1" si="11"/>
        <v>1.0526315789473684</v>
      </c>
      <c r="E115" s="238"/>
      <c r="F115" s="225">
        <v>0.4</v>
      </c>
      <c r="G115" s="425">
        <v>100</v>
      </c>
      <c r="H115" s="377">
        <v>101</v>
      </c>
      <c r="I115" s="394"/>
      <c r="J115" s="394"/>
      <c r="K115" s="403"/>
      <c r="L115" s="403"/>
      <c r="M115" s="403"/>
      <c r="N115" s="403"/>
      <c r="O115" s="403"/>
      <c r="P115" s="403"/>
      <c r="Q115" s="403"/>
      <c r="R115" s="441"/>
      <c r="S115" s="433"/>
      <c r="T115" s="412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13"/>
      <c r="V115" s="413"/>
      <c r="W115" s="414"/>
      <c r="X115" s="415"/>
      <c r="Y115" s="416" t="str">
        <f t="shared" ca="1" si="6"/>
        <v/>
      </c>
      <c r="Z115" s="417" t="str">
        <f t="shared" ca="1" si="7"/>
        <v/>
      </c>
      <c r="AA115" s="416" t="str">
        <f t="shared" ca="1" si="8"/>
        <v/>
      </c>
      <c r="AB115" s="418" t="str">
        <f t="shared" ca="1" si="9"/>
        <v/>
      </c>
      <c r="AC115" s="417" t="str">
        <f t="shared" ca="1" si="10"/>
        <v/>
      </c>
      <c r="AD115" s="220"/>
    </row>
    <row r="116" spans="1:30" customFormat="1" ht="14.5">
      <c r="A116" s="220"/>
      <c r="B116" s="267">
        <v>78</v>
      </c>
      <c r="C116" s="68" t="s">
        <v>581</v>
      </c>
      <c r="D116" s="246">
        <f t="shared" ca="1" si="11"/>
        <v>1.0526315789473684</v>
      </c>
      <c r="E116" s="238"/>
      <c r="F116" s="225">
        <v>0.4</v>
      </c>
      <c r="G116" s="425">
        <v>100</v>
      </c>
      <c r="H116" s="377">
        <v>102</v>
      </c>
      <c r="I116" s="394"/>
      <c r="J116" s="394"/>
      <c r="K116" s="403"/>
      <c r="L116" s="403"/>
      <c r="M116" s="403"/>
      <c r="N116" s="403"/>
      <c r="O116" s="403"/>
      <c r="P116" s="403"/>
      <c r="Q116" s="403"/>
      <c r="R116" s="441"/>
      <c r="S116" s="433"/>
      <c r="T116" s="412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13"/>
      <c r="V116" s="413"/>
      <c r="W116" s="414"/>
      <c r="X116" s="415"/>
      <c r="Y116" s="416" t="str">
        <f t="shared" ca="1" si="6"/>
        <v/>
      </c>
      <c r="Z116" s="417" t="str">
        <f t="shared" ca="1" si="7"/>
        <v/>
      </c>
      <c r="AA116" s="416" t="str">
        <f t="shared" ca="1" si="8"/>
        <v/>
      </c>
      <c r="AB116" s="418" t="str">
        <f t="shared" ca="1" si="9"/>
        <v/>
      </c>
      <c r="AC116" s="417" t="str">
        <f t="shared" ca="1" si="10"/>
        <v/>
      </c>
      <c r="AD116" s="220"/>
    </row>
    <row r="117" spans="1:30" customFormat="1" ht="14.5">
      <c r="A117" s="220"/>
      <c r="B117" s="267">
        <v>79</v>
      </c>
      <c r="C117" s="68" t="s">
        <v>582</v>
      </c>
      <c r="D117" s="246">
        <f t="shared" ca="1" si="11"/>
        <v>1.0526315789473684</v>
      </c>
      <c r="E117" s="238"/>
      <c r="F117" s="225">
        <v>0.4</v>
      </c>
      <c r="G117" s="425">
        <v>100</v>
      </c>
      <c r="H117" s="377">
        <v>103</v>
      </c>
      <c r="I117" s="394"/>
      <c r="J117" s="394"/>
      <c r="K117" s="403"/>
      <c r="L117" s="403"/>
      <c r="M117" s="403"/>
      <c r="N117" s="403"/>
      <c r="O117" s="403"/>
      <c r="P117" s="403"/>
      <c r="Q117" s="403"/>
      <c r="R117" s="441"/>
      <c r="S117" s="433"/>
      <c r="T117" s="412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13"/>
      <c r="V117" s="413"/>
      <c r="W117" s="414"/>
      <c r="X117" s="415"/>
      <c r="Y117" s="416" t="str">
        <f t="shared" ca="1" si="6"/>
        <v/>
      </c>
      <c r="Z117" s="417" t="str">
        <f t="shared" ca="1" si="7"/>
        <v/>
      </c>
      <c r="AA117" s="416" t="str">
        <f t="shared" ca="1" si="8"/>
        <v/>
      </c>
      <c r="AB117" s="418" t="str">
        <f t="shared" ca="1" si="9"/>
        <v/>
      </c>
      <c r="AC117" s="417" t="str">
        <f t="shared" ca="1" si="10"/>
        <v/>
      </c>
      <c r="AD117" s="220"/>
    </row>
    <row r="118" spans="1:30" customFormat="1" ht="14.5">
      <c r="A118" s="220"/>
      <c r="B118" s="267">
        <v>80</v>
      </c>
      <c r="C118" s="68" t="s">
        <v>583</v>
      </c>
      <c r="D118" s="246">
        <f t="shared" ca="1" si="11"/>
        <v>1.0526315789473684</v>
      </c>
      <c r="E118" s="238"/>
      <c r="F118" s="225">
        <v>0.4</v>
      </c>
      <c r="G118" s="425">
        <v>100</v>
      </c>
      <c r="H118" s="377">
        <v>104</v>
      </c>
      <c r="I118" s="394"/>
      <c r="J118" s="394"/>
      <c r="K118" s="403"/>
      <c r="L118" s="403"/>
      <c r="M118" s="403"/>
      <c r="N118" s="403"/>
      <c r="O118" s="403"/>
      <c r="P118" s="403"/>
      <c r="Q118" s="403"/>
      <c r="R118" s="441"/>
      <c r="S118" s="433"/>
      <c r="T118" s="412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13"/>
      <c r="V118" s="413"/>
      <c r="W118" s="414"/>
      <c r="X118" s="415"/>
      <c r="Y118" s="416" t="str">
        <f t="shared" ca="1" si="6"/>
        <v/>
      </c>
      <c r="Z118" s="417" t="str">
        <f t="shared" ca="1" si="7"/>
        <v/>
      </c>
      <c r="AA118" s="416" t="str">
        <f t="shared" ca="1" si="8"/>
        <v/>
      </c>
      <c r="AB118" s="418" t="str">
        <f t="shared" ca="1" si="9"/>
        <v/>
      </c>
      <c r="AC118" s="417" t="str">
        <f t="shared" ca="1" si="10"/>
        <v/>
      </c>
      <c r="AD118" s="220"/>
    </row>
    <row r="119" spans="1:30" customFormat="1" ht="14.5">
      <c r="A119" s="220"/>
      <c r="B119" s="267">
        <v>81</v>
      </c>
      <c r="C119" s="68" t="s">
        <v>584</v>
      </c>
      <c r="D119" s="246">
        <f t="shared" ca="1" si="11"/>
        <v>1.0526315789473684</v>
      </c>
      <c r="E119" s="238"/>
      <c r="F119" s="225">
        <v>0.4</v>
      </c>
      <c r="G119" s="425">
        <v>100</v>
      </c>
      <c r="H119" s="377">
        <v>105</v>
      </c>
      <c r="I119" s="394"/>
      <c r="J119" s="394"/>
      <c r="K119" s="403"/>
      <c r="L119" s="403"/>
      <c r="M119" s="403"/>
      <c r="N119" s="403"/>
      <c r="O119" s="403"/>
      <c r="P119" s="403"/>
      <c r="Q119" s="403"/>
      <c r="R119" s="441"/>
      <c r="S119" s="433"/>
      <c r="T119" s="412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13"/>
      <c r="V119" s="413"/>
      <c r="W119" s="414"/>
      <c r="X119" s="415"/>
      <c r="Y119" s="416" t="str">
        <f t="shared" ca="1" si="6"/>
        <v/>
      </c>
      <c r="Z119" s="417" t="str">
        <f t="shared" ca="1" si="7"/>
        <v/>
      </c>
      <c r="AA119" s="416" t="str">
        <f t="shared" ca="1" si="8"/>
        <v/>
      </c>
      <c r="AB119" s="418" t="str">
        <f t="shared" ca="1" si="9"/>
        <v/>
      </c>
      <c r="AC119" s="417" t="str">
        <f t="shared" ca="1" si="10"/>
        <v/>
      </c>
      <c r="AD119" s="220"/>
    </row>
    <row r="120" spans="1:30" customFormat="1" ht="14.5">
      <c r="A120" s="220"/>
      <c r="B120" s="267">
        <v>82</v>
      </c>
      <c r="C120" s="68" t="s">
        <v>594</v>
      </c>
      <c r="D120" s="246">
        <f t="shared" ca="1" si="11"/>
        <v>1.0526315789473684</v>
      </c>
      <c r="E120" s="238"/>
      <c r="F120" s="225">
        <v>0.4</v>
      </c>
      <c r="G120" s="425">
        <v>100</v>
      </c>
      <c r="H120" s="377">
        <v>106</v>
      </c>
      <c r="I120" s="394"/>
      <c r="J120" s="394"/>
      <c r="K120" s="403"/>
      <c r="L120" s="403"/>
      <c r="M120" s="403"/>
      <c r="N120" s="403"/>
      <c r="O120" s="403"/>
      <c r="P120" s="403"/>
      <c r="Q120" s="403"/>
      <c r="R120" s="441"/>
      <c r="S120" s="433"/>
      <c r="T120" s="412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13"/>
      <c r="V120" s="413"/>
      <c r="W120" s="414"/>
      <c r="X120" s="415"/>
      <c r="Y120" s="416" t="str">
        <f t="shared" ca="1" si="6"/>
        <v/>
      </c>
      <c r="Z120" s="417" t="str">
        <f t="shared" ca="1" si="7"/>
        <v/>
      </c>
      <c r="AA120" s="416" t="str">
        <f t="shared" ca="1" si="8"/>
        <v/>
      </c>
      <c r="AB120" s="418" t="str">
        <f t="shared" ca="1" si="9"/>
        <v/>
      </c>
      <c r="AC120" s="417" t="str">
        <f t="shared" ca="1" si="10"/>
        <v/>
      </c>
      <c r="AD120" s="220"/>
    </row>
    <row r="121" spans="1:30" customFormat="1" ht="14.5">
      <c r="A121" s="220"/>
      <c r="B121" s="267">
        <v>83</v>
      </c>
      <c r="C121" s="68" t="s">
        <v>585</v>
      </c>
      <c r="D121" s="246">
        <f t="shared" ca="1" si="11"/>
        <v>1.0526315789473684</v>
      </c>
      <c r="E121" s="238"/>
      <c r="F121" s="225">
        <v>0.4</v>
      </c>
      <c r="G121" s="425">
        <v>100</v>
      </c>
      <c r="H121" s="377">
        <v>107</v>
      </c>
      <c r="I121" s="394"/>
      <c r="J121" s="394"/>
      <c r="K121" s="403"/>
      <c r="L121" s="403"/>
      <c r="M121" s="403"/>
      <c r="N121" s="403"/>
      <c r="O121" s="403"/>
      <c r="P121" s="403"/>
      <c r="Q121" s="403"/>
      <c r="R121" s="441"/>
      <c r="S121" s="433"/>
      <c r="T121" s="412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13"/>
      <c r="V121" s="413"/>
      <c r="W121" s="414"/>
      <c r="X121" s="415"/>
      <c r="Y121" s="416" t="str">
        <f t="shared" ca="1" si="6"/>
        <v/>
      </c>
      <c r="Z121" s="417" t="str">
        <f t="shared" ca="1" si="7"/>
        <v/>
      </c>
      <c r="AA121" s="416" t="str">
        <f t="shared" ca="1" si="8"/>
        <v/>
      </c>
      <c r="AB121" s="418" t="str">
        <f t="shared" ca="1" si="9"/>
        <v/>
      </c>
      <c r="AC121" s="417" t="str">
        <f t="shared" ca="1" si="10"/>
        <v/>
      </c>
      <c r="AD121" s="220"/>
    </row>
    <row r="122" spans="1:30" customFormat="1" ht="14.5">
      <c r="A122" s="220"/>
      <c r="B122" s="267">
        <v>84</v>
      </c>
      <c r="C122" s="68" t="s">
        <v>586</v>
      </c>
      <c r="D122" s="246">
        <f t="shared" ca="1" si="11"/>
        <v>1.0526315789473684</v>
      </c>
      <c r="E122" s="238"/>
      <c r="F122" s="225">
        <v>0.4</v>
      </c>
      <c r="G122" s="425">
        <v>100</v>
      </c>
      <c r="H122" s="377">
        <v>108</v>
      </c>
      <c r="I122" s="394"/>
      <c r="J122" s="394"/>
      <c r="K122" s="403"/>
      <c r="L122" s="403"/>
      <c r="M122" s="403"/>
      <c r="N122" s="403"/>
      <c r="O122" s="403"/>
      <c r="P122" s="403"/>
      <c r="Q122" s="403"/>
      <c r="R122" s="441"/>
      <c r="S122" s="433"/>
      <c r="T122" s="412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13"/>
      <c r="V122" s="413"/>
      <c r="W122" s="414"/>
      <c r="X122" s="415"/>
      <c r="Y122" s="416" t="str">
        <f t="shared" ca="1" si="6"/>
        <v/>
      </c>
      <c r="Z122" s="417" t="str">
        <f t="shared" ca="1" si="7"/>
        <v/>
      </c>
      <c r="AA122" s="416" t="str">
        <f t="shared" ca="1" si="8"/>
        <v/>
      </c>
      <c r="AB122" s="418" t="str">
        <f t="shared" ca="1" si="9"/>
        <v/>
      </c>
      <c r="AC122" s="417" t="str">
        <f t="shared" ca="1" si="10"/>
        <v/>
      </c>
      <c r="AD122" s="220"/>
    </row>
    <row r="123" spans="1:30" customFormat="1" ht="14.5">
      <c r="A123" s="220"/>
      <c r="B123" s="267">
        <v>85</v>
      </c>
      <c r="C123" s="68" t="s">
        <v>595</v>
      </c>
      <c r="D123" s="246">
        <f t="shared" ca="1" si="11"/>
        <v>1.0526315789473684</v>
      </c>
      <c r="E123" s="238"/>
      <c r="F123" s="225">
        <v>0.4</v>
      </c>
      <c r="G123" s="425">
        <v>100</v>
      </c>
      <c r="H123" s="377">
        <v>109</v>
      </c>
      <c r="I123" s="394"/>
      <c r="J123" s="394"/>
      <c r="K123" s="403"/>
      <c r="L123" s="403"/>
      <c r="M123" s="403"/>
      <c r="N123" s="403"/>
      <c r="O123" s="403"/>
      <c r="P123" s="403"/>
      <c r="Q123" s="403"/>
      <c r="R123" s="441"/>
      <c r="S123" s="433"/>
      <c r="T123" s="412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13"/>
      <c r="V123" s="413"/>
      <c r="W123" s="414"/>
      <c r="X123" s="415"/>
      <c r="Y123" s="416" t="str">
        <f t="shared" ca="1" si="6"/>
        <v/>
      </c>
      <c r="Z123" s="417" t="str">
        <f t="shared" ca="1" si="7"/>
        <v/>
      </c>
      <c r="AA123" s="416" t="str">
        <f t="shared" ca="1" si="8"/>
        <v/>
      </c>
      <c r="AB123" s="418" t="str">
        <f t="shared" ca="1" si="9"/>
        <v/>
      </c>
      <c r="AC123" s="417" t="str">
        <f t="shared" ca="1" si="10"/>
        <v/>
      </c>
      <c r="AD123" s="220"/>
    </row>
    <row r="124" spans="1:30" customFormat="1" ht="14.5">
      <c r="A124" s="220"/>
      <c r="B124" s="267">
        <v>86</v>
      </c>
      <c r="C124" s="68" t="s">
        <v>587</v>
      </c>
      <c r="D124" s="246">
        <f t="shared" ca="1" si="11"/>
        <v>1.0526315789473684</v>
      </c>
      <c r="E124" s="238"/>
      <c r="F124" s="225">
        <v>0.4</v>
      </c>
      <c r="G124" s="425">
        <v>100</v>
      </c>
      <c r="H124" s="377">
        <v>110</v>
      </c>
      <c r="I124" s="394"/>
      <c r="J124" s="394"/>
      <c r="K124" s="403"/>
      <c r="L124" s="403"/>
      <c r="M124" s="403"/>
      <c r="N124" s="403"/>
      <c r="O124" s="403"/>
      <c r="P124" s="403"/>
      <c r="Q124" s="403"/>
      <c r="R124" s="441"/>
      <c r="S124" s="433"/>
      <c r="T124" s="412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13"/>
      <c r="V124" s="413"/>
      <c r="W124" s="414"/>
      <c r="X124" s="415"/>
      <c r="Y124" s="416" t="str">
        <f t="shared" ca="1" si="6"/>
        <v/>
      </c>
      <c r="Z124" s="417" t="str">
        <f t="shared" ca="1" si="7"/>
        <v/>
      </c>
      <c r="AA124" s="416" t="str">
        <f t="shared" ca="1" si="8"/>
        <v/>
      </c>
      <c r="AB124" s="418" t="str">
        <f t="shared" ca="1" si="9"/>
        <v/>
      </c>
      <c r="AC124" s="417" t="str">
        <f t="shared" ca="1" si="10"/>
        <v/>
      </c>
      <c r="AD124" s="220"/>
    </row>
    <row r="125" spans="1:30" customFormat="1" ht="14.5">
      <c r="A125" s="220"/>
      <c r="B125" s="267">
        <v>87</v>
      </c>
      <c r="C125" s="68" t="s">
        <v>615</v>
      </c>
      <c r="D125" s="246">
        <f t="shared" ca="1" si="11"/>
        <v>1.0526315789473684</v>
      </c>
      <c r="E125" s="238"/>
      <c r="F125" s="225">
        <v>0.4</v>
      </c>
      <c r="G125" s="425">
        <v>100</v>
      </c>
      <c r="H125" s="377">
        <v>111</v>
      </c>
      <c r="I125" s="394"/>
      <c r="J125" s="394"/>
      <c r="K125" s="403"/>
      <c r="L125" s="403"/>
      <c r="M125" s="403"/>
      <c r="N125" s="403"/>
      <c r="O125" s="403"/>
      <c r="P125" s="403"/>
      <c r="Q125" s="403"/>
      <c r="R125" s="441"/>
      <c r="S125" s="433"/>
      <c r="T125" s="412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13"/>
      <c r="V125" s="413"/>
      <c r="W125" s="414"/>
      <c r="X125" s="415"/>
      <c r="Y125" s="416" t="str">
        <f t="shared" ca="1" si="6"/>
        <v/>
      </c>
      <c r="Z125" s="417" t="str">
        <f t="shared" ca="1" si="7"/>
        <v/>
      </c>
      <c r="AA125" s="416" t="str">
        <f t="shared" ca="1" si="8"/>
        <v/>
      </c>
      <c r="AB125" s="418" t="str">
        <f t="shared" ca="1" si="9"/>
        <v/>
      </c>
      <c r="AC125" s="417" t="str">
        <f t="shared" ca="1" si="10"/>
        <v/>
      </c>
      <c r="AD125" s="220"/>
    </row>
    <row r="126" spans="1:30" customFormat="1" ht="14.5">
      <c r="A126" s="220"/>
      <c r="B126" s="267">
        <v>88</v>
      </c>
      <c r="C126" s="68" t="s">
        <v>588</v>
      </c>
      <c r="D126" s="246">
        <f t="shared" ca="1" si="11"/>
        <v>1.0526315789473684</v>
      </c>
      <c r="E126" s="238"/>
      <c r="F126" s="225">
        <v>0.4</v>
      </c>
      <c r="G126" s="425">
        <v>100</v>
      </c>
      <c r="H126" s="377">
        <v>112</v>
      </c>
      <c r="I126" s="394"/>
      <c r="J126" s="394"/>
      <c r="K126" s="403"/>
      <c r="L126" s="403"/>
      <c r="M126" s="403"/>
      <c r="N126" s="403"/>
      <c r="O126" s="403"/>
      <c r="P126" s="403"/>
      <c r="Q126" s="403"/>
      <c r="R126" s="441"/>
      <c r="S126" s="433"/>
      <c r="T126" s="412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13"/>
      <c r="V126" s="413"/>
      <c r="W126" s="414"/>
      <c r="X126" s="415"/>
      <c r="Y126" s="416" t="str">
        <f t="shared" ca="1" si="6"/>
        <v/>
      </c>
      <c r="Z126" s="417" t="str">
        <f t="shared" ca="1" si="7"/>
        <v/>
      </c>
      <c r="AA126" s="416" t="str">
        <f t="shared" ca="1" si="8"/>
        <v/>
      </c>
      <c r="AB126" s="418" t="str">
        <f t="shared" ca="1" si="9"/>
        <v/>
      </c>
      <c r="AC126" s="417" t="str">
        <f t="shared" ca="1" si="10"/>
        <v/>
      </c>
      <c r="AD126" s="220"/>
    </row>
    <row r="127" spans="1:30" customFormat="1" ht="14.5">
      <c r="A127" s="220"/>
      <c r="B127" s="267">
        <v>89</v>
      </c>
      <c r="C127" s="68" t="s">
        <v>596</v>
      </c>
      <c r="D127" s="246">
        <f t="shared" ca="1" si="11"/>
        <v>1.0526315789473684</v>
      </c>
      <c r="E127" s="238"/>
      <c r="F127" s="225">
        <v>0.4</v>
      </c>
      <c r="G127" s="425">
        <v>100</v>
      </c>
      <c r="H127" s="377">
        <v>113</v>
      </c>
      <c r="I127" s="394"/>
      <c r="J127" s="394"/>
      <c r="K127" s="403"/>
      <c r="L127" s="403"/>
      <c r="M127" s="403"/>
      <c r="N127" s="403"/>
      <c r="O127" s="403"/>
      <c r="P127" s="403"/>
      <c r="Q127" s="403"/>
      <c r="R127" s="441"/>
      <c r="S127" s="433"/>
      <c r="T127" s="412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13"/>
      <c r="V127" s="413"/>
      <c r="W127" s="414"/>
      <c r="X127" s="415"/>
      <c r="Y127" s="416" t="str">
        <f t="shared" ca="1" si="6"/>
        <v/>
      </c>
      <c r="Z127" s="417" t="str">
        <f t="shared" ca="1" si="7"/>
        <v/>
      </c>
      <c r="AA127" s="416" t="str">
        <f t="shared" ca="1" si="8"/>
        <v/>
      </c>
      <c r="AB127" s="418" t="str">
        <f t="shared" ca="1" si="9"/>
        <v/>
      </c>
      <c r="AC127" s="417" t="str">
        <f t="shared" ca="1" si="10"/>
        <v/>
      </c>
      <c r="AD127" s="220"/>
    </row>
    <row r="128" spans="1:30" customFormat="1" ht="14.5">
      <c r="A128" s="220"/>
      <c r="B128" s="267">
        <v>90</v>
      </c>
      <c r="C128" s="68" t="s">
        <v>589</v>
      </c>
      <c r="D128" s="246">
        <f t="shared" ca="1" si="11"/>
        <v>1.0526315789473684</v>
      </c>
      <c r="E128" s="238"/>
      <c r="F128" s="225">
        <v>0.4</v>
      </c>
      <c r="G128" s="425">
        <v>100</v>
      </c>
      <c r="H128" s="377">
        <v>114</v>
      </c>
      <c r="I128" s="394"/>
      <c r="J128" s="394"/>
      <c r="K128" s="403"/>
      <c r="L128" s="403"/>
      <c r="M128" s="403"/>
      <c r="N128" s="403"/>
      <c r="O128" s="403"/>
      <c r="P128" s="403"/>
      <c r="Q128" s="403"/>
      <c r="R128" s="441"/>
      <c r="S128" s="433"/>
      <c r="T128" s="412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13"/>
      <c r="V128" s="413"/>
      <c r="W128" s="414"/>
      <c r="X128" s="415"/>
      <c r="Y128" s="416" t="str">
        <f t="shared" ca="1" si="6"/>
        <v/>
      </c>
      <c r="Z128" s="417" t="str">
        <f t="shared" ca="1" si="7"/>
        <v/>
      </c>
      <c r="AA128" s="416" t="str">
        <f t="shared" ca="1" si="8"/>
        <v/>
      </c>
      <c r="AB128" s="418" t="str">
        <f t="shared" ca="1" si="9"/>
        <v/>
      </c>
      <c r="AC128" s="417" t="str">
        <f t="shared" ca="1" si="10"/>
        <v/>
      </c>
      <c r="AD128" s="220"/>
    </row>
    <row r="129" spans="1:30" customFormat="1" ht="14.5">
      <c r="A129" s="220"/>
      <c r="B129" s="267">
        <v>91</v>
      </c>
      <c r="C129" s="68" t="s">
        <v>597</v>
      </c>
      <c r="D129" s="246">
        <f t="shared" ca="1" si="11"/>
        <v>1.0526315789473684</v>
      </c>
      <c r="E129" s="238"/>
      <c r="F129" s="225">
        <v>0.4</v>
      </c>
      <c r="G129" s="425">
        <v>100</v>
      </c>
      <c r="H129" s="377">
        <v>115</v>
      </c>
      <c r="I129" s="394"/>
      <c r="J129" s="394"/>
      <c r="K129" s="403"/>
      <c r="L129" s="403"/>
      <c r="M129" s="403"/>
      <c r="N129" s="403"/>
      <c r="O129" s="403"/>
      <c r="P129" s="403"/>
      <c r="Q129" s="403"/>
      <c r="R129" s="441"/>
      <c r="S129" s="433"/>
      <c r="T129" s="412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13"/>
      <c r="V129" s="413"/>
      <c r="W129" s="414"/>
      <c r="X129" s="415"/>
      <c r="Y129" s="416" t="str">
        <f t="shared" ca="1" si="6"/>
        <v/>
      </c>
      <c r="Z129" s="417" t="str">
        <f t="shared" ca="1" si="7"/>
        <v/>
      </c>
      <c r="AA129" s="416" t="str">
        <f t="shared" ca="1" si="8"/>
        <v/>
      </c>
      <c r="AB129" s="418" t="str">
        <f t="shared" ca="1" si="9"/>
        <v/>
      </c>
      <c r="AC129" s="417" t="str">
        <f t="shared" ca="1" si="10"/>
        <v/>
      </c>
      <c r="AD129" s="220"/>
    </row>
    <row r="130" spans="1:30" customFormat="1" ht="14.5">
      <c r="A130" s="220"/>
      <c r="B130" s="267">
        <v>92</v>
      </c>
      <c r="C130" s="68" t="s">
        <v>590</v>
      </c>
      <c r="D130" s="246">
        <f t="shared" ca="1" si="11"/>
        <v>1.0526315789473684</v>
      </c>
      <c r="E130" s="238"/>
      <c r="F130" s="225">
        <v>0.4</v>
      </c>
      <c r="G130" s="425">
        <v>100</v>
      </c>
      <c r="H130" s="377">
        <v>116</v>
      </c>
      <c r="I130" s="394"/>
      <c r="J130" s="394"/>
      <c r="K130" s="403"/>
      <c r="L130" s="403"/>
      <c r="M130" s="403"/>
      <c r="N130" s="403"/>
      <c r="O130" s="403"/>
      <c r="P130" s="403"/>
      <c r="Q130" s="403"/>
      <c r="R130" s="441"/>
      <c r="S130" s="433"/>
      <c r="T130" s="412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13"/>
      <c r="V130" s="413"/>
      <c r="W130" s="414"/>
      <c r="X130" s="415"/>
      <c r="Y130" s="416" t="str">
        <f t="shared" ca="1" si="6"/>
        <v/>
      </c>
      <c r="Z130" s="417" t="str">
        <f t="shared" ca="1" si="7"/>
        <v/>
      </c>
      <c r="AA130" s="416" t="str">
        <f t="shared" ca="1" si="8"/>
        <v/>
      </c>
      <c r="AB130" s="418" t="str">
        <f t="shared" ca="1" si="9"/>
        <v/>
      </c>
      <c r="AC130" s="417" t="str">
        <f t="shared" ca="1" si="10"/>
        <v/>
      </c>
      <c r="AD130" s="220"/>
    </row>
    <row r="131" spans="1:30" customFormat="1" ht="14.5">
      <c r="A131" s="220"/>
      <c r="B131" s="267">
        <v>93</v>
      </c>
      <c r="C131" s="68" t="s">
        <v>591</v>
      </c>
      <c r="D131" s="246">
        <f t="shared" ca="1" si="11"/>
        <v>1.0526315789473684</v>
      </c>
      <c r="E131" s="238"/>
      <c r="F131" s="225">
        <v>0.4</v>
      </c>
      <c r="G131" s="425">
        <v>100</v>
      </c>
      <c r="H131" s="377">
        <v>117</v>
      </c>
      <c r="I131" s="394"/>
      <c r="J131" s="394"/>
      <c r="K131" s="403"/>
      <c r="L131" s="403"/>
      <c r="M131" s="403"/>
      <c r="N131" s="403"/>
      <c r="O131" s="403"/>
      <c r="P131" s="403"/>
      <c r="Q131" s="403"/>
      <c r="R131" s="441"/>
      <c r="S131" s="433"/>
      <c r="T131" s="412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13"/>
      <c r="V131" s="413"/>
      <c r="W131" s="414"/>
      <c r="X131" s="415"/>
      <c r="Y131" s="416" t="str">
        <f t="shared" ca="1" si="6"/>
        <v/>
      </c>
      <c r="Z131" s="417" t="str">
        <f t="shared" ca="1" si="7"/>
        <v/>
      </c>
      <c r="AA131" s="416" t="str">
        <f t="shared" ca="1" si="8"/>
        <v/>
      </c>
      <c r="AB131" s="418" t="str">
        <f t="shared" ca="1" si="9"/>
        <v/>
      </c>
      <c r="AC131" s="417" t="str">
        <f t="shared" ca="1" si="10"/>
        <v/>
      </c>
      <c r="AD131" s="220"/>
    </row>
    <row r="132" spans="1:30" customFormat="1" ht="14.5">
      <c r="A132" s="220"/>
      <c r="B132" s="267">
        <v>94</v>
      </c>
      <c r="C132" s="68" t="s">
        <v>592</v>
      </c>
      <c r="D132" s="246">
        <f t="shared" ca="1" si="11"/>
        <v>1.0526315789473684</v>
      </c>
      <c r="E132" s="238"/>
      <c r="F132" s="225">
        <v>0.4</v>
      </c>
      <c r="G132" s="425">
        <v>100</v>
      </c>
      <c r="H132" s="377">
        <v>118</v>
      </c>
      <c r="I132" s="394"/>
      <c r="J132" s="394"/>
      <c r="K132" s="403"/>
      <c r="L132" s="403"/>
      <c r="M132" s="403"/>
      <c r="N132" s="403"/>
      <c r="O132" s="403"/>
      <c r="P132" s="403"/>
      <c r="Q132" s="403"/>
      <c r="R132" s="441"/>
      <c r="S132" s="433"/>
      <c r="T132" s="412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13"/>
      <c r="V132" s="413"/>
      <c r="W132" s="414"/>
      <c r="X132" s="415"/>
      <c r="Y132" s="416" t="str">
        <f t="shared" ca="1" si="6"/>
        <v/>
      </c>
      <c r="Z132" s="417" t="str">
        <f t="shared" ca="1" si="7"/>
        <v/>
      </c>
      <c r="AA132" s="416" t="str">
        <f t="shared" ca="1" si="8"/>
        <v/>
      </c>
      <c r="AB132" s="418" t="str">
        <f t="shared" ca="1" si="9"/>
        <v/>
      </c>
      <c r="AC132" s="417" t="str">
        <f t="shared" ca="1" si="10"/>
        <v/>
      </c>
      <c r="AD132" s="220"/>
    </row>
    <row r="133" spans="1:30" customFormat="1" ht="14.5">
      <c r="A133" s="220"/>
      <c r="B133" s="267">
        <v>95</v>
      </c>
      <c r="C133" s="68" t="s">
        <v>593</v>
      </c>
      <c r="D133" s="246">
        <f t="shared" ca="1" si="11"/>
        <v>1.0526315789473684</v>
      </c>
      <c r="E133" s="238"/>
      <c r="F133" s="225">
        <v>0.4</v>
      </c>
      <c r="G133" s="425">
        <v>100</v>
      </c>
      <c r="H133" s="377">
        <v>119</v>
      </c>
      <c r="I133" s="394"/>
      <c r="J133" s="394"/>
      <c r="K133" s="403"/>
      <c r="L133" s="403"/>
      <c r="M133" s="403"/>
      <c r="N133" s="403"/>
      <c r="O133" s="403"/>
      <c r="P133" s="403"/>
      <c r="Q133" s="403"/>
      <c r="R133" s="441"/>
      <c r="S133" s="433"/>
      <c r="T133" s="412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13"/>
      <c r="V133" s="413"/>
      <c r="W133" s="414"/>
      <c r="X133" s="415"/>
      <c r="Y133" s="416" t="str">
        <f t="shared" ca="1" si="6"/>
        <v/>
      </c>
      <c r="Z133" s="417" t="str">
        <f t="shared" ca="1" si="7"/>
        <v/>
      </c>
      <c r="AA133" s="416" t="str">
        <f t="shared" ca="1" si="8"/>
        <v/>
      </c>
      <c r="AB133" s="418" t="str">
        <f t="shared" ca="1" si="9"/>
        <v/>
      </c>
      <c r="AC133" s="417" t="str">
        <f t="shared" ca="1" si="10"/>
        <v/>
      </c>
      <c r="AD133" s="220"/>
    </row>
    <row r="134" spans="1:30" customFormat="1" ht="14.5">
      <c r="A134" s="220"/>
      <c r="B134" s="267">
        <v>96</v>
      </c>
      <c r="C134" s="245"/>
      <c r="D134" s="246"/>
      <c r="E134" s="238"/>
      <c r="F134" s="225"/>
      <c r="G134" s="425"/>
      <c r="H134" s="377">
        <v>120</v>
      </c>
      <c r="I134" s="394"/>
      <c r="J134" s="394"/>
      <c r="K134" s="403"/>
      <c r="L134" s="403"/>
      <c r="M134" s="403"/>
      <c r="N134" s="403"/>
      <c r="O134" s="403"/>
      <c r="P134" s="403"/>
      <c r="Q134" s="403"/>
      <c r="R134" s="441"/>
      <c r="S134" s="433"/>
      <c r="T134" s="412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13"/>
      <c r="V134" s="413"/>
      <c r="W134" s="414"/>
      <c r="X134" s="415"/>
      <c r="Y134" s="416" t="str">
        <f t="shared" ca="1" si="6"/>
        <v/>
      </c>
      <c r="Z134" s="417" t="str">
        <f t="shared" ca="1" si="7"/>
        <v/>
      </c>
      <c r="AA134" s="416" t="str">
        <f t="shared" ca="1" si="8"/>
        <v/>
      </c>
      <c r="AB134" s="418" t="str">
        <f t="shared" ca="1" si="9"/>
        <v/>
      </c>
      <c r="AC134" s="417" t="str">
        <f t="shared" ca="1" si="10"/>
        <v/>
      </c>
      <c r="AD134" s="220"/>
    </row>
    <row r="135" spans="1:30" customFormat="1" ht="14.5">
      <c r="A135" s="220"/>
      <c r="B135" s="267">
        <v>97</v>
      </c>
      <c r="C135" s="245"/>
      <c r="D135" s="246"/>
      <c r="E135" s="238"/>
      <c r="F135" s="225"/>
      <c r="G135" s="425"/>
      <c r="H135" s="377">
        <v>121</v>
      </c>
      <c r="I135" s="394"/>
      <c r="J135" s="394"/>
      <c r="K135" s="403"/>
      <c r="L135" s="403"/>
      <c r="M135" s="403"/>
      <c r="N135" s="403"/>
      <c r="O135" s="403"/>
      <c r="P135" s="403"/>
      <c r="Q135" s="403"/>
      <c r="R135" s="441"/>
      <c r="S135" s="433"/>
      <c r="T135" s="412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13"/>
      <c r="V135" s="413"/>
      <c r="W135" s="414"/>
      <c r="X135" s="415"/>
      <c r="Y135" s="416" t="str">
        <f t="shared" ca="1" si="6"/>
        <v/>
      </c>
      <c r="Z135" s="417" t="str">
        <f t="shared" ca="1" si="7"/>
        <v/>
      </c>
      <c r="AA135" s="416" t="str">
        <f t="shared" ca="1" si="8"/>
        <v/>
      </c>
      <c r="AB135" s="418" t="str">
        <f t="shared" ca="1" si="9"/>
        <v/>
      </c>
      <c r="AC135" s="417" t="str">
        <f t="shared" ca="1" si="10"/>
        <v/>
      </c>
      <c r="AD135" s="220"/>
    </row>
    <row r="136" spans="1:30" customFormat="1" ht="14.5">
      <c r="A136" s="220"/>
      <c r="B136" s="267">
        <v>98</v>
      </c>
      <c r="C136" s="245"/>
      <c r="D136" s="246"/>
      <c r="E136" s="238"/>
      <c r="F136" s="225"/>
      <c r="G136" s="425"/>
      <c r="H136" s="377">
        <v>122</v>
      </c>
      <c r="I136" s="394"/>
      <c r="J136" s="394"/>
      <c r="K136" s="403"/>
      <c r="L136" s="403"/>
      <c r="M136" s="403"/>
      <c r="N136" s="403"/>
      <c r="O136" s="403"/>
      <c r="P136" s="403"/>
      <c r="Q136" s="403"/>
      <c r="R136" s="441"/>
      <c r="S136" s="433"/>
      <c r="T136" s="412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13"/>
      <c r="V136" s="413"/>
      <c r="W136" s="414"/>
      <c r="X136" s="415"/>
      <c r="Y136" s="416" t="str">
        <f t="shared" ca="1" si="6"/>
        <v/>
      </c>
      <c r="Z136" s="417" t="str">
        <f t="shared" ca="1" si="7"/>
        <v/>
      </c>
      <c r="AA136" s="416" t="str">
        <f t="shared" ca="1" si="8"/>
        <v/>
      </c>
      <c r="AB136" s="418" t="str">
        <f t="shared" ca="1" si="9"/>
        <v/>
      </c>
      <c r="AC136" s="417" t="str">
        <f t="shared" ca="1" si="10"/>
        <v/>
      </c>
      <c r="AD136" s="220"/>
    </row>
    <row r="137" spans="1:30" customFormat="1" ht="14.5">
      <c r="A137" s="220"/>
      <c r="B137" s="267">
        <v>99</v>
      </c>
      <c r="C137" s="245"/>
      <c r="D137" s="246"/>
      <c r="E137" s="238"/>
      <c r="F137" s="225"/>
      <c r="G137" s="425"/>
      <c r="H137" s="377">
        <v>123</v>
      </c>
      <c r="I137" s="394"/>
      <c r="J137" s="394"/>
      <c r="K137" s="403"/>
      <c r="L137" s="403"/>
      <c r="M137" s="403"/>
      <c r="N137" s="403"/>
      <c r="O137" s="403"/>
      <c r="P137" s="403"/>
      <c r="Q137" s="403"/>
      <c r="R137" s="441"/>
      <c r="S137" s="433"/>
      <c r="T137" s="412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13"/>
      <c r="V137" s="413"/>
      <c r="W137" s="414"/>
      <c r="X137" s="415"/>
      <c r="Y137" s="416" t="str">
        <f t="shared" ca="1" si="6"/>
        <v/>
      </c>
      <c r="Z137" s="417" t="str">
        <f t="shared" ca="1" si="7"/>
        <v/>
      </c>
      <c r="AA137" s="416" t="str">
        <f t="shared" ca="1" si="8"/>
        <v/>
      </c>
      <c r="AB137" s="418" t="str">
        <f t="shared" ca="1" si="9"/>
        <v/>
      </c>
      <c r="AC137" s="417" t="str">
        <f t="shared" ca="1" si="10"/>
        <v/>
      </c>
      <c r="AD137" s="220"/>
    </row>
    <row r="138" spans="1:30" customFormat="1" ht="14.5">
      <c r="A138" s="220"/>
      <c r="B138" s="267">
        <v>100</v>
      </c>
      <c r="C138" s="245"/>
      <c r="D138" s="246"/>
      <c r="E138" s="238"/>
      <c r="F138" s="225"/>
      <c r="G138" s="425"/>
      <c r="H138" s="377">
        <v>124</v>
      </c>
      <c r="I138" s="394"/>
      <c r="J138" s="394"/>
      <c r="K138" s="403"/>
      <c r="L138" s="403"/>
      <c r="M138" s="403"/>
      <c r="N138" s="403"/>
      <c r="O138" s="403"/>
      <c r="P138" s="403"/>
      <c r="Q138" s="403"/>
      <c r="R138" s="441"/>
      <c r="S138" s="433"/>
      <c r="T138" s="412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13"/>
      <c r="V138" s="413"/>
      <c r="W138" s="414"/>
      <c r="X138" s="415"/>
      <c r="Y138" s="416" t="str">
        <f t="shared" ca="1" si="6"/>
        <v/>
      </c>
      <c r="Z138" s="417" t="str">
        <f t="shared" ca="1" si="7"/>
        <v/>
      </c>
      <c r="AA138" s="416" t="str">
        <f t="shared" ca="1" si="8"/>
        <v/>
      </c>
      <c r="AB138" s="418" t="str">
        <f t="shared" ca="1" si="9"/>
        <v/>
      </c>
      <c r="AC138" s="417" t="str">
        <f t="shared" ca="1" si="10"/>
        <v/>
      </c>
      <c r="AD138" s="220"/>
    </row>
    <row r="139" spans="1:30" customFormat="1" ht="14.5">
      <c r="A139" s="220"/>
      <c r="B139" s="267">
        <v>101</v>
      </c>
      <c r="C139" s="245"/>
      <c r="D139" s="246"/>
      <c r="E139" s="238"/>
      <c r="F139" s="225"/>
      <c r="G139" s="231"/>
      <c r="H139" s="377">
        <v>125</v>
      </c>
      <c r="I139" s="394"/>
      <c r="J139" s="394"/>
      <c r="K139" s="403"/>
      <c r="L139" s="403"/>
      <c r="M139" s="403"/>
      <c r="N139" s="403"/>
      <c r="O139" s="403"/>
      <c r="P139" s="403"/>
      <c r="Q139" s="403"/>
      <c r="R139" s="441"/>
      <c r="S139" s="433"/>
      <c r="T139" s="412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13"/>
      <c r="V139" s="413"/>
      <c r="W139" s="414"/>
      <c r="X139" s="415"/>
      <c r="Y139" s="416" t="str">
        <f t="shared" ca="1" si="6"/>
        <v/>
      </c>
      <c r="Z139" s="417" t="str">
        <f t="shared" ca="1" si="7"/>
        <v/>
      </c>
      <c r="AA139" s="416" t="str">
        <f t="shared" ca="1" si="8"/>
        <v/>
      </c>
      <c r="AB139" s="418" t="str">
        <f t="shared" ca="1" si="9"/>
        <v/>
      </c>
      <c r="AC139" s="417" t="str">
        <f t="shared" ca="1" si="10"/>
        <v/>
      </c>
      <c r="AD139" s="220"/>
    </row>
    <row r="140" spans="1:30" customFormat="1" ht="14.5">
      <c r="A140" s="220"/>
      <c r="B140" s="267">
        <v>102</v>
      </c>
      <c r="C140" s="245"/>
      <c r="D140" s="246"/>
      <c r="E140" s="238"/>
      <c r="F140" s="225"/>
      <c r="G140" s="231"/>
      <c r="H140" s="377">
        <v>126</v>
      </c>
      <c r="I140" s="394"/>
      <c r="J140" s="394"/>
      <c r="K140" s="403"/>
      <c r="L140" s="403"/>
      <c r="M140" s="394"/>
      <c r="N140" s="394"/>
      <c r="O140" s="394"/>
      <c r="P140" s="394"/>
      <c r="Q140" s="394"/>
      <c r="R140" s="442"/>
      <c r="S140" s="433"/>
      <c r="T140" s="412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13"/>
      <c r="V140" s="413"/>
      <c r="W140" s="414"/>
      <c r="X140" s="415"/>
      <c r="Y140" s="416" t="str">
        <f t="shared" ca="1" si="6"/>
        <v/>
      </c>
      <c r="Z140" s="417" t="str">
        <f t="shared" ca="1" si="7"/>
        <v/>
      </c>
      <c r="AA140" s="416" t="str">
        <f t="shared" ca="1" si="8"/>
        <v/>
      </c>
      <c r="AB140" s="418" t="str">
        <f t="shared" ca="1" si="9"/>
        <v/>
      </c>
      <c r="AC140" s="417" t="str">
        <f t="shared" ca="1" si="10"/>
        <v/>
      </c>
      <c r="AD140" s="220"/>
    </row>
    <row r="141" spans="1:30" customFormat="1" ht="14.5">
      <c r="A141" s="220"/>
      <c r="B141" s="267">
        <v>103</v>
      </c>
      <c r="C141" s="245"/>
      <c r="D141" s="246"/>
      <c r="E141" s="238"/>
      <c r="F141" s="225"/>
      <c r="G141" s="231"/>
      <c r="H141" s="377">
        <v>127</v>
      </c>
      <c r="I141" s="394"/>
      <c r="J141" s="394"/>
      <c r="K141" s="403"/>
      <c r="L141" s="403"/>
      <c r="M141" s="394"/>
      <c r="N141" s="394"/>
      <c r="O141" s="394"/>
      <c r="P141" s="394"/>
      <c r="Q141" s="394"/>
      <c r="R141" s="442"/>
      <c r="S141" s="433"/>
      <c r="T141" s="412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13"/>
      <c r="V141" s="413"/>
      <c r="W141" s="414"/>
      <c r="X141" s="415"/>
      <c r="Y141" s="416" t="str">
        <f t="shared" ca="1" si="6"/>
        <v/>
      </c>
      <c r="Z141" s="417" t="str">
        <f t="shared" ca="1" si="7"/>
        <v/>
      </c>
      <c r="AA141" s="416" t="str">
        <f t="shared" ca="1" si="8"/>
        <v/>
      </c>
      <c r="AB141" s="418" t="str">
        <f t="shared" ca="1" si="9"/>
        <v/>
      </c>
      <c r="AC141" s="417" t="str">
        <f t="shared" ca="1" si="10"/>
        <v/>
      </c>
      <c r="AD141" s="220"/>
    </row>
    <row r="142" spans="1:30" customFormat="1" ht="14.5">
      <c r="A142" s="220"/>
      <c r="B142" s="267">
        <v>104</v>
      </c>
      <c r="C142" s="245"/>
      <c r="D142" s="246"/>
      <c r="E142" s="238"/>
      <c r="F142" s="225"/>
      <c r="G142" s="231"/>
      <c r="H142" s="377">
        <v>128</v>
      </c>
      <c r="I142" s="394"/>
      <c r="J142" s="394"/>
      <c r="K142" s="403"/>
      <c r="L142" s="403"/>
      <c r="M142" s="394"/>
      <c r="N142" s="394"/>
      <c r="O142" s="394"/>
      <c r="P142" s="394"/>
      <c r="Q142" s="394"/>
      <c r="R142" s="442"/>
      <c r="S142" s="433"/>
      <c r="T142" s="412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13"/>
      <c r="V142" s="413"/>
      <c r="W142" s="414"/>
      <c r="X142" s="415"/>
      <c r="Y142" s="416" t="str">
        <f t="shared" ca="1" si="6"/>
        <v/>
      </c>
      <c r="Z142" s="417" t="str">
        <f t="shared" ca="1" si="7"/>
        <v/>
      </c>
      <c r="AA142" s="416" t="str">
        <f t="shared" ca="1" si="8"/>
        <v/>
      </c>
      <c r="AB142" s="418" t="str">
        <f t="shared" ca="1" si="9"/>
        <v/>
      </c>
      <c r="AC142" s="417" t="str">
        <f t="shared" ca="1" si="10"/>
        <v/>
      </c>
      <c r="AD142" s="220"/>
    </row>
    <row r="143" spans="1:30" customFormat="1" ht="14.5">
      <c r="A143" s="220"/>
      <c r="B143" s="267">
        <v>105</v>
      </c>
      <c r="C143" s="245"/>
      <c r="D143" s="246"/>
      <c r="E143" s="238"/>
      <c r="F143" s="225"/>
      <c r="G143" s="231"/>
      <c r="H143" s="377">
        <v>129</v>
      </c>
      <c r="I143" s="394"/>
      <c r="J143" s="394"/>
      <c r="K143" s="403"/>
      <c r="L143" s="403"/>
      <c r="M143" s="394"/>
      <c r="N143" s="394"/>
      <c r="O143" s="394"/>
      <c r="P143" s="394"/>
      <c r="Q143" s="394"/>
      <c r="R143" s="442"/>
      <c r="S143" s="433"/>
      <c r="T143" s="412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13"/>
      <c r="V143" s="413"/>
      <c r="W143" s="414"/>
      <c r="X143" s="415"/>
      <c r="Y143" s="416" t="str">
        <f t="shared" ca="1" si="6"/>
        <v/>
      </c>
      <c r="Z143" s="417" t="str">
        <f t="shared" ca="1" si="7"/>
        <v/>
      </c>
      <c r="AA143" s="416" t="str">
        <f t="shared" ca="1" si="8"/>
        <v/>
      </c>
      <c r="AB143" s="418" t="str">
        <f t="shared" ca="1" si="9"/>
        <v/>
      </c>
      <c r="AC143" s="417" t="str">
        <f t="shared" ca="1" si="10"/>
        <v/>
      </c>
      <c r="AD143" s="220"/>
    </row>
    <row r="144" spans="1:30" customFormat="1" ht="14.5">
      <c r="A144" s="220"/>
      <c r="B144" s="267">
        <v>106</v>
      </c>
      <c r="C144" s="245"/>
      <c r="D144" s="246"/>
      <c r="E144" s="238"/>
      <c r="F144" s="225"/>
      <c r="G144" s="231"/>
      <c r="H144" s="377">
        <v>130</v>
      </c>
      <c r="I144" s="394"/>
      <c r="J144" s="394"/>
      <c r="K144" s="403"/>
      <c r="L144" s="403"/>
      <c r="M144" s="394"/>
      <c r="N144" s="394"/>
      <c r="O144" s="394"/>
      <c r="P144" s="394"/>
      <c r="Q144" s="394"/>
      <c r="R144" s="442"/>
      <c r="S144" s="433"/>
      <c r="T144" s="412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13"/>
      <c r="V144" s="413"/>
      <c r="W144" s="414"/>
      <c r="X144" s="415"/>
      <c r="Y144" s="416" t="str">
        <f t="shared" ref="Y144:Y207" ca="1" si="12">IF($U$12,IF(T144="","",$U$13*D168/$C$18),"")</f>
        <v/>
      </c>
      <c r="Z144" s="417" t="str">
        <f t="shared" ref="Z144:Z207" ca="1" si="13">IF($U$12,IF(Y144="","",Y144*($Z$10-W144)*X144),"")</f>
        <v/>
      </c>
      <c r="AA144" s="416" t="str">
        <f t="shared" ref="AA144:AA207" ca="1" si="14">IF($U$12,IF(OR(T144="",L144=""),"",L144/($C$20-$C$19)),"")</f>
        <v/>
      </c>
      <c r="AB144" s="418" t="str">
        <f t="shared" ref="AB144:AB207" ca="1" si="15">IF($U$12,IF(W144="","",W144*$AC$10),"")</f>
        <v/>
      </c>
      <c r="AC144" s="417" t="str">
        <f t="shared" ref="AC144:AC207" ca="1" si="16">IF($U$12,IF(AA144="","",AA144*(AB144-W144)*X144),"")</f>
        <v/>
      </c>
      <c r="AD144" s="220"/>
    </row>
    <row r="145" spans="1:30" customFormat="1" ht="14.5">
      <c r="A145" s="220"/>
      <c r="B145" s="267">
        <v>107</v>
      </c>
      <c r="C145" s="245"/>
      <c r="D145" s="246"/>
      <c r="E145" s="238"/>
      <c r="F145" s="225"/>
      <c r="G145" s="231"/>
      <c r="H145" s="377">
        <v>131</v>
      </c>
      <c r="I145" s="394"/>
      <c r="J145" s="394"/>
      <c r="K145" s="403"/>
      <c r="L145" s="403"/>
      <c r="M145" s="394"/>
      <c r="N145" s="394"/>
      <c r="O145" s="394"/>
      <c r="P145" s="394"/>
      <c r="Q145" s="394"/>
      <c r="R145" s="442"/>
      <c r="S145" s="433"/>
      <c r="T145" s="412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13"/>
      <c r="V145" s="413"/>
      <c r="W145" s="414"/>
      <c r="X145" s="415"/>
      <c r="Y145" s="416" t="str">
        <f t="shared" ca="1" si="12"/>
        <v/>
      </c>
      <c r="Z145" s="417" t="str">
        <f t="shared" ca="1" si="13"/>
        <v/>
      </c>
      <c r="AA145" s="416" t="str">
        <f t="shared" ca="1" si="14"/>
        <v/>
      </c>
      <c r="AB145" s="418" t="str">
        <f t="shared" ca="1" si="15"/>
        <v/>
      </c>
      <c r="AC145" s="417" t="str">
        <f t="shared" ca="1" si="16"/>
        <v/>
      </c>
      <c r="AD145" s="220"/>
    </row>
    <row r="146" spans="1:30" customFormat="1" ht="14.5">
      <c r="A146" s="220"/>
      <c r="B146" s="267">
        <v>108</v>
      </c>
      <c r="C146" s="245"/>
      <c r="D146" s="246"/>
      <c r="E146" s="238"/>
      <c r="F146" s="225"/>
      <c r="G146" s="231"/>
      <c r="H146" s="377">
        <v>132</v>
      </c>
      <c r="I146" s="394"/>
      <c r="J146" s="394"/>
      <c r="K146" s="403"/>
      <c r="L146" s="403"/>
      <c r="M146" s="394"/>
      <c r="N146" s="394"/>
      <c r="O146" s="394"/>
      <c r="P146" s="394"/>
      <c r="Q146" s="394"/>
      <c r="R146" s="442"/>
      <c r="S146" s="433"/>
      <c r="T146" s="412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13"/>
      <c r="V146" s="413"/>
      <c r="W146" s="414"/>
      <c r="X146" s="415"/>
      <c r="Y146" s="416" t="str">
        <f t="shared" ca="1" si="12"/>
        <v/>
      </c>
      <c r="Z146" s="417" t="str">
        <f t="shared" ca="1" si="13"/>
        <v/>
      </c>
      <c r="AA146" s="416" t="str">
        <f t="shared" ca="1" si="14"/>
        <v/>
      </c>
      <c r="AB146" s="418" t="str">
        <f t="shared" ca="1" si="15"/>
        <v/>
      </c>
      <c r="AC146" s="417" t="str">
        <f t="shared" ca="1" si="16"/>
        <v/>
      </c>
      <c r="AD146" s="220"/>
    </row>
    <row r="147" spans="1:30" customFormat="1" ht="14.5">
      <c r="A147" s="220"/>
      <c r="B147" s="267">
        <v>109</v>
      </c>
      <c r="C147" s="245"/>
      <c r="D147" s="246"/>
      <c r="E147" s="238"/>
      <c r="F147" s="225"/>
      <c r="G147" s="231"/>
      <c r="H147" s="377">
        <v>133</v>
      </c>
      <c r="I147" s="394"/>
      <c r="J147" s="394"/>
      <c r="K147" s="403"/>
      <c r="L147" s="403"/>
      <c r="M147" s="394"/>
      <c r="N147" s="394"/>
      <c r="O147" s="394"/>
      <c r="P147" s="394"/>
      <c r="Q147" s="394"/>
      <c r="R147" s="442"/>
      <c r="S147" s="433"/>
      <c r="T147" s="412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13"/>
      <c r="V147" s="413"/>
      <c r="W147" s="414"/>
      <c r="X147" s="415"/>
      <c r="Y147" s="416" t="str">
        <f t="shared" ca="1" si="12"/>
        <v/>
      </c>
      <c r="Z147" s="417" t="str">
        <f t="shared" ca="1" si="13"/>
        <v/>
      </c>
      <c r="AA147" s="416" t="str">
        <f t="shared" ca="1" si="14"/>
        <v/>
      </c>
      <c r="AB147" s="418" t="str">
        <f t="shared" ca="1" si="15"/>
        <v/>
      </c>
      <c r="AC147" s="417" t="str">
        <f t="shared" ca="1" si="16"/>
        <v/>
      </c>
      <c r="AD147" s="220"/>
    </row>
    <row r="148" spans="1:30" customFormat="1" ht="14.5">
      <c r="A148" s="220"/>
      <c r="B148" s="267">
        <v>110</v>
      </c>
      <c r="C148" s="245"/>
      <c r="D148" s="246"/>
      <c r="E148" s="238"/>
      <c r="F148" s="225"/>
      <c r="G148" s="231"/>
      <c r="H148" s="377">
        <v>134</v>
      </c>
      <c r="I148" s="394"/>
      <c r="J148" s="394"/>
      <c r="K148" s="403"/>
      <c r="L148" s="403"/>
      <c r="M148" s="394"/>
      <c r="N148" s="394"/>
      <c r="O148" s="394"/>
      <c r="P148" s="394"/>
      <c r="Q148" s="394"/>
      <c r="R148" s="442"/>
      <c r="S148" s="433"/>
      <c r="T148" s="412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13"/>
      <c r="V148" s="413"/>
      <c r="W148" s="414"/>
      <c r="X148" s="415"/>
      <c r="Y148" s="416" t="str">
        <f t="shared" ca="1" si="12"/>
        <v/>
      </c>
      <c r="Z148" s="417" t="str">
        <f t="shared" ca="1" si="13"/>
        <v/>
      </c>
      <c r="AA148" s="416" t="str">
        <f t="shared" ca="1" si="14"/>
        <v/>
      </c>
      <c r="AB148" s="418" t="str">
        <f t="shared" ca="1" si="15"/>
        <v/>
      </c>
      <c r="AC148" s="417" t="str">
        <f t="shared" ca="1" si="16"/>
        <v/>
      </c>
      <c r="AD148" s="220"/>
    </row>
    <row r="149" spans="1:30" customFormat="1" ht="14.5">
      <c r="A149" s="220"/>
      <c r="B149" s="267">
        <v>111</v>
      </c>
      <c r="C149" s="245"/>
      <c r="D149" s="246"/>
      <c r="E149" s="238"/>
      <c r="F149" s="225"/>
      <c r="G149" s="231"/>
      <c r="H149" s="377">
        <v>135</v>
      </c>
      <c r="I149" s="394"/>
      <c r="J149" s="394"/>
      <c r="K149" s="403"/>
      <c r="L149" s="403"/>
      <c r="M149" s="394"/>
      <c r="N149" s="394"/>
      <c r="O149" s="394"/>
      <c r="P149" s="394"/>
      <c r="Q149" s="394"/>
      <c r="R149" s="442"/>
      <c r="S149" s="433"/>
      <c r="T149" s="412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13"/>
      <c r="V149" s="413"/>
      <c r="W149" s="414"/>
      <c r="X149" s="415"/>
      <c r="Y149" s="416" t="str">
        <f t="shared" ca="1" si="12"/>
        <v/>
      </c>
      <c r="Z149" s="417" t="str">
        <f t="shared" ca="1" si="13"/>
        <v/>
      </c>
      <c r="AA149" s="416" t="str">
        <f t="shared" ca="1" si="14"/>
        <v/>
      </c>
      <c r="AB149" s="418" t="str">
        <f t="shared" ca="1" si="15"/>
        <v/>
      </c>
      <c r="AC149" s="417" t="str">
        <f t="shared" ca="1" si="16"/>
        <v/>
      </c>
      <c r="AD149" s="220"/>
    </row>
    <row r="150" spans="1:30" customFormat="1" ht="14.5">
      <c r="A150" s="220"/>
      <c r="B150" s="267">
        <v>112</v>
      </c>
      <c r="C150" s="245"/>
      <c r="D150" s="246"/>
      <c r="E150" s="238"/>
      <c r="F150" s="225"/>
      <c r="G150" s="231"/>
      <c r="H150" s="377">
        <v>136</v>
      </c>
      <c r="I150" s="394"/>
      <c r="J150" s="394"/>
      <c r="K150" s="403"/>
      <c r="L150" s="403"/>
      <c r="M150" s="394"/>
      <c r="N150" s="394"/>
      <c r="O150" s="394"/>
      <c r="P150" s="394"/>
      <c r="Q150" s="394"/>
      <c r="R150" s="442"/>
      <c r="S150" s="433"/>
      <c r="T150" s="412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13"/>
      <c r="V150" s="413"/>
      <c r="W150" s="414"/>
      <c r="X150" s="415"/>
      <c r="Y150" s="416" t="str">
        <f t="shared" ca="1" si="12"/>
        <v/>
      </c>
      <c r="Z150" s="417" t="str">
        <f t="shared" ca="1" si="13"/>
        <v/>
      </c>
      <c r="AA150" s="416" t="str">
        <f t="shared" ca="1" si="14"/>
        <v/>
      </c>
      <c r="AB150" s="418" t="str">
        <f t="shared" ca="1" si="15"/>
        <v/>
      </c>
      <c r="AC150" s="417" t="str">
        <f t="shared" ca="1" si="16"/>
        <v/>
      </c>
      <c r="AD150" s="220"/>
    </row>
    <row r="151" spans="1:30" customFormat="1" ht="14.5">
      <c r="A151" s="220"/>
      <c r="B151" s="267">
        <v>113</v>
      </c>
      <c r="C151" s="245"/>
      <c r="D151" s="246"/>
      <c r="E151" s="238"/>
      <c r="F151" s="225"/>
      <c r="G151" s="231"/>
      <c r="H151" s="377">
        <v>137</v>
      </c>
      <c r="I151" s="394"/>
      <c r="J151" s="394"/>
      <c r="K151" s="403"/>
      <c r="L151" s="403"/>
      <c r="M151" s="394"/>
      <c r="N151" s="394"/>
      <c r="O151" s="394"/>
      <c r="P151" s="394"/>
      <c r="Q151" s="394"/>
      <c r="R151" s="442"/>
      <c r="S151" s="433"/>
      <c r="T151" s="412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13"/>
      <c r="V151" s="413"/>
      <c r="W151" s="414"/>
      <c r="X151" s="415"/>
      <c r="Y151" s="416" t="str">
        <f t="shared" ca="1" si="12"/>
        <v/>
      </c>
      <c r="Z151" s="417" t="str">
        <f t="shared" ca="1" si="13"/>
        <v/>
      </c>
      <c r="AA151" s="416" t="str">
        <f t="shared" ca="1" si="14"/>
        <v/>
      </c>
      <c r="AB151" s="418" t="str">
        <f t="shared" ca="1" si="15"/>
        <v/>
      </c>
      <c r="AC151" s="417" t="str">
        <f t="shared" ca="1" si="16"/>
        <v/>
      </c>
      <c r="AD151" s="220"/>
    </row>
    <row r="152" spans="1:30" customFormat="1" ht="14.5">
      <c r="A152" s="220"/>
      <c r="B152" s="267">
        <v>114</v>
      </c>
      <c r="C152" s="245"/>
      <c r="D152" s="246"/>
      <c r="E152" s="238"/>
      <c r="F152" s="225"/>
      <c r="G152" s="231"/>
      <c r="H152" s="377">
        <v>138</v>
      </c>
      <c r="I152" s="394"/>
      <c r="J152" s="394"/>
      <c r="K152" s="403"/>
      <c r="L152" s="403"/>
      <c r="M152" s="394"/>
      <c r="N152" s="394"/>
      <c r="O152" s="394"/>
      <c r="P152" s="394"/>
      <c r="Q152" s="394"/>
      <c r="R152" s="442"/>
      <c r="S152" s="433"/>
      <c r="T152" s="412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13"/>
      <c r="V152" s="413"/>
      <c r="W152" s="414"/>
      <c r="X152" s="415"/>
      <c r="Y152" s="416" t="str">
        <f t="shared" ca="1" si="12"/>
        <v/>
      </c>
      <c r="Z152" s="417" t="str">
        <f t="shared" ca="1" si="13"/>
        <v/>
      </c>
      <c r="AA152" s="416" t="str">
        <f t="shared" ca="1" si="14"/>
        <v/>
      </c>
      <c r="AB152" s="418" t="str">
        <f t="shared" ca="1" si="15"/>
        <v/>
      </c>
      <c r="AC152" s="417" t="str">
        <f t="shared" ca="1" si="16"/>
        <v/>
      </c>
      <c r="AD152" s="220"/>
    </row>
    <row r="153" spans="1:30" customFormat="1" ht="14.5">
      <c r="A153" s="220"/>
      <c r="B153" s="267">
        <v>115</v>
      </c>
      <c r="C153" s="245"/>
      <c r="D153" s="246"/>
      <c r="E153" s="238"/>
      <c r="F153" s="225"/>
      <c r="G153" s="231"/>
      <c r="H153" s="377">
        <v>139</v>
      </c>
      <c r="I153" s="394"/>
      <c r="J153" s="394"/>
      <c r="K153" s="403"/>
      <c r="L153" s="403"/>
      <c r="M153" s="394"/>
      <c r="N153" s="394"/>
      <c r="O153" s="394"/>
      <c r="P153" s="394"/>
      <c r="Q153" s="394"/>
      <c r="R153" s="442"/>
      <c r="S153" s="433"/>
      <c r="T153" s="412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13"/>
      <c r="V153" s="413"/>
      <c r="W153" s="414"/>
      <c r="X153" s="415"/>
      <c r="Y153" s="416" t="str">
        <f t="shared" ca="1" si="12"/>
        <v/>
      </c>
      <c r="Z153" s="417" t="str">
        <f t="shared" ca="1" si="13"/>
        <v/>
      </c>
      <c r="AA153" s="416" t="str">
        <f t="shared" ca="1" si="14"/>
        <v/>
      </c>
      <c r="AB153" s="418" t="str">
        <f t="shared" ca="1" si="15"/>
        <v/>
      </c>
      <c r="AC153" s="417" t="str">
        <f t="shared" ca="1" si="16"/>
        <v/>
      </c>
      <c r="AD153" s="220"/>
    </row>
    <row r="154" spans="1:30" customFormat="1" ht="14.5">
      <c r="A154" s="220"/>
      <c r="B154" s="267">
        <v>116</v>
      </c>
      <c r="C154" s="245"/>
      <c r="D154" s="246"/>
      <c r="E154" s="238"/>
      <c r="F154" s="225"/>
      <c r="G154" s="231"/>
      <c r="H154" s="377">
        <v>140</v>
      </c>
      <c r="I154" s="394"/>
      <c r="J154" s="394"/>
      <c r="K154" s="403"/>
      <c r="L154" s="403"/>
      <c r="M154" s="394"/>
      <c r="N154" s="394"/>
      <c r="O154" s="394"/>
      <c r="P154" s="394"/>
      <c r="Q154" s="394"/>
      <c r="R154" s="442"/>
      <c r="S154" s="433"/>
      <c r="T154" s="412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13"/>
      <c r="V154" s="413"/>
      <c r="W154" s="414"/>
      <c r="X154" s="415"/>
      <c r="Y154" s="416" t="str">
        <f t="shared" ca="1" si="12"/>
        <v/>
      </c>
      <c r="Z154" s="417" t="str">
        <f t="shared" ca="1" si="13"/>
        <v/>
      </c>
      <c r="AA154" s="416" t="str">
        <f t="shared" ca="1" si="14"/>
        <v/>
      </c>
      <c r="AB154" s="418" t="str">
        <f t="shared" ca="1" si="15"/>
        <v/>
      </c>
      <c r="AC154" s="417" t="str">
        <f t="shared" ca="1" si="16"/>
        <v/>
      </c>
      <c r="AD154" s="220"/>
    </row>
    <row r="155" spans="1:30" customFormat="1" ht="14.5">
      <c r="A155" s="220"/>
      <c r="B155" s="267">
        <v>117</v>
      </c>
      <c r="C155" s="245"/>
      <c r="D155" s="246"/>
      <c r="E155" s="238"/>
      <c r="F155" s="225"/>
      <c r="G155" s="231"/>
      <c r="H155" s="377">
        <v>141</v>
      </c>
      <c r="I155" s="394"/>
      <c r="J155" s="394"/>
      <c r="K155" s="403"/>
      <c r="L155" s="403"/>
      <c r="M155" s="394"/>
      <c r="N155" s="394"/>
      <c r="O155" s="394"/>
      <c r="P155" s="394"/>
      <c r="Q155" s="394"/>
      <c r="R155" s="442"/>
      <c r="S155" s="433"/>
      <c r="T155" s="412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13"/>
      <c r="V155" s="413"/>
      <c r="W155" s="414"/>
      <c r="X155" s="415"/>
      <c r="Y155" s="416" t="str">
        <f t="shared" ca="1" si="12"/>
        <v/>
      </c>
      <c r="Z155" s="417" t="str">
        <f t="shared" ca="1" si="13"/>
        <v/>
      </c>
      <c r="AA155" s="416" t="str">
        <f t="shared" ca="1" si="14"/>
        <v/>
      </c>
      <c r="AB155" s="418" t="str">
        <f t="shared" ca="1" si="15"/>
        <v/>
      </c>
      <c r="AC155" s="417" t="str">
        <f t="shared" ca="1" si="16"/>
        <v/>
      </c>
      <c r="AD155" s="220"/>
    </row>
    <row r="156" spans="1:30" customFormat="1" ht="14.5">
      <c r="A156" s="220"/>
      <c r="B156" s="267">
        <v>118</v>
      </c>
      <c r="C156" s="245"/>
      <c r="D156" s="246"/>
      <c r="E156" s="238"/>
      <c r="F156" s="225"/>
      <c r="G156" s="231"/>
      <c r="H156" s="377">
        <v>142</v>
      </c>
      <c r="I156" s="394"/>
      <c r="J156" s="394"/>
      <c r="K156" s="403"/>
      <c r="L156" s="403"/>
      <c r="M156" s="394"/>
      <c r="N156" s="394"/>
      <c r="O156" s="394"/>
      <c r="P156" s="394"/>
      <c r="Q156" s="394"/>
      <c r="R156" s="442"/>
      <c r="S156" s="433"/>
      <c r="T156" s="412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13"/>
      <c r="V156" s="413"/>
      <c r="W156" s="414"/>
      <c r="X156" s="415"/>
      <c r="Y156" s="416" t="str">
        <f t="shared" ca="1" si="12"/>
        <v/>
      </c>
      <c r="Z156" s="417" t="str">
        <f t="shared" ca="1" si="13"/>
        <v/>
      </c>
      <c r="AA156" s="416" t="str">
        <f t="shared" ca="1" si="14"/>
        <v/>
      </c>
      <c r="AB156" s="418" t="str">
        <f t="shared" ca="1" si="15"/>
        <v/>
      </c>
      <c r="AC156" s="417" t="str">
        <f t="shared" ca="1" si="16"/>
        <v/>
      </c>
      <c r="AD156" s="220"/>
    </row>
    <row r="157" spans="1:30" customFormat="1" ht="14.5">
      <c r="A157" s="220"/>
      <c r="B157" s="267">
        <v>119</v>
      </c>
      <c r="C157" s="245"/>
      <c r="D157" s="246"/>
      <c r="E157" s="238"/>
      <c r="F157" s="225"/>
      <c r="G157" s="231"/>
      <c r="H157" s="377">
        <v>143</v>
      </c>
      <c r="I157" s="394"/>
      <c r="J157" s="394"/>
      <c r="K157" s="403"/>
      <c r="L157" s="403"/>
      <c r="M157" s="394"/>
      <c r="N157" s="394"/>
      <c r="O157" s="394"/>
      <c r="P157" s="394"/>
      <c r="Q157" s="394"/>
      <c r="R157" s="442"/>
      <c r="S157" s="433"/>
      <c r="T157" s="412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13"/>
      <c r="V157" s="413"/>
      <c r="W157" s="414"/>
      <c r="X157" s="415"/>
      <c r="Y157" s="416" t="str">
        <f t="shared" ca="1" si="12"/>
        <v/>
      </c>
      <c r="Z157" s="417" t="str">
        <f t="shared" ca="1" si="13"/>
        <v/>
      </c>
      <c r="AA157" s="416" t="str">
        <f t="shared" ca="1" si="14"/>
        <v/>
      </c>
      <c r="AB157" s="418" t="str">
        <f t="shared" ca="1" si="15"/>
        <v/>
      </c>
      <c r="AC157" s="417" t="str">
        <f t="shared" ca="1" si="16"/>
        <v/>
      </c>
      <c r="AD157" s="220"/>
    </row>
    <row r="158" spans="1:30" customFormat="1" ht="14.5">
      <c r="A158" s="220"/>
      <c r="B158" s="267">
        <v>120</v>
      </c>
      <c r="C158" s="245"/>
      <c r="D158" s="246"/>
      <c r="E158" s="238"/>
      <c r="F158" s="225"/>
      <c r="G158" s="231"/>
      <c r="H158" s="377">
        <v>144</v>
      </c>
      <c r="I158" s="394"/>
      <c r="J158" s="394"/>
      <c r="K158" s="403"/>
      <c r="L158" s="403"/>
      <c r="M158" s="394"/>
      <c r="N158" s="394"/>
      <c r="O158" s="394"/>
      <c r="P158" s="394"/>
      <c r="Q158" s="394"/>
      <c r="R158" s="442"/>
      <c r="S158" s="433"/>
      <c r="T158" s="412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13"/>
      <c r="V158" s="413"/>
      <c r="W158" s="414"/>
      <c r="X158" s="415"/>
      <c r="Y158" s="416" t="str">
        <f t="shared" ca="1" si="12"/>
        <v/>
      </c>
      <c r="Z158" s="417" t="str">
        <f t="shared" ca="1" si="13"/>
        <v/>
      </c>
      <c r="AA158" s="416" t="str">
        <f t="shared" ca="1" si="14"/>
        <v/>
      </c>
      <c r="AB158" s="418" t="str">
        <f t="shared" ca="1" si="15"/>
        <v/>
      </c>
      <c r="AC158" s="417" t="str">
        <f t="shared" ca="1" si="16"/>
        <v/>
      </c>
      <c r="AD158" s="220"/>
    </row>
    <row r="159" spans="1:30" customFormat="1" ht="14.5">
      <c r="A159" s="220"/>
      <c r="B159" s="267">
        <v>121</v>
      </c>
      <c r="C159" s="245"/>
      <c r="D159" s="246"/>
      <c r="E159" s="238"/>
      <c r="F159" s="225"/>
      <c r="G159" s="231"/>
      <c r="H159" s="377">
        <v>145</v>
      </c>
      <c r="I159" s="394"/>
      <c r="J159" s="394"/>
      <c r="K159" s="403"/>
      <c r="L159" s="403"/>
      <c r="M159" s="394"/>
      <c r="N159" s="394"/>
      <c r="O159" s="394"/>
      <c r="P159" s="394"/>
      <c r="Q159" s="394"/>
      <c r="R159" s="442"/>
      <c r="S159" s="433"/>
      <c r="T159" s="412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13"/>
      <c r="V159" s="413"/>
      <c r="W159" s="414"/>
      <c r="X159" s="415"/>
      <c r="Y159" s="416" t="str">
        <f t="shared" ca="1" si="12"/>
        <v/>
      </c>
      <c r="Z159" s="417" t="str">
        <f t="shared" ca="1" si="13"/>
        <v/>
      </c>
      <c r="AA159" s="416" t="str">
        <f t="shared" ca="1" si="14"/>
        <v/>
      </c>
      <c r="AB159" s="418" t="str">
        <f t="shared" ca="1" si="15"/>
        <v/>
      </c>
      <c r="AC159" s="417" t="str">
        <f t="shared" ca="1" si="16"/>
        <v/>
      </c>
      <c r="AD159" s="220"/>
    </row>
    <row r="160" spans="1:30" customFormat="1" ht="14.5">
      <c r="A160" s="220"/>
      <c r="B160" s="267">
        <v>122</v>
      </c>
      <c r="C160" s="245"/>
      <c r="D160" s="246"/>
      <c r="E160" s="238"/>
      <c r="F160" s="225"/>
      <c r="G160" s="231"/>
      <c r="H160" s="377">
        <v>146</v>
      </c>
      <c r="I160" s="394"/>
      <c r="J160" s="394"/>
      <c r="K160" s="403"/>
      <c r="L160" s="403"/>
      <c r="M160" s="394"/>
      <c r="N160" s="394"/>
      <c r="O160" s="394"/>
      <c r="P160" s="394"/>
      <c r="Q160" s="394"/>
      <c r="R160" s="442"/>
      <c r="S160" s="433"/>
      <c r="T160" s="412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13"/>
      <c r="V160" s="413"/>
      <c r="W160" s="414"/>
      <c r="X160" s="415"/>
      <c r="Y160" s="416" t="str">
        <f t="shared" ca="1" si="12"/>
        <v/>
      </c>
      <c r="Z160" s="417" t="str">
        <f t="shared" ca="1" si="13"/>
        <v/>
      </c>
      <c r="AA160" s="416" t="str">
        <f t="shared" ca="1" si="14"/>
        <v/>
      </c>
      <c r="AB160" s="418" t="str">
        <f t="shared" ca="1" si="15"/>
        <v/>
      </c>
      <c r="AC160" s="417" t="str">
        <f t="shared" ca="1" si="16"/>
        <v/>
      </c>
      <c r="AD160" s="220"/>
    </row>
    <row r="161" spans="1:30" customFormat="1" ht="14.5">
      <c r="A161" s="220"/>
      <c r="B161" s="267">
        <v>123</v>
      </c>
      <c r="C161" s="245"/>
      <c r="D161" s="246"/>
      <c r="E161" s="238"/>
      <c r="F161" s="225"/>
      <c r="G161" s="231"/>
      <c r="H161" s="377">
        <v>147</v>
      </c>
      <c r="I161" s="394"/>
      <c r="J161" s="394"/>
      <c r="K161" s="403"/>
      <c r="L161" s="403"/>
      <c r="M161" s="394"/>
      <c r="N161" s="394"/>
      <c r="O161" s="394"/>
      <c r="P161" s="394"/>
      <c r="Q161" s="394"/>
      <c r="R161" s="442"/>
      <c r="S161" s="433"/>
      <c r="T161" s="412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13"/>
      <c r="V161" s="413"/>
      <c r="W161" s="414"/>
      <c r="X161" s="415"/>
      <c r="Y161" s="416" t="str">
        <f t="shared" ca="1" si="12"/>
        <v/>
      </c>
      <c r="Z161" s="417" t="str">
        <f t="shared" ca="1" si="13"/>
        <v/>
      </c>
      <c r="AA161" s="416" t="str">
        <f t="shared" ca="1" si="14"/>
        <v/>
      </c>
      <c r="AB161" s="418" t="str">
        <f t="shared" ca="1" si="15"/>
        <v/>
      </c>
      <c r="AC161" s="417" t="str">
        <f t="shared" ca="1" si="16"/>
        <v/>
      </c>
      <c r="AD161" s="220"/>
    </row>
    <row r="162" spans="1:30" customFormat="1" ht="14.5">
      <c r="A162" s="220"/>
      <c r="B162" s="267">
        <v>124</v>
      </c>
      <c r="C162" s="245"/>
      <c r="D162" s="246"/>
      <c r="E162" s="238"/>
      <c r="F162" s="225"/>
      <c r="G162" s="231"/>
      <c r="H162" s="377">
        <v>148</v>
      </c>
      <c r="I162" s="394"/>
      <c r="J162" s="394"/>
      <c r="K162" s="403"/>
      <c r="L162" s="403"/>
      <c r="M162" s="394"/>
      <c r="N162" s="394"/>
      <c r="O162" s="394"/>
      <c r="P162" s="394"/>
      <c r="Q162" s="394"/>
      <c r="R162" s="442"/>
      <c r="S162" s="433"/>
      <c r="T162" s="412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13"/>
      <c r="V162" s="413"/>
      <c r="W162" s="414"/>
      <c r="X162" s="415"/>
      <c r="Y162" s="416" t="str">
        <f t="shared" ca="1" si="12"/>
        <v/>
      </c>
      <c r="Z162" s="417" t="str">
        <f t="shared" ca="1" si="13"/>
        <v/>
      </c>
      <c r="AA162" s="416" t="str">
        <f t="shared" ca="1" si="14"/>
        <v/>
      </c>
      <c r="AB162" s="418" t="str">
        <f t="shared" ca="1" si="15"/>
        <v/>
      </c>
      <c r="AC162" s="417" t="str">
        <f t="shared" ca="1" si="16"/>
        <v/>
      </c>
      <c r="AD162" s="220"/>
    </row>
    <row r="163" spans="1:30" customFormat="1" ht="14.5">
      <c r="A163" s="220"/>
      <c r="B163" s="267">
        <v>125</v>
      </c>
      <c r="C163" s="245"/>
      <c r="D163" s="246"/>
      <c r="E163" s="238"/>
      <c r="F163" s="225"/>
      <c r="G163" s="231"/>
      <c r="H163" s="377">
        <v>149</v>
      </c>
      <c r="I163" s="394"/>
      <c r="J163" s="394"/>
      <c r="K163" s="403"/>
      <c r="L163" s="403"/>
      <c r="M163" s="403"/>
      <c r="N163" s="403"/>
      <c r="O163" s="403"/>
      <c r="P163" s="403"/>
      <c r="Q163" s="403"/>
      <c r="R163" s="441"/>
      <c r="S163" s="433"/>
      <c r="T163" s="412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13"/>
      <c r="V163" s="413"/>
      <c r="W163" s="414"/>
      <c r="X163" s="415"/>
      <c r="Y163" s="416" t="str">
        <f t="shared" ca="1" si="12"/>
        <v/>
      </c>
      <c r="Z163" s="417" t="str">
        <f t="shared" ca="1" si="13"/>
        <v/>
      </c>
      <c r="AA163" s="416" t="str">
        <f t="shared" ca="1" si="14"/>
        <v/>
      </c>
      <c r="AB163" s="418" t="str">
        <f t="shared" ca="1" si="15"/>
        <v/>
      </c>
      <c r="AC163" s="417" t="str">
        <f t="shared" ca="1" si="16"/>
        <v/>
      </c>
      <c r="AD163" s="220"/>
    </row>
    <row r="164" spans="1:30" customFormat="1" ht="14.5">
      <c r="A164" s="220"/>
      <c r="B164" s="267">
        <v>126</v>
      </c>
      <c r="C164" s="245"/>
      <c r="D164" s="246"/>
      <c r="E164" s="238"/>
      <c r="F164" s="225"/>
      <c r="G164" s="231"/>
      <c r="H164" s="377">
        <v>150</v>
      </c>
      <c r="I164" s="394"/>
      <c r="J164" s="394"/>
      <c r="K164" s="403"/>
      <c r="L164" s="403"/>
      <c r="M164" s="403"/>
      <c r="N164" s="403"/>
      <c r="O164" s="403"/>
      <c r="P164" s="403"/>
      <c r="Q164" s="403"/>
      <c r="R164" s="441"/>
      <c r="S164" s="433"/>
      <c r="T164" s="412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13"/>
      <c r="V164" s="413"/>
      <c r="W164" s="414"/>
      <c r="X164" s="415"/>
      <c r="Y164" s="416" t="str">
        <f t="shared" ca="1" si="12"/>
        <v/>
      </c>
      <c r="Z164" s="417" t="str">
        <f t="shared" ca="1" si="13"/>
        <v/>
      </c>
      <c r="AA164" s="416" t="str">
        <f t="shared" ca="1" si="14"/>
        <v/>
      </c>
      <c r="AB164" s="418" t="str">
        <f t="shared" ca="1" si="15"/>
        <v/>
      </c>
      <c r="AC164" s="417" t="str">
        <f t="shared" ca="1" si="16"/>
        <v/>
      </c>
      <c r="AD164" s="220"/>
    </row>
    <row r="165" spans="1:30" customFormat="1" ht="14.5">
      <c r="A165" s="220"/>
      <c r="B165" s="267">
        <v>127</v>
      </c>
      <c r="C165" s="245"/>
      <c r="D165" s="246"/>
      <c r="E165" s="238"/>
      <c r="F165" s="225"/>
      <c r="G165" s="231"/>
      <c r="H165" s="377">
        <v>151</v>
      </c>
      <c r="I165" s="394"/>
      <c r="J165" s="394"/>
      <c r="K165" s="403"/>
      <c r="L165" s="403"/>
      <c r="M165" s="403"/>
      <c r="N165" s="403"/>
      <c r="O165" s="403"/>
      <c r="P165" s="403"/>
      <c r="Q165" s="403"/>
      <c r="R165" s="441"/>
      <c r="S165" s="433"/>
      <c r="T165" s="412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13"/>
      <c r="V165" s="413"/>
      <c r="W165" s="414"/>
      <c r="X165" s="415"/>
      <c r="Y165" s="416" t="str">
        <f t="shared" ca="1" si="12"/>
        <v/>
      </c>
      <c r="Z165" s="417" t="str">
        <f t="shared" ca="1" si="13"/>
        <v/>
      </c>
      <c r="AA165" s="416" t="str">
        <f t="shared" ca="1" si="14"/>
        <v/>
      </c>
      <c r="AB165" s="418" t="str">
        <f t="shared" ca="1" si="15"/>
        <v/>
      </c>
      <c r="AC165" s="417" t="str">
        <f t="shared" ca="1" si="16"/>
        <v/>
      </c>
      <c r="AD165" s="220"/>
    </row>
    <row r="166" spans="1:30" customFormat="1" ht="14.5">
      <c r="A166" s="220"/>
      <c r="B166" s="267">
        <v>128</v>
      </c>
      <c r="C166" s="245"/>
      <c r="D166" s="246"/>
      <c r="E166" s="238"/>
      <c r="F166" s="225"/>
      <c r="G166" s="231"/>
      <c r="H166" s="377">
        <v>152</v>
      </c>
      <c r="I166" s="394"/>
      <c r="J166" s="394"/>
      <c r="K166" s="403"/>
      <c r="L166" s="403"/>
      <c r="M166" s="403"/>
      <c r="N166" s="403"/>
      <c r="O166" s="403"/>
      <c r="P166" s="403"/>
      <c r="Q166" s="403"/>
      <c r="R166" s="441"/>
      <c r="S166" s="433"/>
      <c r="T166" s="412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13"/>
      <c r="V166" s="413"/>
      <c r="W166" s="414"/>
      <c r="X166" s="415"/>
      <c r="Y166" s="416" t="str">
        <f t="shared" ca="1" si="12"/>
        <v/>
      </c>
      <c r="Z166" s="417" t="str">
        <f t="shared" ca="1" si="13"/>
        <v/>
      </c>
      <c r="AA166" s="416" t="str">
        <f t="shared" ca="1" si="14"/>
        <v/>
      </c>
      <c r="AB166" s="418" t="str">
        <f t="shared" ca="1" si="15"/>
        <v/>
      </c>
      <c r="AC166" s="417" t="str">
        <f t="shared" ca="1" si="16"/>
        <v/>
      </c>
      <c r="AD166" s="220"/>
    </row>
    <row r="167" spans="1:30" customFormat="1" ht="14.5">
      <c r="A167" s="220"/>
      <c r="B167" s="267">
        <v>129</v>
      </c>
      <c r="C167" s="245"/>
      <c r="D167" s="246"/>
      <c r="E167" s="238"/>
      <c r="F167" s="225"/>
      <c r="G167" s="231"/>
      <c r="H167" s="377">
        <v>153</v>
      </c>
      <c r="I167" s="394"/>
      <c r="J167" s="394"/>
      <c r="K167" s="403"/>
      <c r="L167" s="403"/>
      <c r="M167" s="403"/>
      <c r="N167" s="403"/>
      <c r="O167" s="403"/>
      <c r="P167" s="403"/>
      <c r="Q167" s="403"/>
      <c r="R167" s="441"/>
      <c r="S167" s="433"/>
      <c r="T167" s="412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13"/>
      <c r="V167" s="413"/>
      <c r="W167" s="414"/>
      <c r="X167" s="415"/>
      <c r="Y167" s="416" t="str">
        <f t="shared" ca="1" si="12"/>
        <v/>
      </c>
      <c r="Z167" s="417" t="str">
        <f t="shared" ca="1" si="13"/>
        <v/>
      </c>
      <c r="AA167" s="416" t="str">
        <f t="shared" ca="1" si="14"/>
        <v/>
      </c>
      <c r="AB167" s="418" t="str">
        <f t="shared" ca="1" si="15"/>
        <v/>
      </c>
      <c r="AC167" s="417" t="str">
        <f t="shared" ca="1" si="16"/>
        <v/>
      </c>
      <c r="AD167" s="220"/>
    </row>
    <row r="168" spans="1:30" customFormat="1" ht="14.5">
      <c r="A168" s="220"/>
      <c r="B168" s="267">
        <v>130</v>
      </c>
      <c r="C168" s="245"/>
      <c r="D168" s="246"/>
      <c r="E168" s="238"/>
      <c r="F168" s="225"/>
      <c r="G168" s="231"/>
      <c r="H168" s="377">
        <v>154</v>
      </c>
      <c r="I168" s="394"/>
      <c r="J168" s="394"/>
      <c r="K168" s="403"/>
      <c r="L168" s="403"/>
      <c r="M168" s="403"/>
      <c r="N168" s="403"/>
      <c r="O168" s="403"/>
      <c r="P168" s="403"/>
      <c r="Q168" s="403"/>
      <c r="R168" s="441"/>
      <c r="S168" s="433"/>
      <c r="T168" s="412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13"/>
      <c r="V168" s="413"/>
      <c r="W168" s="414"/>
      <c r="X168" s="415"/>
      <c r="Y168" s="416" t="str">
        <f t="shared" ca="1" si="12"/>
        <v/>
      </c>
      <c r="Z168" s="417" t="str">
        <f t="shared" ca="1" si="13"/>
        <v/>
      </c>
      <c r="AA168" s="416" t="str">
        <f t="shared" ca="1" si="14"/>
        <v/>
      </c>
      <c r="AB168" s="418" t="str">
        <f t="shared" ca="1" si="15"/>
        <v/>
      </c>
      <c r="AC168" s="417" t="str">
        <f t="shared" ca="1" si="16"/>
        <v/>
      </c>
      <c r="AD168" s="220"/>
    </row>
    <row r="169" spans="1:30" customFormat="1" ht="14.5">
      <c r="A169" s="220"/>
      <c r="B169" s="267">
        <v>131</v>
      </c>
      <c r="C169" s="245"/>
      <c r="D169" s="246"/>
      <c r="E169" s="238"/>
      <c r="F169" s="225"/>
      <c r="G169" s="231"/>
      <c r="H169" s="377">
        <v>155</v>
      </c>
      <c r="I169" s="394"/>
      <c r="J169" s="394"/>
      <c r="K169" s="403"/>
      <c r="L169" s="403"/>
      <c r="M169" s="403"/>
      <c r="N169" s="403"/>
      <c r="O169" s="403"/>
      <c r="P169" s="403"/>
      <c r="Q169" s="403"/>
      <c r="R169" s="441"/>
      <c r="S169" s="433"/>
      <c r="T169" s="412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13"/>
      <c r="V169" s="413"/>
      <c r="W169" s="414"/>
      <c r="X169" s="415"/>
      <c r="Y169" s="416" t="str">
        <f t="shared" ca="1" si="12"/>
        <v/>
      </c>
      <c r="Z169" s="417" t="str">
        <f t="shared" ca="1" si="13"/>
        <v/>
      </c>
      <c r="AA169" s="416" t="str">
        <f t="shared" ca="1" si="14"/>
        <v/>
      </c>
      <c r="AB169" s="418" t="str">
        <f t="shared" ca="1" si="15"/>
        <v/>
      </c>
      <c r="AC169" s="417" t="str">
        <f t="shared" ca="1" si="16"/>
        <v/>
      </c>
      <c r="AD169" s="220"/>
    </row>
    <row r="170" spans="1:30" customFormat="1" ht="14.5">
      <c r="A170" s="220"/>
      <c r="B170" s="267">
        <v>132</v>
      </c>
      <c r="C170" s="245"/>
      <c r="D170" s="246"/>
      <c r="E170" s="238"/>
      <c r="F170" s="225"/>
      <c r="G170" s="231"/>
      <c r="H170" s="377">
        <v>156</v>
      </c>
      <c r="I170" s="394"/>
      <c r="J170" s="394"/>
      <c r="K170" s="403"/>
      <c r="L170" s="403"/>
      <c r="M170" s="403"/>
      <c r="N170" s="403"/>
      <c r="O170" s="403"/>
      <c r="P170" s="403"/>
      <c r="Q170" s="403"/>
      <c r="R170" s="441"/>
      <c r="S170" s="433"/>
      <c r="T170" s="412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13"/>
      <c r="V170" s="413"/>
      <c r="W170" s="414"/>
      <c r="X170" s="415"/>
      <c r="Y170" s="416" t="str">
        <f t="shared" ca="1" si="12"/>
        <v/>
      </c>
      <c r="Z170" s="417" t="str">
        <f t="shared" ca="1" si="13"/>
        <v/>
      </c>
      <c r="AA170" s="416" t="str">
        <f t="shared" ca="1" si="14"/>
        <v/>
      </c>
      <c r="AB170" s="418" t="str">
        <f t="shared" ca="1" si="15"/>
        <v/>
      </c>
      <c r="AC170" s="417" t="str">
        <f t="shared" ca="1" si="16"/>
        <v/>
      </c>
      <c r="AD170" s="220"/>
    </row>
    <row r="171" spans="1:30" customFormat="1" ht="14.5">
      <c r="A171" s="220"/>
      <c r="B171" s="267">
        <v>133</v>
      </c>
      <c r="C171" s="245"/>
      <c r="D171" s="246"/>
      <c r="E171" s="238"/>
      <c r="F171" s="225"/>
      <c r="G171" s="231"/>
      <c r="H171" s="377">
        <v>157</v>
      </c>
      <c r="I171" s="394"/>
      <c r="J171" s="394"/>
      <c r="K171" s="403"/>
      <c r="L171" s="403"/>
      <c r="M171" s="403"/>
      <c r="N171" s="403"/>
      <c r="O171" s="403"/>
      <c r="P171" s="403"/>
      <c r="Q171" s="403"/>
      <c r="R171" s="441"/>
      <c r="S171" s="433"/>
      <c r="T171" s="412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13"/>
      <c r="V171" s="413"/>
      <c r="W171" s="414"/>
      <c r="X171" s="415"/>
      <c r="Y171" s="416" t="str">
        <f t="shared" ca="1" si="12"/>
        <v/>
      </c>
      <c r="Z171" s="417" t="str">
        <f t="shared" ca="1" si="13"/>
        <v/>
      </c>
      <c r="AA171" s="416" t="str">
        <f t="shared" ca="1" si="14"/>
        <v/>
      </c>
      <c r="AB171" s="418" t="str">
        <f t="shared" ca="1" si="15"/>
        <v/>
      </c>
      <c r="AC171" s="417" t="str">
        <f t="shared" ca="1" si="16"/>
        <v/>
      </c>
      <c r="AD171" s="220"/>
    </row>
    <row r="172" spans="1:30" customFormat="1" ht="14.5">
      <c r="A172" s="220"/>
      <c r="B172" s="267">
        <v>134</v>
      </c>
      <c r="C172" s="245"/>
      <c r="D172" s="246"/>
      <c r="E172" s="238"/>
      <c r="F172" s="225"/>
      <c r="G172" s="231"/>
      <c r="H172" s="377">
        <v>158</v>
      </c>
      <c r="I172" s="394"/>
      <c r="J172" s="394"/>
      <c r="K172" s="403"/>
      <c r="L172" s="403"/>
      <c r="M172" s="403"/>
      <c r="N172" s="403"/>
      <c r="O172" s="403"/>
      <c r="P172" s="403"/>
      <c r="Q172" s="403"/>
      <c r="R172" s="441"/>
      <c r="S172" s="433"/>
      <c r="T172" s="412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13"/>
      <c r="V172" s="413"/>
      <c r="W172" s="414"/>
      <c r="X172" s="415"/>
      <c r="Y172" s="416" t="str">
        <f t="shared" ca="1" si="12"/>
        <v/>
      </c>
      <c r="Z172" s="417" t="str">
        <f t="shared" ca="1" si="13"/>
        <v/>
      </c>
      <c r="AA172" s="416" t="str">
        <f t="shared" ca="1" si="14"/>
        <v/>
      </c>
      <c r="AB172" s="418" t="str">
        <f t="shared" ca="1" si="15"/>
        <v/>
      </c>
      <c r="AC172" s="417" t="str">
        <f t="shared" ca="1" si="16"/>
        <v/>
      </c>
      <c r="AD172" s="220"/>
    </row>
    <row r="173" spans="1:30" customFormat="1" ht="14.5">
      <c r="A173" s="220"/>
      <c r="B173" s="267">
        <v>135</v>
      </c>
      <c r="C173" s="245"/>
      <c r="D173" s="246"/>
      <c r="E173" s="238"/>
      <c r="F173" s="225"/>
      <c r="G173" s="231"/>
      <c r="H173" s="377">
        <v>159</v>
      </c>
      <c r="I173" s="394"/>
      <c r="J173" s="394"/>
      <c r="K173" s="403"/>
      <c r="L173" s="403"/>
      <c r="M173" s="403"/>
      <c r="N173" s="403"/>
      <c r="O173" s="403"/>
      <c r="P173" s="403"/>
      <c r="Q173" s="403"/>
      <c r="R173" s="441"/>
      <c r="S173" s="433"/>
      <c r="T173" s="412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13"/>
      <c r="V173" s="413"/>
      <c r="W173" s="414"/>
      <c r="X173" s="415"/>
      <c r="Y173" s="416" t="str">
        <f t="shared" ca="1" si="12"/>
        <v/>
      </c>
      <c r="Z173" s="417" t="str">
        <f t="shared" ca="1" si="13"/>
        <v/>
      </c>
      <c r="AA173" s="416" t="str">
        <f t="shared" ca="1" si="14"/>
        <v/>
      </c>
      <c r="AB173" s="418" t="str">
        <f t="shared" ca="1" si="15"/>
        <v/>
      </c>
      <c r="AC173" s="417" t="str">
        <f t="shared" ca="1" si="16"/>
        <v/>
      </c>
      <c r="AD173" s="220"/>
    </row>
    <row r="174" spans="1:30" customFormat="1" ht="14.5">
      <c r="A174" s="220"/>
      <c r="B174" s="267">
        <v>136</v>
      </c>
      <c r="C174" s="245"/>
      <c r="D174" s="246"/>
      <c r="E174" s="238"/>
      <c r="F174" s="225"/>
      <c r="G174" s="231"/>
      <c r="H174" s="377">
        <v>160</v>
      </c>
      <c r="I174" s="394"/>
      <c r="J174" s="394"/>
      <c r="K174" s="403"/>
      <c r="L174" s="403"/>
      <c r="M174" s="403"/>
      <c r="N174" s="403"/>
      <c r="O174" s="403"/>
      <c r="P174" s="403"/>
      <c r="Q174" s="403"/>
      <c r="R174" s="441"/>
      <c r="S174" s="433"/>
      <c r="T174" s="412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13"/>
      <c r="V174" s="413"/>
      <c r="W174" s="414"/>
      <c r="X174" s="415"/>
      <c r="Y174" s="416" t="str">
        <f t="shared" ca="1" si="12"/>
        <v/>
      </c>
      <c r="Z174" s="417" t="str">
        <f t="shared" ca="1" si="13"/>
        <v/>
      </c>
      <c r="AA174" s="416" t="str">
        <f t="shared" ca="1" si="14"/>
        <v/>
      </c>
      <c r="AB174" s="418" t="str">
        <f t="shared" ca="1" si="15"/>
        <v/>
      </c>
      <c r="AC174" s="417" t="str">
        <f t="shared" ca="1" si="16"/>
        <v/>
      </c>
      <c r="AD174" s="220"/>
    </row>
    <row r="175" spans="1:30" customFormat="1" ht="14.5">
      <c r="A175" s="220"/>
      <c r="B175" s="267">
        <v>137</v>
      </c>
      <c r="C175" s="245"/>
      <c r="D175" s="246"/>
      <c r="E175" s="238"/>
      <c r="F175" s="225"/>
      <c r="G175" s="231"/>
      <c r="H175" s="377">
        <v>161</v>
      </c>
      <c r="I175" s="394"/>
      <c r="J175" s="394"/>
      <c r="K175" s="403"/>
      <c r="L175" s="403"/>
      <c r="M175" s="403"/>
      <c r="N175" s="403"/>
      <c r="O175" s="403"/>
      <c r="P175" s="403"/>
      <c r="Q175" s="403"/>
      <c r="R175" s="441"/>
      <c r="S175" s="433"/>
      <c r="T175" s="412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13"/>
      <c r="V175" s="413"/>
      <c r="W175" s="414"/>
      <c r="X175" s="415"/>
      <c r="Y175" s="416" t="str">
        <f t="shared" ca="1" si="12"/>
        <v/>
      </c>
      <c r="Z175" s="417" t="str">
        <f t="shared" ca="1" si="13"/>
        <v/>
      </c>
      <c r="AA175" s="416" t="str">
        <f t="shared" ca="1" si="14"/>
        <v/>
      </c>
      <c r="AB175" s="418" t="str">
        <f t="shared" ca="1" si="15"/>
        <v/>
      </c>
      <c r="AC175" s="417" t="str">
        <f t="shared" ca="1" si="16"/>
        <v/>
      </c>
      <c r="AD175" s="220"/>
    </row>
    <row r="176" spans="1:30" customFormat="1" ht="14.5">
      <c r="A176" s="220"/>
      <c r="B176" s="267">
        <v>138</v>
      </c>
      <c r="C176" s="245"/>
      <c r="D176" s="246"/>
      <c r="E176" s="238"/>
      <c r="F176" s="225"/>
      <c r="G176" s="231"/>
      <c r="H176" s="377">
        <v>162</v>
      </c>
      <c r="I176" s="394"/>
      <c r="J176" s="394"/>
      <c r="K176" s="403"/>
      <c r="L176" s="403"/>
      <c r="M176" s="403"/>
      <c r="N176" s="403"/>
      <c r="O176" s="403"/>
      <c r="P176" s="403"/>
      <c r="Q176" s="403"/>
      <c r="R176" s="441"/>
      <c r="S176" s="433"/>
      <c r="T176" s="412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13"/>
      <c r="V176" s="413"/>
      <c r="W176" s="414"/>
      <c r="X176" s="415"/>
      <c r="Y176" s="416" t="str">
        <f t="shared" ca="1" si="12"/>
        <v/>
      </c>
      <c r="Z176" s="417" t="str">
        <f t="shared" ca="1" si="13"/>
        <v/>
      </c>
      <c r="AA176" s="416" t="str">
        <f t="shared" ca="1" si="14"/>
        <v/>
      </c>
      <c r="AB176" s="418" t="str">
        <f t="shared" ca="1" si="15"/>
        <v/>
      </c>
      <c r="AC176" s="417" t="str">
        <f t="shared" ca="1" si="16"/>
        <v/>
      </c>
      <c r="AD176" s="220"/>
    </row>
    <row r="177" spans="1:30" customFormat="1" ht="14.5">
      <c r="A177" s="220"/>
      <c r="B177" s="267">
        <v>139</v>
      </c>
      <c r="C177" s="245"/>
      <c r="D177" s="246"/>
      <c r="E177" s="238"/>
      <c r="F177" s="225"/>
      <c r="G177" s="231"/>
      <c r="H177" s="377">
        <v>163</v>
      </c>
      <c r="I177" s="394"/>
      <c r="J177" s="394"/>
      <c r="K177" s="403"/>
      <c r="L177" s="403"/>
      <c r="M177" s="403"/>
      <c r="N177" s="403"/>
      <c r="O177" s="403"/>
      <c r="P177" s="403"/>
      <c r="Q177" s="403"/>
      <c r="R177" s="441"/>
      <c r="S177" s="433"/>
      <c r="T177" s="412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13"/>
      <c r="V177" s="413"/>
      <c r="W177" s="414"/>
      <c r="X177" s="415"/>
      <c r="Y177" s="416" t="str">
        <f t="shared" ca="1" si="12"/>
        <v/>
      </c>
      <c r="Z177" s="417" t="str">
        <f t="shared" ca="1" si="13"/>
        <v/>
      </c>
      <c r="AA177" s="416" t="str">
        <f t="shared" ca="1" si="14"/>
        <v/>
      </c>
      <c r="AB177" s="418" t="str">
        <f t="shared" ca="1" si="15"/>
        <v/>
      </c>
      <c r="AC177" s="417" t="str">
        <f t="shared" ca="1" si="16"/>
        <v/>
      </c>
      <c r="AD177" s="220"/>
    </row>
    <row r="178" spans="1:30" customFormat="1" ht="14.5">
      <c r="A178" s="220"/>
      <c r="B178" s="267">
        <v>140</v>
      </c>
      <c r="C178" s="245"/>
      <c r="D178" s="246"/>
      <c r="E178" s="238"/>
      <c r="F178" s="225"/>
      <c r="G178" s="231"/>
      <c r="H178" s="377">
        <v>164</v>
      </c>
      <c r="I178" s="394"/>
      <c r="J178" s="394"/>
      <c r="K178" s="403"/>
      <c r="L178" s="403"/>
      <c r="M178" s="403"/>
      <c r="N178" s="403"/>
      <c r="O178" s="403"/>
      <c r="P178" s="403"/>
      <c r="Q178" s="403"/>
      <c r="R178" s="441"/>
      <c r="S178" s="433"/>
      <c r="T178" s="412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13"/>
      <c r="V178" s="413"/>
      <c r="W178" s="414"/>
      <c r="X178" s="415"/>
      <c r="Y178" s="416" t="str">
        <f t="shared" ca="1" si="12"/>
        <v/>
      </c>
      <c r="Z178" s="417" t="str">
        <f t="shared" ca="1" si="13"/>
        <v/>
      </c>
      <c r="AA178" s="416" t="str">
        <f t="shared" ca="1" si="14"/>
        <v/>
      </c>
      <c r="AB178" s="418" t="str">
        <f t="shared" ca="1" si="15"/>
        <v/>
      </c>
      <c r="AC178" s="417" t="str">
        <f t="shared" ca="1" si="16"/>
        <v/>
      </c>
      <c r="AD178" s="220"/>
    </row>
    <row r="179" spans="1:30" customFormat="1" ht="14.5">
      <c r="A179" s="220"/>
      <c r="B179" s="267">
        <v>141</v>
      </c>
      <c r="C179" s="245"/>
      <c r="D179" s="246"/>
      <c r="E179" s="238"/>
      <c r="F179" s="225"/>
      <c r="G179" s="231"/>
      <c r="H179" s="377">
        <v>165</v>
      </c>
      <c r="I179" s="394"/>
      <c r="J179" s="394"/>
      <c r="K179" s="403"/>
      <c r="L179" s="403"/>
      <c r="M179" s="403"/>
      <c r="N179" s="403"/>
      <c r="O179" s="403"/>
      <c r="P179" s="403"/>
      <c r="Q179" s="403"/>
      <c r="R179" s="441"/>
      <c r="S179" s="433"/>
      <c r="T179" s="412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13"/>
      <c r="V179" s="413"/>
      <c r="W179" s="414"/>
      <c r="X179" s="415"/>
      <c r="Y179" s="416" t="str">
        <f t="shared" ca="1" si="12"/>
        <v/>
      </c>
      <c r="Z179" s="417" t="str">
        <f t="shared" ca="1" si="13"/>
        <v/>
      </c>
      <c r="AA179" s="416" t="str">
        <f t="shared" ca="1" si="14"/>
        <v/>
      </c>
      <c r="AB179" s="418" t="str">
        <f t="shared" ca="1" si="15"/>
        <v/>
      </c>
      <c r="AC179" s="417" t="str">
        <f t="shared" ca="1" si="16"/>
        <v/>
      </c>
      <c r="AD179" s="220"/>
    </row>
    <row r="180" spans="1:30" customFormat="1" ht="14.5">
      <c r="A180" s="220"/>
      <c r="B180" s="267">
        <v>142</v>
      </c>
      <c r="C180" s="245"/>
      <c r="D180" s="246"/>
      <c r="E180" s="238"/>
      <c r="F180" s="225"/>
      <c r="G180" s="231"/>
      <c r="H180" s="377">
        <v>166</v>
      </c>
      <c r="I180" s="394"/>
      <c r="J180" s="394"/>
      <c r="K180" s="403"/>
      <c r="L180" s="403"/>
      <c r="M180" s="403"/>
      <c r="N180" s="403"/>
      <c r="O180" s="403"/>
      <c r="P180" s="403"/>
      <c r="Q180" s="403"/>
      <c r="R180" s="441"/>
      <c r="S180" s="433"/>
      <c r="T180" s="412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13"/>
      <c r="V180" s="413"/>
      <c r="W180" s="414"/>
      <c r="X180" s="415"/>
      <c r="Y180" s="416" t="str">
        <f t="shared" ca="1" si="12"/>
        <v/>
      </c>
      <c r="Z180" s="417" t="str">
        <f t="shared" ca="1" si="13"/>
        <v/>
      </c>
      <c r="AA180" s="416" t="str">
        <f t="shared" ca="1" si="14"/>
        <v/>
      </c>
      <c r="AB180" s="418" t="str">
        <f t="shared" ca="1" si="15"/>
        <v/>
      </c>
      <c r="AC180" s="417" t="str">
        <f t="shared" ca="1" si="16"/>
        <v/>
      </c>
      <c r="AD180" s="220"/>
    </row>
    <row r="181" spans="1:30" customFormat="1" ht="14.5">
      <c r="A181" s="220"/>
      <c r="B181" s="267">
        <v>143</v>
      </c>
      <c r="C181" s="245"/>
      <c r="D181" s="246"/>
      <c r="E181" s="238"/>
      <c r="F181" s="225"/>
      <c r="G181" s="231"/>
      <c r="H181" s="377">
        <v>167</v>
      </c>
      <c r="I181" s="394"/>
      <c r="J181" s="394"/>
      <c r="K181" s="403"/>
      <c r="L181" s="403"/>
      <c r="M181" s="403"/>
      <c r="N181" s="403"/>
      <c r="O181" s="403"/>
      <c r="P181" s="403"/>
      <c r="Q181" s="403"/>
      <c r="R181" s="441"/>
      <c r="S181" s="433"/>
      <c r="T181" s="412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13"/>
      <c r="V181" s="413"/>
      <c r="W181" s="414"/>
      <c r="X181" s="415"/>
      <c r="Y181" s="416" t="str">
        <f t="shared" ca="1" si="12"/>
        <v/>
      </c>
      <c r="Z181" s="417" t="str">
        <f t="shared" ca="1" si="13"/>
        <v/>
      </c>
      <c r="AA181" s="416" t="str">
        <f t="shared" ca="1" si="14"/>
        <v/>
      </c>
      <c r="AB181" s="418" t="str">
        <f t="shared" ca="1" si="15"/>
        <v/>
      </c>
      <c r="AC181" s="417" t="str">
        <f t="shared" ca="1" si="16"/>
        <v/>
      </c>
      <c r="AD181" s="220"/>
    </row>
    <row r="182" spans="1:30" customFormat="1" ht="14.5">
      <c r="A182" s="220"/>
      <c r="B182" s="267">
        <v>144</v>
      </c>
      <c r="C182" s="245"/>
      <c r="D182" s="246"/>
      <c r="E182" s="238"/>
      <c r="F182" s="225"/>
      <c r="G182" s="231"/>
      <c r="H182" s="377">
        <v>168</v>
      </c>
      <c r="I182" s="394"/>
      <c r="J182" s="394"/>
      <c r="K182" s="403"/>
      <c r="L182" s="403"/>
      <c r="M182" s="403"/>
      <c r="N182" s="403"/>
      <c r="O182" s="403"/>
      <c r="P182" s="403"/>
      <c r="Q182" s="403"/>
      <c r="R182" s="441"/>
      <c r="S182" s="433"/>
      <c r="T182" s="412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13"/>
      <c r="V182" s="413"/>
      <c r="W182" s="414"/>
      <c r="X182" s="415"/>
      <c r="Y182" s="416" t="str">
        <f t="shared" ca="1" si="12"/>
        <v/>
      </c>
      <c r="Z182" s="417" t="str">
        <f t="shared" ca="1" si="13"/>
        <v/>
      </c>
      <c r="AA182" s="416" t="str">
        <f t="shared" ca="1" si="14"/>
        <v/>
      </c>
      <c r="AB182" s="418" t="str">
        <f t="shared" ca="1" si="15"/>
        <v/>
      </c>
      <c r="AC182" s="417" t="str">
        <f t="shared" ca="1" si="16"/>
        <v/>
      </c>
      <c r="AD182" s="220"/>
    </row>
    <row r="183" spans="1:30" customFormat="1" ht="14.5">
      <c r="A183" s="220"/>
      <c r="B183" s="267">
        <v>145</v>
      </c>
      <c r="C183" s="245"/>
      <c r="D183" s="246"/>
      <c r="E183" s="238"/>
      <c r="F183" s="225"/>
      <c r="G183" s="231"/>
      <c r="H183" s="377">
        <v>169</v>
      </c>
      <c r="I183" s="394"/>
      <c r="J183" s="394"/>
      <c r="K183" s="403"/>
      <c r="L183" s="403"/>
      <c r="M183" s="403"/>
      <c r="N183" s="403"/>
      <c r="O183" s="403"/>
      <c r="P183" s="403"/>
      <c r="Q183" s="403"/>
      <c r="R183" s="441"/>
      <c r="S183" s="433"/>
      <c r="T183" s="412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13"/>
      <c r="V183" s="413"/>
      <c r="W183" s="414"/>
      <c r="X183" s="415"/>
      <c r="Y183" s="416" t="str">
        <f t="shared" ca="1" si="12"/>
        <v/>
      </c>
      <c r="Z183" s="417" t="str">
        <f t="shared" ca="1" si="13"/>
        <v/>
      </c>
      <c r="AA183" s="416" t="str">
        <f t="shared" ca="1" si="14"/>
        <v/>
      </c>
      <c r="AB183" s="418" t="str">
        <f t="shared" ca="1" si="15"/>
        <v/>
      </c>
      <c r="AC183" s="417" t="str">
        <f t="shared" ca="1" si="16"/>
        <v/>
      </c>
      <c r="AD183" s="220"/>
    </row>
    <row r="184" spans="1:30" customFormat="1" ht="14.5">
      <c r="A184" s="220"/>
      <c r="B184" s="267">
        <v>146</v>
      </c>
      <c r="C184" s="245"/>
      <c r="D184" s="246"/>
      <c r="E184" s="238"/>
      <c r="F184" s="225"/>
      <c r="G184" s="231"/>
      <c r="H184" s="377">
        <v>170</v>
      </c>
      <c r="I184" s="394"/>
      <c r="J184" s="394"/>
      <c r="K184" s="403"/>
      <c r="L184" s="403"/>
      <c r="M184" s="403"/>
      <c r="N184" s="403"/>
      <c r="O184" s="403"/>
      <c r="P184" s="403"/>
      <c r="Q184" s="403"/>
      <c r="R184" s="441"/>
      <c r="S184" s="433"/>
      <c r="T184" s="412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13"/>
      <c r="V184" s="413"/>
      <c r="W184" s="414"/>
      <c r="X184" s="415"/>
      <c r="Y184" s="416" t="str">
        <f t="shared" ca="1" si="12"/>
        <v/>
      </c>
      <c r="Z184" s="417" t="str">
        <f t="shared" ca="1" si="13"/>
        <v/>
      </c>
      <c r="AA184" s="416" t="str">
        <f t="shared" ca="1" si="14"/>
        <v/>
      </c>
      <c r="AB184" s="418" t="str">
        <f t="shared" ca="1" si="15"/>
        <v/>
      </c>
      <c r="AC184" s="417" t="str">
        <f t="shared" ca="1" si="16"/>
        <v/>
      </c>
      <c r="AD184" s="220"/>
    </row>
    <row r="185" spans="1:30" customFormat="1" ht="14.5">
      <c r="A185" s="220"/>
      <c r="B185" s="267">
        <v>147</v>
      </c>
      <c r="C185" s="245"/>
      <c r="D185" s="246"/>
      <c r="E185" s="238"/>
      <c r="F185" s="225"/>
      <c r="G185" s="231"/>
      <c r="H185" s="377">
        <v>171</v>
      </c>
      <c r="I185" s="394"/>
      <c r="J185" s="394"/>
      <c r="K185" s="403"/>
      <c r="L185" s="403"/>
      <c r="M185" s="403"/>
      <c r="N185" s="403"/>
      <c r="O185" s="403"/>
      <c r="P185" s="403"/>
      <c r="Q185" s="403"/>
      <c r="R185" s="441"/>
      <c r="S185" s="433"/>
      <c r="T185" s="412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13"/>
      <c r="V185" s="413"/>
      <c r="W185" s="414"/>
      <c r="X185" s="415"/>
      <c r="Y185" s="416" t="str">
        <f t="shared" ca="1" si="12"/>
        <v/>
      </c>
      <c r="Z185" s="417" t="str">
        <f t="shared" ca="1" si="13"/>
        <v/>
      </c>
      <c r="AA185" s="416" t="str">
        <f t="shared" ca="1" si="14"/>
        <v/>
      </c>
      <c r="AB185" s="418" t="str">
        <f t="shared" ca="1" si="15"/>
        <v/>
      </c>
      <c r="AC185" s="417" t="str">
        <f t="shared" ca="1" si="16"/>
        <v/>
      </c>
      <c r="AD185" s="220"/>
    </row>
    <row r="186" spans="1:30" customFormat="1" ht="14.5">
      <c r="A186" s="220"/>
      <c r="B186" s="267">
        <v>148</v>
      </c>
      <c r="C186" s="245"/>
      <c r="D186" s="246"/>
      <c r="E186" s="238"/>
      <c r="F186" s="225"/>
      <c r="G186" s="231"/>
      <c r="H186" s="377">
        <v>172</v>
      </c>
      <c r="I186" s="394"/>
      <c r="J186" s="394"/>
      <c r="K186" s="403"/>
      <c r="L186" s="403"/>
      <c r="M186" s="403"/>
      <c r="N186" s="403"/>
      <c r="O186" s="403"/>
      <c r="P186" s="403"/>
      <c r="Q186" s="403"/>
      <c r="R186" s="441"/>
      <c r="S186" s="433"/>
      <c r="T186" s="412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13"/>
      <c r="V186" s="413"/>
      <c r="W186" s="414"/>
      <c r="X186" s="415"/>
      <c r="Y186" s="416" t="str">
        <f t="shared" ca="1" si="12"/>
        <v/>
      </c>
      <c r="Z186" s="417" t="str">
        <f t="shared" ca="1" si="13"/>
        <v/>
      </c>
      <c r="AA186" s="416" t="str">
        <f t="shared" ca="1" si="14"/>
        <v/>
      </c>
      <c r="AB186" s="418" t="str">
        <f t="shared" ca="1" si="15"/>
        <v/>
      </c>
      <c r="AC186" s="417" t="str">
        <f t="shared" ca="1" si="16"/>
        <v/>
      </c>
      <c r="AD186" s="220"/>
    </row>
    <row r="187" spans="1:30" customFormat="1" ht="14.5">
      <c r="A187" s="220"/>
      <c r="B187" s="267">
        <v>149</v>
      </c>
      <c r="C187" s="245"/>
      <c r="D187" s="246"/>
      <c r="E187" s="238"/>
      <c r="F187" s="225"/>
      <c r="G187" s="231"/>
      <c r="H187" s="377">
        <v>173</v>
      </c>
      <c r="I187" s="394"/>
      <c r="J187" s="394"/>
      <c r="K187" s="403"/>
      <c r="L187" s="403"/>
      <c r="M187" s="403"/>
      <c r="N187" s="403"/>
      <c r="O187" s="403"/>
      <c r="P187" s="403"/>
      <c r="Q187" s="403"/>
      <c r="R187" s="441"/>
      <c r="S187" s="433"/>
      <c r="T187" s="412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13"/>
      <c r="V187" s="413"/>
      <c r="W187" s="414"/>
      <c r="X187" s="415"/>
      <c r="Y187" s="416" t="str">
        <f t="shared" ca="1" si="12"/>
        <v/>
      </c>
      <c r="Z187" s="417" t="str">
        <f t="shared" ca="1" si="13"/>
        <v/>
      </c>
      <c r="AA187" s="416" t="str">
        <f t="shared" ca="1" si="14"/>
        <v/>
      </c>
      <c r="AB187" s="418" t="str">
        <f t="shared" ca="1" si="15"/>
        <v/>
      </c>
      <c r="AC187" s="417" t="str">
        <f t="shared" ca="1" si="16"/>
        <v/>
      </c>
      <c r="AD187" s="220"/>
    </row>
    <row r="188" spans="1:30" customFormat="1" ht="14.5">
      <c r="A188" s="220"/>
      <c r="B188" s="267">
        <v>150</v>
      </c>
      <c r="C188" s="245"/>
      <c r="D188" s="246"/>
      <c r="E188" s="238"/>
      <c r="F188" s="225"/>
      <c r="G188" s="231"/>
      <c r="H188" s="377">
        <v>174</v>
      </c>
      <c r="I188" s="394"/>
      <c r="J188" s="394"/>
      <c r="K188" s="403"/>
      <c r="L188" s="403"/>
      <c r="M188" s="403"/>
      <c r="N188" s="403"/>
      <c r="O188" s="403"/>
      <c r="P188" s="403"/>
      <c r="Q188" s="403"/>
      <c r="R188" s="441"/>
      <c r="S188" s="433"/>
      <c r="T188" s="412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13"/>
      <c r="V188" s="413"/>
      <c r="W188" s="414"/>
      <c r="X188" s="415"/>
      <c r="Y188" s="416" t="str">
        <f t="shared" ca="1" si="12"/>
        <v/>
      </c>
      <c r="Z188" s="417" t="str">
        <f t="shared" ca="1" si="13"/>
        <v/>
      </c>
      <c r="AA188" s="416" t="str">
        <f t="shared" ca="1" si="14"/>
        <v/>
      </c>
      <c r="AB188" s="418" t="str">
        <f t="shared" ca="1" si="15"/>
        <v/>
      </c>
      <c r="AC188" s="417" t="str">
        <f t="shared" ca="1" si="16"/>
        <v/>
      </c>
      <c r="AD188" s="220"/>
    </row>
    <row r="189" spans="1:30" customFormat="1" ht="14.5">
      <c r="A189" s="220"/>
      <c r="B189" s="267">
        <v>151</v>
      </c>
      <c r="C189" s="245"/>
      <c r="D189" s="246"/>
      <c r="E189" s="238"/>
      <c r="F189" s="225"/>
      <c r="G189" s="231"/>
      <c r="H189" s="377">
        <v>175</v>
      </c>
      <c r="I189" s="394"/>
      <c r="J189" s="394"/>
      <c r="K189" s="403"/>
      <c r="L189" s="403"/>
      <c r="M189" s="403"/>
      <c r="N189" s="403"/>
      <c r="O189" s="403"/>
      <c r="P189" s="403"/>
      <c r="Q189" s="403"/>
      <c r="R189" s="441"/>
      <c r="S189" s="433"/>
      <c r="T189" s="412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13"/>
      <c r="V189" s="413"/>
      <c r="W189" s="414"/>
      <c r="X189" s="415"/>
      <c r="Y189" s="416" t="str">
        <f t="shared" ca="1" si="12"/>
        <v/>
      </c>
      <c r="Z189" s="417" t="str">
        <f t="shared" ca="1" si="13"/>
        <v/>
      </c>
      <c r="AA189" s="416" t="str">
        <f t="shared" ca="1" si="14"/>
        <v/>
      </c>
      <c r="AB189" s="418" t="str">
        <f t="shared" ca="1" si="15"/>
        <v/>
      </c>
      <c r="AC189" s="417" t="str">
        <f t="shared" ca="1" si="16"/>
        <v/>
      </c>
      <c r="AD189" s="220"/>
    </row>
    <row r="190" spans="1:30" customFormat="1" ht="14.5">
      <c r="A190" s="220"/>
      <c r="B190" s="267">
        <v>152</v>
      </c>
      <c r="C190" s="245"/>
      <c r="D190" s="246"/>
      <c r="E190" s="238"/>
      <c r="F190" s="225"/>
      <c r="G190" s="231"/>
      <c r="H190" s="377">
        <v>176</v>
      </c>
      <c r="I190" s="394"/>
      <c r="J190" s="394"/>
      <c r="K190" s="403"/>
      <c r="L190" s="403"/>
      <c r="M190" s="403"/>
      <c r="N190" s="403"/>
      <c r="O190" s="403"/>
      <c r="P190" s="403"/>
      <c r="Q190" s="403"/>
      <c r="R190" s="441"/>
      <c r="S190" s="433"/>
      <c r="T190" s="412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13"/>
      <c r="V190" s="413"/>
      <c r="W190" s="414"/>
      <c r="X190" s="415"/>
      <c r="Y190" s="416" t="str">
        <f t="shared" ca="1" si="12"/>
        <v/>
      </c>
      <c r="Z190" s="417" t="str">
        <f t="shared" ca="1" si="13"/>
        <v/>
      </c>
      <c r="AA190" s="416" t="str">
        <f t="shared" ca="1" si="14"/>
        <v/>
      </c>
      <c r="AB190" s="418" t="str">
        <f t="shared" ca="1" si="15"/>
        <v/>
      </c>
      <c r="AC190" s="417" t="str">
        <f t="shared" ca="1" si="16"/>
        <v/>
      </c>
      <c r="AD190" s="220"/>
    </row>
    <row r="191" spans="1:30" customFormat="1" ht="14.5">
      <c r="A191" s="220"/>
      <c r="B191" s="267">
        <v>153</v>
      </c>
      <c r="C191" s="245"/>
      <c r="D191" s="246"/>
      <c r="E191" s="238"/>
      <c r="F191" s="225"/>
      <c r="G191" s="231"/>
      <c r="H191" s="377">
        <v>177</v>
      </c>
      <c r="I191" s="394"/>
      <c r="J191" s="394"/>
      <c r="K191" s="403"/>
      <c r="L191" s="403"/>
      <c r="M191" s="403"/>
      <c r="N191" s="403"/>
      <c r="O191" s="403"/>
      <c r="P191" s="403"/>
      <c r="Q191" s="403"/>
      <c r="R191" s="441"/>
      <c r="S191" s="433"/>
      <c r="T191" s="412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13"/>
      <c r="V191" s="413"/>
      <c r="W191" s="414"/>
      <c r="X191" s="415"/>
      <c r="Y191" s="416" t="str">
        <f t="shared" ca="1" si="12"/>
        <v/>
      </c>
      <c r="Z191" s="417" t="str">
        <f t="shared" ca="1" si="13"/>
        <v/>
      </c>
      <c r="AA191" s="416" t="str">
        <f t="shared" ca="1" si="14"/>
        <v/>
      </c>
      <c r="AB191" s="418" t="str">
        <f t="shared" ca="1" si="15"/>
        <v/>
      </c>
      <c r="AC191" s="417" t="str">
        <f t="shared" ca="1" si="16"/>
        <v/>
      </c>
      <c r="AD191" s="220"/>
    </row>
    <row r="192" spans="1:30" customFormat="1" ht="14.5">
      <c r="A192" s="220"/>
      <c r="B192" s="267">
        <v>154</v>
      </c>
      <c r="C192" s="245"/>
      <c r="D192" s="246"/>
      <c r="E192" s="238"/>
      <c r="F192" s="225"/>
      <c r="G192" s="231"/>
      <c r="H192" s="377">
        <v>178</v>
      </c>
      <c r="I192" s="394"/>
      <c r="J192" s="394"/>
      <c r="K192" s="403"/>
      <c r="L192" s="403"/>
      <c r="M192" s="403"/>
      <c r="N192" s="403"/>
      <c r="O192" s="403"/>
      <c r="P192" s="403"/>
      <c r="Q192" s="403"/>
      <c r="R192" s="441"/>
      <c r="S192" s="433"/>
      <c r="T192" s="412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13"/>
      <c r="V192" s="413"/>
      <c r="W192" s="414"/>
      <c r="X192" s="415"/>
      <c r="Y192" s="416" t="str">
        <f t="shared" ca="1" si="12"/>
        <v/>
      </c>
      <c r="Z192" s="417" t="str">
        <f t="shared" ca="1" si="13"/>
        <v/>
      </c>
      <c r="AA192" s="416" t="str">
        <f t="shared" ca="1" si="14"/>
        <v/>
      </c>
      <c r="AB192" s="418" t="str">
        <f t="shared" ca="1" si="15"/>
        <v/>
      </c>
      <c r="AC192" s="417" t="str">
        <f t="shared" ca="1" si="16"/>
        <v/>
      </c>
      <c r="AD192" s="220"/>
    </row>
    <row r="193" spans="1:30" customFormat="1" ht="14.5">
      <c r="A193" s="220"/>
      <c r="B193" s="267">
        <v>155</v>
      </c>
      <c r="C193" s="245"/>
      <c r="D193" s="246"/>
      <c r="E193" s="238"/>
      <c r="F193" s="225"/>
      <c r="G193" s="231"/>
      <c r="H193" s="377">
        <v>179</v>
      </c>
      <c r="I193" s="394"/>
      <c r="J193" s="394"/>
      <c r="K193" s="403"/>
      <c r="L193" s="403"/>
      <c r="M193" s="403"/>
      <c r="N193" s="403"/>
      <c r="O193" s="403"/>
      <c r="P193" s="403"/>
      <c r="Q193" s="403"/>
      <c r="R193" s="441"/>
      <c r="S193" s="433"/>
      <c r="T193" s="412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13"/>
      <c r="V193" s="413"/>
      <c r="W193" s="414"/>
      <c r="X193" s="415"/>
      <c r="Y193" s="416" t="str">
        <f t="shared" ca="1" si="12"/>
        <v/>
      </c>
      <c r="Z193" s="417" t="str">
        <f t="shared" ca="1" si="13"/>
        <v/>
      </c>
      <c r="AA193" s="416" t="str">
        <f t="shared" ca="1" si="14"/>
        <v/>
      </c>
      <c r="AB193" s="418" t="str">
        <f t="shared" ca="1" si="15"/>
        <v/>
      </c>
      <c r="AC193" s="417" t="str">
        <f t="shared" ca="1" si="16"/>
        <v/>
      </c>
      <c r="AD193" s="220"/>
    </row>
    <row r="194" spans="1:30" customFormat="1" ht="14.5">
      <c r="A194" s="220"/>
      <c r="B194" s="267">
        <v>156</v>
      </c>
      <c r="C194" s="245"/>
      <c r="D194" s="246"/>
      <c r="E194" s="238"/>
      <c r="F194" s="225"/>
      <c r="G194" s="231"/>
      <c r="H194" s="377">
        <v>180</v>
      </c>
      <c r="I194" s="394"/>
      <c r="J194" s="394"/>
      <c r="K194" s="403"/>
      <c r="L194" s="403"/>
      <c r="M194" s="403"/>
      <c r="N194" s="403"/>
      <c r="O194" s="403"/>
      <c r="P194" s="403"/>
      <c r="Q194" s="403"/>
      <c r="R194" s="441"/>
      <c r="S194" s="433"/>
      <c r="T194" s="412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13"/>
      <c r="V194" s="413"/>
      <c r="W194" s="414"/>
      <c r="X194" s="415"/>
      <c r="Y194" s="416" t="str">
        <f t="shared" ca="1" si="12"/>
        <v/>
      </c>
      <c r="Z194" s="417" t="str">
        <f t="shared" ca="1" si="13"/>
        <v/>
      </c>
      <c r="AA194" s="416" t="str">
        <f t="shared" ca="1" si="14"/>
        <v/>
      </c>
      <c r="AB194" s="418" t="str">
        <f t="shared" ca="1" si="15"/>
        <v/>
      </c>
      <c r="AC194" s="417" t="str">
        <f t="shared" ca="1" si="16"/>
        <v/>
      </c>
      <c r="AD194" s="220"/>
    </row>
    <row r="195" spans="1:30" customFormat="1" ht="14.5">
      <c r="A195" s="220"/>
      <c r="B195" s="267">
        <v>157</v>
      </c>
      <c r="C195" s="245"/>
      <c r="D195" s="246"/>
      <c r="E195" s="238"/>
      <c r="F195" s="225"/>
      <c r="G195" s="231"/>
      <c r="H195" s="377">
        <v>181</v>
      </c>
      <c r="I195" s="394"/>
      <c r="J195" s="394"/>
      <c r="K195" s="403"/>
      <c r="L195" s="403"/>
      <c r="M195" s="403"/>
      <c r="N195" s="403"/>
      <c r="O195" s="403"/>
      <c r="P195" s="403"/>
      <c r="Q195" s="403"/>
      <c r="R195" s="441"/>
      <c r="S195" s="433"/>
      <c r="T195" s="412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13"/>
      <c r="V195" s="413"/>
      <c r="W195" s="414"/>
      <c r="X195" s="415"/>
      <c r="Y195" s="416" t="str">
        <f t="shared" ca="1" si="12"/>
        <v/>
      </c>
      <c r="Z195" s="417" t="str">
        <f t="shared" ca="1" si="13"/>
        <v/>
      </c>
      <c r="AA195" s="416" t="str">
        <f t="shared" ca="1" si="14"/>
        <v/>
      </c>
      <c r="AB195" s="418" t="str">
        <f t="shared" ca="1" si="15"/>
        <v/>
      </c>
      <c r="AC195" s="417" t="str">
        <f t="shared" ca="1" si="16"/>
        <v/>
      </c>
      <c r="AD195" s="220"/>
    </row>
    <row r="196" spans="1:30" customFormat="1" ht="14.5">
      <c r="A196" s="220"/>
      <c r="B196" s="267">
        <v>158</v>
      </c>
      <c r="C196" s="245"/>
      <c r="D196" s="246"/>
      <c r="E196" s="238"/>
      <c r="F196" s="225"/>
      <c r="G196" s="231"/>
      <c r="H196" s="377">
        <v>182</v>
      </c>
      <c r="I196" s="394"/>
      <c r="J196" s="394"/>
      <c r="K196" s="403"/>
      <c r="L196" s="403"/>
      <c r="M196" s="403"/>
      <c r="N196" s="403"/>
      <c r="O196" s="403"/>
      <c r="P196" s="403"/>
      <c r="Q196" s="403"/>
      <c r="R196" s="441"/>
      <c r="S196" s="433"/>
      <c r="T196" s="412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13"/>
      <c r="V196" s="413"/>
      <c r="W196" s="414"/>
      <c r="X196" s="415"/>
      <c r="Y196" s="416" t="str">
        <f t="shared" ca="1" si="12"/>
        <v/>
      </c>
      <c r="Z196" s="417" t="str">
        <f t="shared" ca="1" si="13"/>
        <v/>
      </c>
      <c r="AA196" s="416" t="str">
        <f t="shared" ca="1" si="14"/>
        <v/>
      </c>
      <c r="AB196" s="418" t="str">
        <f t="shared" ca="1" si="15"/>
        <v/>
      </c>
      <c r="AC196" s="417" t="str">
        <f t="shared" ca="1" si="16"/>
        <v/>
      </c>
      <c r="AD196" s="220"/>
    </row>
    <row r="197" spans="1:30" customFormat="1" ht="14.5">
      <c r="A197" s="220"/>
      <c r="B197" s="267">
        <v>159</v>
      </c>
      <c r="C197" s="245"/>
      <c r="D197" s="246"/>
      <c r="E197" s="238"/>
      <c r="F197" s="225"/>
      <c r="G197" s="231"/>
      <c r="H197" s="377">
        <v>183</v>
      </c>
      <c r="I197" s="394"/>
      <c r="J197" s="394"/>
      <c r="K197" s="403"/>
      <c r="L197" s="403"/>
      <c r="M197" s="403"/>
      <c r="N197" s="403"/>
      <c r="O197" s="403"/>
      <c r="P197" s="403"/>
      <c r="Q197" s="403"/>
      <c r="R197" s="441"/>
      <c r="S197" s="433"/>
      <c r="T197" s="412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13"/>
      <c r="V197" s="413"/>
      <c r="W197" s="414"/>
      <c r="X197" s="415"/>
      <c r="Y197" s="416" t="str">
        <f t="shared" ca="1" si="12"/>
        <v/>
      </c>
      <c r="Z197" s="417" t="str">
        <f t="shared" ca="1" si="13"/>
        <v/>
      </c>
      <c r="AA197" s="416" t="str">
        <f t="shared" ca="1" si="14"/>
        <v/>
      </c>
      <c r="AB197" s="418" t="str">
        <f t="shared" ca="1" si="15"/>
        <v/>
      </c>
      <c r="AC197" s="417" t="str">
        <f t="shared" ca="1" si="16"/>
        <v/>
      </c>
      <c r="AD197" s="220"/>
    </row>
    <row r="198" spans="1:30" customFormat="1" ht="14.5">
      <c r="A198" s="220"/>
      <c r="B198" s="267">
        <v>160</v>
      </c>
      <c r="C198" s="245"/>
      <c r="D198" s="246"/>
      <c r="E198" s="238"/>
      <c r="F198" s="225"/>
      <c r="G198" s="231"/>
      <c r="H198" s="377">
        <v>184</v>
      </c>
      <c r="I198" s="394"/>
      <c r="J198" s="394"/>
      <c r="K198" s="403"/>
      <c r="L198" s="403"/>
      <c r="M198" s="403"/>
      <c r="N198" s="403"/>
      <c r="O198" s="403"/>
      <c r="P198" s="403"/>
      <c r="Q198" s="403"/>
      <c r="R198" s="441"/>
      <c r="S198" s="433"/>
      <c r="T198" s="412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13"/>
      <c r="V198" s="413"/>
      <c r="W198" s="414"/>
      <c r="X198" s="415"/>
      <c r="Y198" s="416" t="str">
        <f t="shared" ca="1" si="12"/>
        <v/>
      </c>
      <c r="Z198" s="417" t="str">
        <f t="shared" ca="1" si="13"/>
        <v/>
      </c>
      <c r="AA198" s="416" t="str">
        <f t="shared" ca="1" si="14"/>
        <v/>
      </c>
      <c r="AB198" s="418" t="str">
        <f t="shared" ca="1" si="15"/>
        <v/>
      </c>
      <c r="AC198" s="417" t="str">
        <f t="shared" ca="1" si="16"/>
        <v/>
      </c>
      <c r="AD198" s="220"/>
    </row>
    <row r="199" spans="1:30" customFormat="1" ht="14.5">
      <c r="A199" s="220"/>
      <c r="B199" s="267">
        <v>161</v>
      </c>
      <c r="C199" s="245"/>
      <c r="D199" s="246"/>
      <c r="E199" s="238"/>
      <c r="F199" s="225"/>
      <c r="G199" s="231"/>
      <c r="H199" s="377">
        <v>185</v>
      </c>
      <c r="I199" s="394"/>
      <c r="J199" s="394"/>
      <c r="K199" s="403"/>
      <c r="L199" s="403"/>
      <c r="M199" s="403"/>
      <c r="N199" s="403"/>
      <c r="O199" s="403"/>
      <c r="P199" s="403"/>
      <c r="Q199" s="403"/>
      <c r="R199" s="441"/>
      <c r="S199" s="433"/>
      <c r="T199" s="412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13"/>
      <c r="V199" s="413"/>
      <c r="W199" s="414"/>
      <c r="X199" s="415"/>
      <c r="Y199" s="416" t="str">
        <f t="shared" ca="1" si="12"/>
        <v/>
      </c>
      <c r="Z199" s="417" t="str">
        <f t="shared" ca="1" si="13"/>
        <v/>
      </c>
      <c r="AA199" s="416" t="str">
        <f t="shared" ca="1" si="14"/>
        <v/>
      </c>
      <c r="AB199" s="418" t="str">
        <f t="shared" ca="1" si="15"/>
        <v/>
      </c>
      <c r="AC199" s="417" t="str">
        <f t="shared" ca="1" si="16"/>
        <v/>
      </c>
      <c r="AD199" s="220"/>
    </row>
    <row r="200" spans="1:30" customFormat="1" ht="14.5">
      <c r="A200" s="220"/>
      <c r="B200" s="267">
        <v>162</v>
      </c>
      <c r="C200" s="245"/>
      <c r="D200" s="246"/>
      <c r="E200" s="238"/>
      <c r="F200" s="225"/>
      <c r="G200" s="231"/>
      <c r="H200" s="377">
        <v>186</v>
      </c>
      <c r="I200" s="394"/>
      <c r="J200" s="394"/>
      <c r="K200" s="403"/>
      <c r="L200" s="403"/>
      <c r="M200" s="403"/>
      <c r="N200" s="403"/>
      <c r="O200" s="403"/>
      <c r="P200" s="403"/>
      <c r="Q200" s="403"/>
      <c r="R200" s="441"/>
      <c r="S200" s="433"/>
      <c r="T200" s="412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13"/>
      <c r="V200" s="413"/>
      <c r="W200" s="414"/>
      <c r="X200" s="415"/>
      <c r="Y200" s="416" t="str">
        <f t="shared" ca="1" si="12"/>
        <v/>
      </c>
      <c r="Z200" s="417" t="str">
        <f t="shared" ca="1" si="13"/>
        <v/>
      </c>
      <c r="AA200" s="416" t="str">
        <f t="shared" ca="1" si="14"/>
        <v/>
      </c>
      <c r="AB200" s="418" t="str">
        <f t="shared" ca="1" si="15"/>
        <v/>
      </c>
      <c r="AC200" s="417" t="str">
        <f t="shared" ca="1" si="16"/>
        <v/>
      </c>
      <c r="AD200" s="220"/>
    </row>
    <row r="201" spans="1:30" customFormat="1" ht="14.5">
      <c r="A201" s="220"/>
      <c r="B201" s="267">
        <v>163</v>
      </c>
      <c r="C201" s="245"/>
      <c r="D201" s="246"/>
      <c r="E201" s="238"/>
      <c r="F201" s="225"/>
      <c r="G201" s="231"/>
      <c r="H201" s="377">
        <v>187</v>
      </c>
      <c r="I201" s="394"/>
      <c r="J201" s="394"/>
      <c r="K201" s="403"/>
      <c r="L201" s="403"/>
      <c r="M201" s="403"/>
      <c r="N201" s="403"/>
      <c r="O201" s="403"/>
      <c r="P201" s="403"/>
      <c r="Q201" s="403"/>
      <c r="R201" s="441"/>
      <c r="S201" s="433"/>
      <c r="T201" s="412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13"/>
      <c r="V201" s="413"/>
      <c r="W201" s="414"/>
      <c r="X201" s="415"/>
      <c r="Y201" s="416" t="str">
        <f t="shared" ca="1" si="12"/>
        <v/>
      </c>
      <c r="Z201" s="417" t="str">
        <f t="shared" ca="1" si="13"/>
        <v/>
      </c>
      <c r="AA201" s="416" t="str">
        <f t="shared" ca="1" si="14"/>
        <v/>
      </c>
      <c r="AB201" s="418" t="str">
        <f t="shared" ca="1" si="15"/>
        <v/>
      </c>
      <c r="AC201" s="417" t="str">
        <f t="shared" ca="1" si="16"/>
        <v/>
      </c>
      <c r="AD201" s="220"/>
    </row>
    <row r="202" spans="1:30" customFormat="1" ht="14.5">
      <c r="A202" s="220"/>
      <c r="B202" s="267">
        <v>164</v>
      </c>
      <c r="C202" s="245"/>
      <c r="D202" s="246"/>
      <c r="E202" s="238"/>
      <c r="F202" s="225"/>
      <c r="G202" s="231"/>
      <c r="H202" s="377">
        <v>188</v>
      </c>
      <c r="I202" s="394"/>
      <c r="J202" s="394"/>
      <c r="K202" s="403"/>
      <c r="L202" s="403"/>
      <c r="M202" s="403"/>
      <c r="N202" s="403"/>
      <c r="O202" s="403"/>
      <c r="P202" s="403"/>
      <c r="Q202" s="403"/>
      <c r="R202" s="441"/>
      <c r="S202" s="433"/>
      <c r="T202" s="412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13"/>
      <c r="V202" s="413"/>
      <c r="W202" s="414"/>
      <c r="X202" s="415"/>
      <c r="Y202" s="416" t="str">
        <f t="shared" ca="1" si="12"/>
        <v/>
      </c>
      <c r="Z202" s="417" t="str">
        <f t="shared" ca="1" si="13"/>
        <v/>
      </c>
      <c r="AA202" s="416" t="str">
        <f t="shared" ca="1" si="14"/>
        <v/>
      </c>
      <c r="AB202" s="418" t="str">
        <f t="shared" ca="1" si="15"/>
        <v/>
      </c>
      <c r="AC202" s="417" t="str">
        <f t="shared" ca="1" si="16"/>
        <v/>
      </c>
      <c r="AD202" s="220"/>
    </row>
    <row r="203" spans="1:30" customFormat="1" ht="14.5">
      <c r="A203" s="220"/>
      <c r="B203" s="267">
        <v>165</v>
      </c>
      <c r="C203" s="245"/>
      <c r="D203" s="246"/>
      <c r="E203" s="238"/>
      <c r="F203" s="225"/>
      <c r="G203" s="231"/>
      <c r="H203" s="377">
        <v>189</v>
      </c>
      <c r="I203" s="394"/>
      <c r="J203" s="394"/>
      <c r="K203" s="403"/>
      <c r="L203" s="403"/>
      <c r="M203" s="403"/>
      <c r="N203" s="403"/>
      <c r="O203" s="403"/>
      <c r="P203" s="403"/>
      <c r="Q203" s="403"/>
      <c r="R203" s="441"/>
      <c r="S203" s="433"/>
      <c r="T203" s="412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13"/>
      <c r="V203" s="413"/>
      <c r="W203" s="414"/>
      <c r="X203" s="415"/>
      <c r="Y203" s="416" t="str">
        <f t="shared" ca="1" si="12"/>
        <v/>
      </c>
      <c r="Z203" s="417" t="str">
        <f t="shared" ca="1" si="13"/>
        <v/>
      </c>
      <c r="AA203" s="416" t="str">
        <f t="shared" ca="1" si="14"/>
        <v/>
      </c>
      <c r="AB203" s="418" t="str">
        <f t="shared" ca="1" si="15"/>
        <v/>
      </c>
      <c r="AC203" s="417" t="str">
        <f t="shared" ca="1" si="16"/>
        <v/>
      </c>
      <c r="AD203" s="220"/>
    </row>
    <row r="204" spans="1:30" customFormat="1" ht="14.5">
      <c r="A204" s="220"/>
      <c r="B204" s="267">
        <v>166</v>
      </c>
      <c r="C204" s="245"/>
      <c r="D204" s="246"/>
      <c r="E204" s="238"/>
      <c r="F204" s="225"/>
      <c r="G204" s="231"/>
      <c r="H204" s="377">
        <v>190</v>
      </c>
      <c r="I204" s="394"/>
      <c r="J204" s="394"/>
      <c r="K204" s="403"/>
      <c r="L204" s="403"/>
      <c r="M204" s="403"/>
      <c r="N204" s="403"/>
      <c r="O204" s="403"/>
      <c r="P204" s="403"/>
      <c r="Q204" s="403"/>
      <c r="R204" s="441"/>
      <c r="S204" s="433"/>
      <c r="T204" s="412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13"/>
      <c r="V204" s="413"/>
      <c r="W204" s="414"/>
      <c r="X204" s="415"/>
      <c r="Y204" s="416" t="str">
        <f t="shared" ca="1" si="12"/>
        <v/>
      </c>
      <c r="Z204" s="417" t="str">
        <f t="shared" ca="1" si="13"/>
        <v/>
      </c>
      <c r="AA204" s="416" t="str">
        <f t="shared" ca="1" si="14"/>
        <v/>
      </c>
      <c r="AB204" s="418" t="str">
        <f t="shared" ca="1" si="15"/>
        <v/>
      </c>
      <c r="AC204" s="417" t="str">
        <f t="shared" ca="1" si="16"/>
        <v/>
      </c>
      <c r="AD204" s="220"/>
    </row>
    <row r="205" spans="1:30" customFormat="1" ht="14.5">
      <c r="A205" s="220"/>
      <c r="B205" s="267">
        <v>167</v>
      </c>
      <c r="C205" s="245"/>
      <c r="D205" s="246"/>
      <c r="E205" s="238"/>
      <c r="F205" s="225"/>
      <c r="G205" s="231"/>
      <c r="H205" s="377">
        <v>191</v>
      </c>
      <c r="I205" s="394"/>
      <c r="J205" s="394"/>
      <c r="K205" s="403"/>
      <c r="L205" s="403"/>
      <c r="M205" s="403"/>
      <c r="N205" s="403"/>
      <c r="O205" s="403"/>
      <c r="P205" s="403"/>
      <c r="Q205" s="403"/>
      <c r="R205" s="441"/>
      <c r="S205" s="433"/>
      <c r="T205" s="412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13"/>
      <c r="V205" s="413"/>
      <c r="W205" s="414"/>
      <c r="X205" s="415"/>
      <c r="Y205" s="416" t="str">
        <f t="shared" ca="1" si="12"/>
        <v/>
      </c>
      <c r="Z205" s="417" t="str">
        <f t="shared" ca="1" si="13"/>
        <v/>
      </c>
      <c r="AA205" s="416" t="str">
        <f t="shared" ca="1" si="14"/>
        <v/>
      </c>
      <c r="AB205" s="418" t="str">
        <f t="shared" ca="1" si="15"/>
        <v/>
      </c>
      <c r="AC205" s="417" t="str">
        <f t="shared" ca="1" si="16"/>
        <v/>
      </c>
      <c r="AD205" s="220"/>
    </row>
    <row r="206" spans="1:30" customFormat="1" ht="14.5">
      <c r="A206" s="220"/>
      <c r="B206" s="267">
        <v>168</v>
      </c>
      <c r="C206" s="245"/>
      <c r="D206" s="246"/>
      <c r="E206" s="238"/>
      <c r="F206" s="225"/>
      <c r="G206" s="231"/>
      <c r="H206" s="377">
        <v>192</v>
      </c>
      <c r="I206" s="394"/>
      <c r="J206" s="394"/>
      <c r="K206" s="403"/>
      <c r="L206" s="403"/>
      <c r="M206" s="403"/>
      <c r="N206" s="403"/>
      <c r="O206" s="403"/>
      <c r="P206" s="403"/>
      <c r="Q206" s="403"/>
      <c r="R206" s="441"/>
      <c r="S206" s="433"/>
      <c r="T206" s="412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13"/>
      <c r="V206" s="413"/>
      <c r="W206" s="414"/>
      <c r="X206" s="415"/>
      <c r="Y206" s="416" t="str">
        <f t="shared" ca="1" si="12"/>
        <v/>
      </c>
      <c r="Z206" s="417" t="str">
        <f t="shared" ca="1" si="13"/>
        <v/>
      </c>
      <c r="AA206" s="416" t="str">
        <f t="shared" ca="1" si="14"/>
        <v/>
      </c>
      <c r="AB206" s="418" t="str">
        <f t="shared" ca="1" si="15"/>
        <v/>
      </c>
      <c r="AC206" s="417" t="str">
        <f t="shared" ca="1" si="16"/>
        <v/>
      </c>
      <c r="AD206" s="220"/>
    </row>
    <row r="207" spans="1:30" customFormat="1" ht="14.5">
      <c r="A207" s="220"/>
      <c r="B207" s="267">
        <v>169</v>
      </c>
      <c r="C207" s="245"/>
      <c r="D207" s="246"/>
      <c r="E207" s="238"/>
      <c r="F207" s="225"/>
      <c r="G207" s="231"/>
      <c r="H207" s="377">
        <v>193</v>
      </c>
      <c r="I207" s="394"/>
      <c r="J207" s="394"/>
      <c r="K207" s="403"/>
      <c r="L207" s="403"/>
      <c r="M207" s="403"/>
      <c r="N207" s="403"/>
      <c r="O207" s="403"/>
      <c r="P207" s="403"/>
      <c r="Q207" s="403"/>
      <c r="R207" s="441"/>
      <c r="S207" s="433"/>
      <c r="T207" s="412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13"/>
      <c r="V207" s="413"/>
      <c r="W207" s="414"/>
      <c r="X207" s="415"/>
      <c r="Y207" s="416" t="str">
        <f t="shared" ca="1" si="12"/>
        <v/>
      </c>
      <c r="Z207" s="417" t="str">
        <f t="shared" ca="1" si="13"/>
        <v/>
      </c>
      <c r="AA207" s="416" t="str">
        <f t="shared" ca="1" si="14"/>
        <v/>
      </c>
      <c r="AB207" s="418" t="str">
        <f t="shared" ca="1" si="15"/>
        <v/>
      </c>
      <c r="AC207" s="417" t="str">
        <f t="shared" ca="1" si="16"/>
        <v/>
      </c>
      <c r="AD207" s="220"/>
    </row>
    <row r="208" spans="1:30" customFormat="1" ht="14.5">
      <c r="A208" s="220"/>
      <c r="B208" s="267">
        <v>170</v>
      </c>
      <c r="C208" s="245"/>
      <c r="D208" s="246"/>
      <c r="E208" s="238"/>
      <c r="F208" s="225"/>
      <c r="G208" s="231"/>
      <c r="H208" s="377">
        <v>194</v>
      </c>
      <c r="I208" s="394"/>
      <c r="J208" s="394"/>
      <c r="K208" s="403"/>
      <c r="L208" s="403"/>
      <c r="M208" s="403"/>
      <c r="N208" s="403"/>
      <c r="O208" s="403"/>
      <c r="P208" s="403"/>
      <c r="Q208" s="403"/>
      <c r="R208" s="441"/>
      <c r="S208" s="433"/>
      <c r="T208" s="412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13"/>
      <c r="V208" s="413"/>
      <c r="W208" s="414"/>
      <c r="X208" s="415"/>
      <c r="Y208" s="416" t="str">
        <f t="shared" ref="Y208:Y271" ca="1" si="17">IF($U$12,IF(T208="","",$U$13*D232/$C$18),"")</f>
        <v/>
      </c>
      <c r="Z208" s="417" t="str">
        <f t="shared" ref="Z208:Z271" ca="1" si="18">IF($U$12,IF(Y208="","",Y208*($Z$10-W208)*X208),"")</f>
        <v/>
      </c>
      <c r="AA208" s="416" t="str">
        <f t="shared" ref="AA208:AA271" ca="1" si="19">IF($U$12,IF(OR(T208="",L208=""),"",L208/($C$20-$C$19)),"")</f>
        <v/>
      </c>
      <c r="AB208" s="418" t="str">
        <f t="shared" ref="AB208:AB271" ca="1" si="20">IF($U$12,IF(W208="","",W208*$AC$10),"")</f>
        <v/>
      </c>
      <c r="AC208" s="417" t="str">
        <f t="shared" ref="AC208:AC271" ca="1" si="21">IF($U$12,IF(AA208="","",AA208*(AB208-W208)*X208),"")</f>
        <v/>
      </c>
      <c r="AD208" s="220"/>
    </row>
    <row r="209" spans="1:30" customFormat="1" ht="14.5">
      <c r="A209" s="220"/>
      <c r="B209" s="267">
        <v>171</v>
      </c>
      <c r="C209" s="245"/>
      <c r="D209" s="246"/>
      <c r="E209" s="238"/>
      <c r="F209" s="225"/>
      <c r="G209" s="231"/>
      <c r="H209" s="377">
        <v>195</v>
      </c>
      <c r="I209" s="394"/>
      <c r="J209" s="394"/>
      <c r="K209" s="403"/>
      <c r="L209" s="403"/>
      <c r="M209" s="403"/>
      <c r="N209" s="403"/>
      <c r="O209" s="403"/>
      <c r="P209" s="403"/>
      <c r="Q209" s="403"/>
      <c r="R209" s="441"/>
      <c r="S209" s="433"/>
      <c r="T209" s="412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13"/>
      <c r="V209" s="413"/>
      <c r="W209" s="414"/>
      <c r="X209" s="415"/>
      <c r="Y209" s="416" t="str">
        <f t="shared" ca="1" si="17"/>
        <v/>
      </c>
      <c r="Z209" s="417" t="str">
        <f t="shared" ca="1" si="18"/>
        <v/>
      </c>
      <c r="AA209" s="416" t="str">
        <f t="shared" ca="1" si="19"/>
        <v/>
      </c>
      <c r="AB209" s="418" t="str">
        <f t="shared" ca="1" si="20"/>
        <v/>
      </c>
      <c r="AC209" s="417" t="str">
        <f t="shared" ca="1" si="21"/>
        <v/>
      </c>
      <c r="AD209" s="220"/>
    </row>
    <row r="210" spans="1:30" customFormat="1" ht="14.5">
      <c r="A210" s="220"/>
      <c r="B210" s="267">
        <v>172</v>
      </c>
      <c r="C210" s="245"/>
      <c r="D210" s="246"/>
      <c r="E210" s="238"/>
      <c r="F210" s="225"/>
      <c r="G210" s="231"/>
      <c r="H210" s="377">
        <v>196</v>
      </c>
      <c r="I210" s="394"/>
      <c r="J210" s="394"/>
      <c r="K210" s="403"/>
      <c r="L210" s="403"/>
      <c r="M210" s="403"/>
      <c r="N210" s="403"/>
      <c r="O210" s="403"/>
      <c r="P210" s="403"/>
      <c r="Q210" s="403"/>
      <c r="R210" s="441"/>
      <c r="S210" s="433"/>
      <c r="T210" s="412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13"/>
      <c r="V210" s="413"/>
      <c r="W210" s="414"/>
      <c r="X210" s="415"/>
      <c r="Y210" s="416" t="str">
        <f t="shared" ca="1" si="17"/>
        <v/>
      </c>
      <c r="Z210" s="417" t="str">
        <f t="shared" ca="1" si="18"/>
        <v/>
      </c>
      <c r="AA210" s="416" t="str">
        <f t="shared" ca="1" si="19"/>
        <v/>
      </c>
      <c r="AB210" s="418" t="str">
        <f t="shared" ca="1" si="20"/>
        <v/>
      </c>
      <c r="AC210" s="417" t="str">
        <f t="shared" ca="1" si="21"/>
        <v/>
      </c>
      <c r="AD210" s="220"/>
    </row>
    <row r="211" spans="1:30" customFormat="1" ht="14.5">
      <c r="A211" s="220"/>
      <c r="B211" s="267">
        <v>173</v>
      </c>
      <c r="C211" s="245"/>
      <c r="D211" s="246"/>
      <c r="E211" s="238"/>
      <c r="F211" s="225"/>
      <c r="G211" s="231"/>
      <c r="H211" s="377">
        <v>197</v>
      </c>
      <c r="I211" s="394"/>
      <c r="J211" s="394"/>
      <c r="K211" s="403"/>
      <c r="L211" s="403"/>
      <c r="M211" s="403"/>
      <c r="N211" s="403"/>
      <c r="O211" s="403"/>
      <c r="P211" s="403"/>
      <c r="Q211" s="403"/>
      <c r="R211" s="441"/>
      <c r="S211" s="433"/>
      <c r="T211" s="412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13"/>
      <c r="V211" s="413"/>
      <c r="W211" s="414"/>
      <c r="X211" s="415"/>
      <c r="Y211" s="416" t="str">
        <f t="shared" ca="1" si="17"/>
        <v/>
      </c>
      <c r="Z211" s="417" t="str">
        <f t="shared" ca="1" si="18"/>
        <v/>
      </c>
      <c r="AA211" s="416" t="str">
        <f t="shared" ca="1" si="19"/>
        <v/>
      </c>
      <c r="AB211" s="418" t="str">
        <f t="shared" ca="1" si="20"/>
        <v/>
      </c>
      <c r="AC211" s="417" t="str">
        <f t="shared" ca="1" si="21"/>
        <v/>
      </c>
      <c r="AD211" s="220"/>
    </row>
    <row r="212" spans="1:30" customFormat="1" ht="14.5">
      <c r="A212" s="220"/>
      <c r="B212" s="267">
        <v>174</v>
      </c>
      <c r="C212" s="245"/>
      <c r="D212" s="246"/>
      <c r="E212" s="238"/>
      <c r="F212" s="225"/>
      <c r="G212" s="231"/>
      <c r="H212" s="377">
        <v>198</v>
      </c>
      <c r="I212" s="394"/>
      <c r="J212" s="394"/>
      <c r="K212" s="403"/>
      <c r="L212" s="403"/>
      <c r="M212" s="403"/>
      <c r="N212" s="403"/>
      <c r="O212" s="403"/>
      <c r="P212" s="403"/>
      <c r="Q212" s="403"/>
      <c r="R212" s="441"/>
      <c r="S212" s="433"/>
      <c r="T212" s="412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13"/>
      <c r="V212" s="413"/>
      <c r="W212" s="414"/>
      <c r="X212" s="415"/>
      <c r="Y212" s="416" t="str">
        <f t="shared" ca="1" si="17"/>
        <v/>
      </c>
      <c r="Z212" s="417" t="str">
        <f t="shared" ca="1" si="18"/>
        <v/>
      </c>
      <c r="AA212" s="416" t="str">
        <f t="shared" ca="1" si="19"/>
        <v/>
      </c>
      <c r="AB212" s="418" t="str">
        <f t="shared" ca="1" si="20"/>
        <v/>
      </c>
      <c r="AC212" s="417" t="str">
        <f t="shared" ca="1" si="21"/>
        <v/>
      </c>
      <c r="AD212" s="220"/>
    </row>
    <row r="213" spans="1:30" customFormat="1" ht="14.5">
      <c r="A213" s="220"/>
      <c r="B213" s="267">
        <v>175</v>
      </c>
      <c r="C213" s="245"/>
      <c r="D213" s="246"/>
      <c r="E213" s="238"/>
      <c r="F213" s="225"/>
      <c r="G213" s="231"/>
      <c r="H213" s="377">
        <v>199</v>
      </c>
      <c r="I213" s="394"/>
      <c r="J213" s="394"/>
      <c r="K213" s="403"/>
      <c r="L213" s="403"/>
      <c r="M213" s="403"/>
      <c r="N213" s="403"/>
      <c r="O213" s="403"/>
      <c r="P213" s="403"/>
      <c r="Q213" s="403"/>
      <c r="R213" s="441"/>
      <c r="S213" s="433"/>
      <c r="T213" s="412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13"/>
      <c r="V213" s="413"/>
      <c r="W213" s="414"/>
      <c r="X213" s="415"/>
      <c r="Y213" s="416" t="str">
        <f t="shared" ca="1" si="17"/>
        <v/>
      </c>
      <c r="Z213" s="417" t="str">
        <f t="shared" ca="1" si="18"/>
        <v/>
      </c>
      <c r="AA213" s="416" t="str">
        <f t="shared" ca="1" si="19"/>
        <v/>
      </c>
      <c r="AB213" s="418" t="str">
        <f t="shared" ca="1" si="20"/>
        <v/>
      </c>
      <c r="AC213" s="417" t="str">
        <f t="shared" ca="1" si="21"/>
        <v/>
      </c>
      <c r="AD213" s="220"/>
    </row>
    <row r="214" spans="1:30" customFormat="1" ht="14.5">
      <c r="A214" s="220"/>
      <c r="B214" s="267">
        <v>176</v>
      </c>
      <c r="C214" s="245"/>
      <c r="D214" s="246"/>
      <c r="E214" s="238"/>
      <c r="F214" s="225"/>
      <c r="G214" s="231"/>
      <c r="H214" s="377">
        <v>200</v>
      </c>
      <c r="I214" s="394"/>
      <c r="J214" s="394"/>
      <c r="K214" s="403"/>
      <c r="L214" s="403"/>
      <c r="M214" s="403"/>
      <c r="N214" s="403"/>
      <c r="O214" s="403"/>
      <c r="P214" s="403"/>
      <c r="Q214" s="403"/>
      <c r="R214" s="441"/>
      <c r="S214" s="433"/>
      <c r="T214" s="412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13"/>
      <c r="V214" s="413"/>
      <c r="W214" s="414"/>
      <c r="X214" s="415"/>
      <c r="Y214" s="416" t="str">
        <f t="shared" ca="1" si="17"/>
        <v/>
      </c>
      <c r="Z214" s="417" t="str">
        <f t="shared" ca="1" si="18"/>
        <v/>
      </c>
      <c r="AA214" s="416" t="str">
        <f t="shared" ca="1" si="19"/>
        <v/>
      </c>
      <c r="AB214" s="418" t="str">
        <f t="shared" ca="1" si="20"/>
        <v/>
      </c>
      <c r="AC214" s="417" t="str">
        <f t="shared" ca="1" si="21"/>
        <v/>
      </c>
      <c r="AD214" s="220"/>
    </row>
    <row r="215" spans="1:30" customFormat="1" ht="14.5">
      <c r="A215" s="220"/>
      <c r="B215" s="267">
        <v>177</v>
      </c>
      <c r="C215" s="245"/>
      <c r="D215" s="246"/>
      <c r="E215" s="238"/>
      <c r="F215" s="225"/>
      <c r="G215" s="231"/>
      <c r="H215" s="377">
        <v>201</v>
      </c>
      <c r="I215" s="394"/>
      <c r="J215" s="394"/>
      <c r="K215" s="403"/>
      <c r="L215" s="403"/>
      <c r="M215" s="403"/>
      <c r="N215" s="403"/>
      <c r="O215" s="403"/>
      <c r="P215" s="403"/>
      <c r="Q215" s="403"/>
      <c r="R215" s="441"/>
      <c r="S215" s="433"/>
      <c r="T215" s="412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13"/>
      <c r="V215" s="413"/>
      <c r="W215" s="414"/>
      <c r="X215" s="415"/>
      <c r="Y215" s="416" t="str">
        <f t="shared" ca="1" si="17"/>
        <v/>
      </c>
      <c r="Z215" s="417" t="str">
        <f t="shared" ca="1" si="18"/>
        <v/>
      </c>
      <c r="AA215" s="416" t="str">
        <f t="shared" ca="1" si="19"/>
        <v/>
      </c>
      <c r="AB215" s="418" t="str">
        <f t="shared" ca="1" si="20"/>
        <v/>
      </c>
      <c r="AC215" s="417" t="str">
        <f t="shared" ca="1" si="21"/>
        <v/>
      </c>
      <c r="AD215" s="220"/>
    </row>
    <row r="216" spans="1:30" customFormat="1" ht="14.5">
      <c r="A216" s="220"/>
      <c r="B216" s="267">
        <v>178</v>
      </c>
      <c r="C216" s="245"/>
      <c r="D216" s="246"/>
      <c r="E216" s="238"/>
      <c r="F216" s="225"/>
      <c r="G216" s="231"/>
      <c r="H216" s="377">
        <v>202</v>
      </c>
      <c r="I216" s="394"/>
      <c r="J216" s="394"/>
      <c r="K216" s="403"/>
      <c r="L216" s="403"/>
      <c r="M216" s="403"/>
      <c r="N216" s="403"/>
      <c r="O216" s="403"/>
      <c r="P216" s="403"/>
      <c r="Q216" s="403"/>
      <c r="R216" s="441"/>
      <c r="S216" s="433"/>
      <c r="T216" s="412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13"/>
      <c r="V216" s="413"/>
      <c r="W216" s="414"/>
      <c r="X216" s="415"/>
      <c r="Y216" s="416" t="str">
        <f t="shared" ca="1" si="17"/>
        <v/>
      </c>
      <c r="Z216" s="417" t="str">
        <f t="shared" ca="1" si="18"/>
        <v/>
      </c>
      <c r="AA216" s="416" t="str">
        <f t="shared" ca="1" si="19"/>
        <v/>
      </c>
      <c r="AB216" s="418" t="str">
        <f t="shared" ca="1" si="20"/>
        <v/>
      </c>
      <c r="AC216" s="417" t="str">
        <f t="shared" ca="1" si="21"/>
        <v/>
      </c>
      <c r="AD216" s="220"/>
    </row>
    <row r="217" spans="1:30" customFormat="1" ht="14.5">
      <c r="A217" s="220"/>
      <c r="B217" s="267">
        <v>179</v>
      </c>
      <c r="C217" s="245"/>
      <c r="D217" s="246"/>
      <c r="E217" s="238"/>
      <c r="F217" s="225"/>
      <c r="G217" s="231"/>
      <c r="H217" s="377">
        <v>203</v>
      </c>
      <c r="I217" s="394"/>
      <c r="J217" s="394"/>
      <c r="K217" s="403"/>
      <c r="L217" s="403"/>
      <c r="M217" s="403"/>
      <c r="N217" s="403"/>
      <c r="O217" s="403"/>
      <c r="P217" s="403"/>
      <c r="Q217" s="403"/>
      <c r="R217" s="441"/>
      <c r="S217" s="433"/>
      <c r="T217" s="412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13"/>
      <c r="V217" s="413"/>
      <c r="W217" s="414"/>
      <c r="X217" s="415"/>
      <c r="Y217" s="416" t="str">
        <f t="shared" ca="1" si="17"/>
        <v/>
      </c>
      <c r="Z217" s="417" t="str">
        <f t="shared" ca="1" si="18"/>
        <v/>
      </c>
      <c r="AA217" s="416" t="str">
        <f t="shared" ca="1" si="19"/>
        <v/>
      </c>
      <c r="AB217" s="418" t="str">
        <f t="shared" ca="1" si="20"/>
        <v/>
      </c>
      <c r="AC217" s="417" t="str">
        <f t="shared" ca="1" si="21"/>
        <v/>
      </c>
      <c r="AD217" s="220"/>
    </row>
    <row r="218" spans="1:30" customFormat="1" ht="14.5">
      <c r="A218" s="220"/>
      <c r="B218" s="267">
        <v>180</v>
      </c>
      <c r="C218" s="245"/>
      <c r="D218" s="246"/>
      <c r="E218" s="238"/>
      <c r="F218" s="225"/>
      <c r="G218" s="231"/>
      <c r="H218" s="377">
        <v>204</v>
      </c>
      <c r="I218" s="394"/>
      <c r="J218" s="394"/>
      <c r="K218" s="403"/>
      <c r="L218" s="403"/>
      <c r="M218" s="403"/>
      <c r="N218" s="403"/>
      <c r="O218" s="403"/>
      <c r="P218" s="403"/>
      <c r="Q218" s="403"/>
      <c r="R218" s="441"/>
      <c r="S218" s="433"/>
      <c r="T218" s="412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13"/>
      <c r="V218" s="413"/>
      <c r="W218" s="414"/>
      <c r="X218" s="415"/>
      <c r="Y218" s="416" t="str">
        <f t="shared" ca="1" si="17"/>
        <v/>
      </c>
      <c r="Z218" s="417" t="str">
        <f t="shared" ca="1" si="18"/>
        <v/>
      </c>
      <c r="AA218" s="416" t="str">
        <f t="shared" ca="1" si="19"/>
        <v/>
      </c>
      <c r="AB218" s="418" t="str">
        <f t="shared" ca="1" si="20"/>
        <v/>
      </c>
      <c r="AC218" s="417" t="str">
        <f t="shared" ca="1" si="21"/>
        <v/>
      </c>
      <c r="AD218" s="220"/>
    </row>
    <row r="219" spans="1:30" customFormat="1" ht="14.5">
      <c r="A219" s="220"/>
      <c r="B219" s="267">
        <v>181</v>
      </c>
      <c r="C219" s="245"/>
      <c r="D219" s="246"/>
      <c r="E219" s="238"/>
      <c r="F219" s="225"/>
      <c r="G219" s="231"/>
      <c r="H219" s="377">
        <v>205</v>
      </c>
      <c r="I219" s="394"/>
      <c r="J219" s="394"/>
      <c r="K219" s="403"/>
      <c r="L219" s="403"/>
      <c r="M219" s="403"/>
      <c r="N219" s="403"/>
      <c r="O219" s="403"/>
      <c r="P219" s="403"/>
      <c r="Q219" s="403"/>
      <c r="R219" s="441"/>
      <c r="S219" s="433"/>
      <c r="T219" s="412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13"/>
      <c r="V219" s="413"/>
      <c r="W219" s="414"/>
      <c r="X219" s="415"/>
      <c r="Y219" s="416" t="str">
        <f t="shared" ca="1" si="17"/>
        <v/>
      </c>
      <c r="Z219" s="417" t="str">
        <f t="shared" ca="1" si="18"/>
        <v/>
      </c>
      <c r="AA219" s="416" t="str">
        <f t="shared" ca="1" si="19"/>
        <v/>
      </c>
      <c r="AB219" s="418" t="str">
        <f t="shared" ca="1" si="20"/>
        <v/>
      </c>
      <c r="AC219" s="417" t="str">
        <f t="shared" ca="1" si="21"/>
        <v/>
      </c>
      <c r="AD219" s="220"/>
    </row>
    <row r="220" spans="1:30" customFormat="1" ht="14.5">
      <c r="A220" s="220"/>
      <c r="B220" s="267">
        <v>182</v>
      </c>
      <c r="C220" s="245"/>
      <c r="D220" s="246"/>
      <c r="E220" s="238"/>
      <c r="F220" s="225"/>
      <c r="G220" s="231"/>
      <c r="H220" s="377">
        <v>206</v>
      </c>
      <c r="I220" s="394"/>
      <c r="J220" s="394"/>
      <c r="K220" s="403"/>
      <c r="L220" s="403"/>
      <c r="M220" s="403"/>
      <c r="N220" s="403"/>
      <c r="O220" s="403"/>
      <c r="P220" s="403"/>
      <c r="Q220" s="403"/>
      <c r="R220" s="441"/>
      <c r="S220" s="433"/>
      <c r="T220" s="412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13"/>
      <c r="V220" s="413"/>
      <c r="W220" s="414"/>
      <c r="X220" s="415"/>
      <c r="Y220" s="416" t="str">
        <f t="shared" ca="1" si="17"/>
        <v/>
      </c>
      <c r="Z220" s="417" t="str">
        <f t="shared" ca="1" si="18"/>
        <v/>
      </c>
      <c r="AA220" s="416" t="str">
        <f t="shared" ca="1" si="19"/>
        <v/>
      </c>
      <c r="AB220" s="418" t="str">
        <f t="shared" ca="1" si="20"/>
        <v/>
      </c>
      <c r="AC220" s="417" t="str">
        <f t="shared" ca="1" si="21"/>
        <v/>
      </c>
      <c r="AD220" s="220"/>
    </row>
    <row r="221" spans="1:30" customFormat="1" ht="14.5">
      <c r="A221" s="220"/>
      <c r="B221" s="267">
        <v>183</v>
      </c>
      <c r="C221" s="245"/>
      <c r="D221" s="246"/>
      <c r="E221" s="238"/>
      <c r="F221" s="225"/>
      <c r="G221" s="231"/>
      <c r="H221" s="377">
        <v>207</v>
      </c>
      <c r="I221" s="394"/>
      <c r="J221" s="394"/>
      <c r="K221" s="403"/>
      <c r="L221" s="403"/>
      <c r="M221" s="403"/>
      <c r="N221" s="403"/>
      <c r="O221" s="403"/>
      <c r="P221" s="403"/>
      <c r="Q221" s="403"/>
      <c r="R221" s="441"/>
      <c r="S221" s="433"/>
      <c r="T221" s="412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13"/>
      <c r="V221" s="413"/>
      <c r="W221" s="414"/>
      <c r="X221" s="415"/>
      <c r="Y221" s="416" t="str">
        <f t="shared" ca="1" si="17"/>
        <v/>
      </c>
      <c r="Z221" s="417" t="str">
        <f t="shared" ca="1" si="18"/>
        <v/>
      </c>
      <c r="AA221" s="416" t="str">
        <f t="shared" ca="1" si="19"/>
        <v/>
      </c>
      <c r="AB221" s="418" t="str">
        <f t="shared" ca="1" si="20"/>
        <v/>
      </c>
      <c r="AC221" s="417" t="str">
        <f t="shared" ca="1" si="21"/>
        <v/>
      </c>
      <c r="AD221" s="220"/>
    </row>
    <row r="222" spans="1:30" customFormat="1" ht="14.5">
      <c r="A222" s="220"/>
      <c r="B222" s="267">
        <v>184</v>
      </c>
      <c r="C222" s="245"/>
      <c r="D222" s="246"/>
      <c r="E222" s="238"/>
      <c r="F222" s="225"/>
      <c r="G222" s="231"/>
      <c r="H222" s="377">
        <v>208</v>
      </c>
      <c r="I222" s="394"/>
      <c r="J222" s="394"/>
      <c r="K222" s="403"/>
      <c r="L222" s="403"/>
      <c r="M222" s="403"/>
      <c r="N222" s="403"/>
      <c r="O222" s="403"/>
      <c r="P222" s="403"/>
      <c r="Q222" s="403"/>
      <c r="R222" s="441"/>
      <c r="S222" s="433"/>
      <c r="T222" s="412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13"/>
      <c r="V222" s="413"/>
      <c r="W222" s="414"/>
      <c r="X222" s="415"/>
      <c r="Y222" s="416" t="str">
        <f t="shared" ca="1" si="17"/>
        <v/>
      </c>
      <c r="Z222" s="417" t="str">
        <f t="shared" ca="1" si="18"/>
        <v/>
      </c>
      <c r="AA222" s="416" t="str">
        <f t="shared" ca="1" si="19"/>
        <v/>
      </c>
      <c r="AB222" s="418" t="str">
        <f t="shared" ca="1" si="20"/>
        <v/>
      </c>
      <c r="AC222" s="417" t="str">
        <f t="shared" ca="1" si="21"/>
        <v/>
      </c>
      <c r="AD222" s="220"/>
    </row>
    <row r="223" spans="1:30" customFormat="1" ht="14.5">
      <c r="A223" s="220"/>
      <c r="B223" s="267">
        <v>185</v>
      </c>
      <c r="C223" s="245"/>
      <c r="D223" s="246"/>
      <c r="E223" s="238"/>
      <c r="F223" s="225"/>
      <c r="G223" s="231"/>
      <c r="H223" s="377">
        <v>209</v>
      </c>
      <c r="I223" s="394"/>
      <c r="J223" s="394"/>
      <c r="K223" s="403"/>
      <c r="L223" s="403"/>
      <c r="M223" s="403"/>
      <c r="N223" s="403"/>
      <c r="O223" s="403"/>
      <c r="P223" s="403"/>
      <c r="Q223" s="403"/>
      <c r="R223" s="441"/>
      <c r="S223" s="433"/>
      <c r="T223" s="412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13"/>
      <c r="V223" s="413"/>
      <c r="W223" s="414"/>
      <c r="X223" s="415"/>
      <c r="Y223" s="416" t="str">
        <f t="shared" ca="1" si="17"/>
        <v/>
      </c>
      <c r="Z223" s="417" t="str">
        <f t="shared" ca="1" si="18"/>
        <v/>
      </c>
      <c r="AA223" s="416" t="str">
        <f t="shared" ca="1" si="19"/>
        <v/>
      </c>
      <c r="AB223" s="418" t="str">
        <f t="shared" ca="1" si="20"/>
        <v/>
      </c>
      <c r="AC223" s="417" t="str">
        <f t="shared" ca="1" si="21"/>
        <v/>
      </c>
      <c r="AD223" s="220"/>
    </row>
    <row r="224" spans="1:30" customFormat="1" ht="14.5">
      <c r="A224" s="220"/>
      <c r="B224" s="267">
        <v>186</v>
      </c>
      <c r="C224" s="245"/>
      <c r="D224" s="246"/>
      <c r="E224" s="238"/>
      <c r="F224" s="225"/>
      <c r="G224" s="231"/>
      <c r="H224" s="377">
        <v>210</v>
      </c>
      <c r="I224" s="394"/>
      <c r="J224" s="394"/>
      <c r="K224" s="403"/>
      <c r="L224" s="403"/>
      <c r="M224" s="403"/>
      <c r="N224" s="403"/>
      <c r="O224" s="403"/>
      <c r="P224" s="403"/>
      <c r="Q224" s="403"/>
      <c r="R224" s="441"/>
      <c r="S224" s="433"/>
      <c r="T224" s="412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13"/>
      <c r="V224" s="413"/>
      <c r="W224" s="414"/>
      <c r="X224" s="415"/>
      <c r="Y224" s="416" t="str">
        <f t="shared" ca="1" si="17"/>
        <v/>
      </c>
      <c r="Z224" s="417" t="str">
        <f t="shared" ca="1" si="18"/>
        <v/>
      </c>
      <c r="AA224" s="416" t="str">
        <f t="shared" ca="1" si="19"/>
        <v/>
      </c>
      <c r="AB224" s="418" t="str">
        <f t="shared" ca="1" si="20"/>
        <v/>
      </c>
      <c r="AC224" s="417" t="str">
        <f t="shared" ca="1" si="21"/>
        <v/>
      </c>
      <c r="AD224" s="220"/>
    </row>
    <row r="225" spans="1:30" customFormat="1" ht="14.5">
      <c r="A225" s="220"/>
      <c r="B225" s="267">
        <v>187</v>
      </c>
      <c r="C225" s="245"/>
      <c r="D225" s="246"/>
      <c r="E225" s="238"/>
      <c r="F225" s="225"/>
      <c r="G225" s="231"/>
      <c r="H225" s="377">
        <v>211</v>
      </c>
      <c r="I225" s="394"/>
      <c r="J225" s="394"/>
      <c r="K225" s="403"/>
      <c r="L225" s="403"/>
      <c r="M225" s="403"/>
      <c r="N225" s="403"/>
      <c r="O225" s="403"/>
      <c r="P225" s="403"/>
      <c r="Q225" s="403"/>
      <c r="R225" s="441"/>
      <c r="S225" s="433"/>
      <c r="T225" s="412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13"/>
      <c r="V225" s="413"/>
      <c r="W225" s="414"/>
      <c r="X225" s="415"/>
      <c r="Y225" s="416" t="str">
        <f t="shared" ca="1" si="17"/>
        <v/>
      </c>
      <c r="Z225" s="417" t="str">
        <f t="shared" ca="1" si="18"/>
        <v/>
      </c>
      <c r="AA225" s="416" t="str">
        <f t="shared" ca="1" si="19"/>
        <v/>
      </c>
      <c r="AB225" s="418" t="str">
        <f t="shared" ca="1" si="20"/>
        <v/>
      </c>
      <c r="AC225" s="417" t="str">
        <f t="shared" ca="1" si="21"/>
        <v/>
      </c>
      <c r="AD225" s="220"/>
    </row>
    <row r="226" spans="1:30" customFormat="1" ht="14.5">
      <c r="A226" s="220"/>
      <c r="B226" s="267">
        <v>188</v>
      </c>
      <c r="C226" s="245"/>
      <c r="D226" s="246"/>
      <c r="E226" s="238"/>
      <c r="F226" s="225"/>
      <c r="G226" s="231"/>
      <c r="H226" s="377">
        <v>212</v>
      </c>
      <c r="I226" s="394"/>
      <c r="J226" s="394"/>
      <c r="K226" s="403"/>
      <c r="L226" s="403"/>
      <c r="M226" s="403"/>
      <c r="N226" s="403"/>
      <c r="O226" s="403"/>
      <c r="P226" s="403"/>
      <c r="Q226" s="403"/>
      <c r="R226" s="441"/>
      <c r="S226" s="433"/>
      <c r="T226" s="412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13"/>
      <c r="V226" s="413"/>
      <c r="W226" s="414"/>
      <c r="X226" s="415"/>
      <c r="Y226" s="416" t="str">
        <f t="shared" ca="1" si="17"/>
        <v/>
      </c>
      <c r="Z226" s="417" t="str">
        <f t="shared" ca="1" si="18"/>
        <v/>
      </c>
      <c r="AA226" s="416" t="str">
        <f t="shared" ca="1" si="19"/>
        <v/>
      </c>
      <c r="AB226" s="418" t="str">
        <f t="shared" ca="1" si="20"/>
        <v/>
      </c>
      <c r="AC226" s="417" t="str">
        <f t="shared" ca="1" si="21"/>
        <v/>
      </c>
      <c r="AD226" s="220"/>
    </row>
    <row r="227" spans="1:30" customFormat="1" ht="14.5">
      <c r="A227" s="220"/>
      <c r="B227" s="267">
        <v>189</v>
      </c>
      <c r="C227" s="245"/>
      <c r="D227" s="246"/>
      <c r="E227" s="238"/>
      <c r="F227" s="225"/>
      <c r="G227" s="231"/>
      <c r="H227" s="377">
        <v>213</v>
      </c>
      <c r="I227" s="394"/>
      <c r="J227" s="394"/>
      <c r="K227" s="403"/>
      <c r="L227" s="403"/>
      <c r="M227" s="403"/>
      <c r="N227" s="403"/>
      <c r="O227" s="403"/>
      <c r="P227" s="403"/>
      <c r="Q227" s="403"/>
      <c r="R227" s="441"/>
      <c r="S227" s="433"/>
      <c r="T227" s="412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13"/>
      <c r="V227" s="413"/>
      <c r="W227" s="414"/>
      <c r="X227" s="415"/>
      <c r="Y227" s="416" t="str">
        <f t="shared" ca="1" si="17"/>
        <v/>
      </c>
      <c r="Z227" s="417" t="str">
        <f t="shared" ca="1" si="18"/>
        <v/>
      </c>
      <c r="AA227" s="416" t="str">
        <f t="shared" ca="1" si="19"/>
        <v/>
      </c>
      <c r="AB227" s="418" t="str">
        <f t="shared" ca="1" si="20"/>
        <v/>
      </c>
      <c r="AC227" s="417" t="str">
        <f t="shared" ca="1" si="21"/>
        <v/>
      </c>
      <c r="AD227" s="220"/>
    </row>
    <row r="228" spans="1:30" customFormat="1" ht="14.5">
      <c r="A228" s="220"/>
      <c r="B228" s="267">
        <v>190</v>
      </c>
      <c r="C228" s="245"/>
      <c r="D228" s="246"/>
      <c r="E228" s="238"/>
      <c r="F228" s="225"/>
      <c r="G228" s="231"/>
      <c r="H228" s="377">
        <v>214</v>
      </c>
      <c r="I228" s="394"/>
      <c r="J228" s="394"/>
      <c r="K228" s="403"/>
      <c r="L228" s="403"/>
      <c r="M228" s="403"/>
      <c r="N228" s="403"/>
      <c r="O228" s="403"/>
      <c r="P228" s="403"/>
      <c r="Q228" s="403"/>
      <c r="R228" s="441"/>
      <c r="S228" s="433"/>
      <c r="T228" s="412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13"/>
      <c r="V228" s="413"/>
      <c r="W228" s="414"/>
      <c r="X228" s="415"/>
      <c r="Y228" s="416" t="str">
        <f t="shared" ca="1" si="17"/>
        <v/>
      </c>
      <c r="Z228" s="417" t="str">
        <f t="shared" ca="1" si="18"/>
        <v/>
      </c>
      <c r="AA228" s="416" t="str">
        <f t="shared" ca="1" si="19"/>
        <v/>
      </c>
      <c r="AB228" s="418" t="str">
        <f t="shared" ca="1" si="20"/>
        <v/>
      </c>
      <c r="AC228" s="417" t="str">
        <f t="shared" ca="1" si="21"/>
        <v/>
      </c>
      <c r="AD228" s="220"/>
    </row>
    <row r="229" spans="1:30" customFormat="1" ht="14.5">
      <c r="A229" s="220"/>
      <c r="B229" s="267">
        <v>191</v>
      </c>
      <c r="C229" s="245"/>
      <c r="D229" s="246"/>
      <c r="E229" s="238"/>
      <c r="F229" s="225"/>
      <c r="G229" s="231"/>
      <c r="H229" s="377">
        <v>215</v>
      </c>
      <c r="I229" s="394"/>
      <c r="J229" s="394"/>
      <c r="K229" s="403"/>
      <c r="L229" s="403"/>
      <c r="M229" s="403"/>
      <c r="N229" s="403"/>
      <c r="O229" s="403"/>
      <c r="P229" s="403"/>
      <c r="Q229" s="403"/>
      <c r="R229" s="441"/>
      <c r="S229" s="433"/>
      <c r="T229" s="412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13"/>
      <c r="V229" s="413"/>
      <c r="W229" s="414"/>
      <c r="X229" s="415"/>
      <c r="Y229" s="416" t="str">
        <f t="shared" ca="1" si="17"/>
        <v/>
      </c>
      <c r="Z229" s="417" t="str">
        <f t="shared" ca="1" si="18"/>
        <v/>
      </c>
      <c r="AA229" s="416" t="str">
        <f t="shared" ca="1" si="19"/>
        <v/>
      </c>
      <c r="AB229" s="418" t="str">
        <f t="shared" ca="1" si="20"/>
        <v/>
      </c>
      <c r="AC229" s="417" t="str">
        <f t="shared" ca="1" si="21"/>
        <v/>
      </c>
      <c r="AD229" s="220"/>
    </row>
    <row r="230" spans="1:30" customFormat="1" ht="14.5">
      <c r="A230" s="220"/>
      <c r="B230" s="267">
        <v>192</v>
      </c>
      <c r="C230" s="245"/>
      <c r="D230" s="246"/>
      <c r="E230" s="238"/>
      <c r="F230" s="225"/>
      <c r="G230" s="231"/>
      <c r="H230" s="377">
        <v>216</v>
      </c>
      <c r="I230" s="394"/>
      <c r="J230" s="394"/>
      <c r="K230" s="403"/>
      <c r="L230" s="403"/>
      <c r="M230" s="403"/>
      <c r="N230" s="403"/>
      <c r="O230" s="403"/>
      <c r="P230" s="403"/>
      <c r="Q230" s="403"/>
      <c r="R230" s="441"/>
      <c r="S230" s="433"/>
      <c r="T230" s="412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13"/>
      <c r="V230" s="413"/>
      <c r="W230" s="414"/>
      <c r="X230" s="415"/>
      <c r="Y230" s="416" t="str">
        <f t="shared" ca="1" si="17"/>
        <v/>
      </c>
      <c r="Z230" s="417" t="str">
        <f t="shared" ca="1" si="18"/>
        <v/>
      </c>
      <c r="AA230" s="416" t="str">
        <f t="shared" ca="1" si="19"/>
        <v/>
      </c>
      <c r="AB230" s="418" t="str">
        <f t="shared" ca="1" si="20"/>
        <v/>
      </c>
      <c r="AC230" s="417" t="str">
        <f t="shared" ca="1" si="21"/>
        <v/>
      </c>
      <c r="AD230" s="220"/>
    </row>
    <row r="231" spans="1:30" customFormat="1" ht="14.5">
      <c r="A231" s="220"/>
      <c r="B231" s="267">
        <v>193</v>
      </c>
      <c r="C231" s="245"/>
      <c r="D231" s="246"/>
      <c r="E231" s="238"/>
      <c r="F231" s="225"/>
      <c r="G231" s="231"/>
      <c r="H231" s="377">
        <v>217</v>
      </c>
      <c r="I231" s="394"/>
      <c r="J231" s="394"/>
      <c r="K231" s="403"/>
      <c r="L231" s="403"/>
      <c r="M231" s="403"/>
      <c r="N231" s="403"/>
      <c r="O231" s="403"/>
      <c r="P231" s="403"/>
      <c r="Q231" s="403"/>
      <c r="R231" s="441"/>
      <c r="S231" s="433"/>
      <c r="T231" s="412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13"/>
      <c r="V231" s="413"/>
      <c r="W231" s="414"/>
      <c r="X231" s="415"/>
      <c r="Y231" s="416" t="str">
        <f t="shared" ca="1" si="17"/>
        <v/>
      </c>
      <c r="Z231" s="417" t="str">
        <f t="shared" ca="1" si="18"/>
        <v/>
      </c>
      <c r="AA231" s="416" t="str">
        <f t="shared" ca="1" si="19"/>
        <v/>
      </c>
      <c r="AB231" s="418" t="str">
        <f t="shared" ca="1" si="20"/>
        <v/>
      </c>
      <c r="AC231" s="417" t="str">
        <f t="shared" ca="1" si="21"/>
        <v/>
      </c>
      <c r="AD231" s="220"/>
    </row>
    <row r="232" spans="1:30" customFormat="1" ht="14.5">
      <c r="A232" s="220"/>
      <c r="B232" s="267">
        <v>194</v>
      </c>
      <c r="C232" s="245"/>
      <c r="D232" s="246"/>
      <c r="E232" s="238"/>
      <c r="F232" s="225"/>
      <c r="G232" s="231"/>
      <c r="H232" s="377">
        <v>218</v>
      </c>
      <c r="I232" s="394"/>
      <c r="J232" s="394"/>
      <c r="K232" s="403"/>
      <c r="L232" s="403"/>
      <c r="M232" s="403"/>
      <c r="N232" s="403"/>
      <c r="O232" s="403"/>
      <c r="P232" s="403"/>
      <c r="Q232" s="403"/>
      <c r="R232" s="441"/>
      <c r="S232" s="433"/>
      <c r="T232" s="412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13"/>
      <c r="V232" s="413"/>
      <c r="W232" s="414"/>
      <c r="X232" s="415"/>
      <c r="Y232" s="416" t="str">
        <f t="shared" ca="1" si="17"/>
        <v/>
      </c>
      <c r="Z232" s="417" t="str">
        <f t="shared" ca="1" si="18"/>
        <v/>
      </c>
      <c r="AA232" s="416" t="str">
        <f t="shared" ca="1" si="19"/>
        <v/>
      </c>
      <c r="AB232" s="418" t="str">
        <f t="shared" ca="1" si="20"/>
        <v/>
      </c>
      <c r="AC232" s="417" t="str">
        <f t="shared" ca="1" si="21"/>
        <v/>
      </c>
      <c r="AD232" s="220"/>
    </row>
    <row r="233" spans="1:30" customFormat="1" ht="14.5">
      <c r="A233" s="220"/>
      <c r="B233" s="267">
        <v>195</v>
      </c>
      <c r="C233" s="245"/>
      <c r="D233" s="246"/>
      <c r="E233" s="238"/>
      <c r="F233" s="225"/>
      <c r="G233" s="231"/>
      <c r="H233" s="377">
        <v>219</v>
      </c>
      <c r="I233" s="394"/>
      <c r="J233" s="394"/>
      <c r="K233" s="403"/>
      <c r="L233" s="403"/>
      <c r="M233" s="403"/>
      <c r="N233" s="403"/>
      <c r="O233" s="403"/>
      <c r="P233" s="403"/>
      <c r="Q233" s="403"/>
      <c r="R233" s="441"/>
      <c r="S233" s="433"/>
      <c r="T233" s="412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13"/>
      <c r="V233" s="413"/>
      <c r="W233" s="414"/>
      <c r="X233" s="415"/>
      <c r="Y233" s="416" t="str">
        <f t="shared" ca="1" si="17"/>
        <v/>
      </c>
      <c r="Z233" s="417" t="str">
        <f t="shared" ca="1" si="18"/>
        <v/>
      </c>
      <c r="AA233" s="416" t="str">
        <f t="shared" ca="1" si="19"/>
        <v/>
      </c>
      <c r="AB233" s="418" t="str">
        <f t="shared" ca="1" si="20"/>
        <v/>
      </c>
      <c r="AC233" s="417" t="str">
        <f t="shared" ca="1" si="21"/>
        <v/>
      </c>
      <c r="AD233" s="220"/>
    </row>
    <row r="234" spans="1:30" customFormat="1" ht="14.5">
      <c r="A234" s="220"/>
      <c r="B234" s="267">
        <v>196</v>
      </c>
      <c r="C234" s="245"/>
      <c r="D234" s="246"/>
      <c r="E234" s="238"/>
      <c r="F234" s="225"/>
      <c r="G234" s="231"/>
      <c r="H234" s="377">
        <v>220</v>
      </c>
      <c r="I234" s="394"/>
      <c r="J234" s="394"/>
      <c r="K234" s="403"/>
      <c r="L234" s="403"/>
      <c r="M234" s="403"/>
      <c r="N234" s="403"/>
      <c r="O234" s="403"/>
      <c r="P234" s="403"/>
      <c r="Q234" s="403"/>
      <c r="R234" s="441"/>
      <c r="S234" s="433"/>
      <c r="T234" s="412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13"/>
      <c r="V234" s="413"/>
      <c r="W234" s="414"/>
      <c r="X234" s="415"/>
      <c r="Y234" s="416" t="str">
        <f t="shared" ca="1" si="17"/>
        <v/>
      </c>
      <c r="Z234" s="417" t="str">
        <f t="shared" ca="1" si="18"/>
        <v/>
      </c>
      <c r="AA234" s="416" t="str">
        <f t="shared" ca="1" si="19"/>
        <v/>
      </c>
      <c r="AB234" s="418" t="str">
        <f t="shared" ca="1" si="20"/>
        <v/>
      </c>
      <c r="AC234" s="417" t="str">
        <f t="shared" ca="1" si="21"/>
        <v/>
      </c>
      <c r="AD234" s="220"/>
    </row>
    <row r="235" spans="1:30" customFormat="1" ht="14.5">
      <c r="A235" s="220"/>
      <c r="B235" s="267">
        <v>197</v>
      </c>
      <c r="C235" s="245"/>
      <c r="D235" s="246"/>
      <c r="E235" s="238"/>
      <c r="F235" s="225"/>
      <c r="G235" s="231"/>
      <c r="H235" s="377">
        <v>221</v>
      </c>
      <c r="I235" s="394"/>
      <c r="J235" s="394"/>
      <c r="K235" s="403"/>
      <c r="L235" s="403"/>
      <c r="M235" s="403"/>
      <c r="N235" s="403"/>
      <c r="O235" s="403"/>
      <c r="P235" s="403"/>
      <c r="Q235" s="403"/>
      <c r="R235" s="441"/>
      <c r="S235" s="433"/>
      <c r="T235" s="412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13"/>
      <c r="V235" s="413"/>
      <c r="W235" s="414"/>
      <c r="X235" s="415"/>
      <c r="Y235" s="416" t="str">
        <f t="shared" ca="1" si="17"/>
        <v/>
      </c>
      <c r="Z235" s="417" t="str">
        <f t="shared" ca="1" si="18"/>
        <v/>
      </c>
      <c r="AA235" s="416" t="str">
        <f t="shared" ca="1" si="19"/>
        <v/>
      </c>
      <c r="AB235" s="418" t="str">
        <f t="shared" ca="1" si="20"/>
        <v/>
      </c>
      <c r="AC235" s="417" t="str">
        <f t="shared" ca="1" si="21"/>
        <v/>
      </c>
      <c r="AD235" s="220"/>
    </row>
    <row r="236" spans="1:30" customFormat="1" ht="14.5">
      <c r="A236" s="220"/>
      <c r="B236" s="267">
        <v>198</v>
      </c>
      <c r="C236" s="245"/>
      <c r="D236" s="246"/>
      <c r="E236" s="238"/>
      <c r="F236" s="225"/>
      <c r="G236" s="231"/>
      <c r="H236" s="377">
        <v>222</v>
      </c>
      <c r="I236" s="394"/>
      <c r="J236" s="394"/>
      <c r="K236" s="403"/>
      <c r="L236" s="403"/>
      <c r="M236" s="403"/>
      <c r="N236" s="403"/>
      <c r="O236" s="403"/>
      <c r="P236" s="403"/>
      <c r="Q236" s="403"/>
      <c r="R236" s="441"/>
      <c r="S236" s="433"/>
      <c r="T236" s="412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13"/>
      <c r="V236" s="413"/>
      <c r="W236" s="414"/>
      <c r="X236" s="415"/>
      <c r="Y236" s="416" t="str">
        <f t="shared" ca="1" si="17"/>
        <v/>
      </c>
      <c r="Z236" s="417" t="str">
        <f t="shared" ca="1" si="18"/>
        <v/>
      </c>
      <c r="AA236" s="416" t="str">
        <f t="shared" ca="1" si="19"/>
        <v/>
      </c>
      <c r="AB236" s="418" t="str">
        <f t="shared" ca="1" si="20"/>
        <v/>
      </c>
      <c r="AC236" s="417" t="str">
        <f t="shared" ca="1" si="21"/>
        <v/>
      </c>
      <c r="AD236" s="220"/>
    </row>
    <row r="237" spans="1:30" customFormat="1" ht="14.5">
      <c r="A237" s="220"/>
      <c r="B237" s="267">
        <v>199</v>
      </c>
      <c r="C237" s="245"/>
      <c r="D237" s="246"/>
      <c r="E237" s="238"/>
      <c r="F237" s="225"/>
      <c r="G237" s="231"/>
      <c r="H237" s="377">
        <v>223</v>
      </c>
      <c r="I237" s="394"/>
      <c r="J237" s="394"/>
      <c r="K237" s="403"/>
      <c r="L237" s="403"/>
      <c r="M237" s="403"/>
      <c r="N237" s="403"/>
      <c r="O237" s="403"/>
      <c r="P237" s="403"/>
      <c r="Q237" s="403"/>
      <c r="R237" s="441"/>
      <c r="S237" s="433"/>
      <c r="T237" s="412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13"/>
      <c r="V237" s="413"/>
      <c r="W237" s="414"/>
      <c r="X237" s="415"/>
      <c r="Y237" s="416" t="str">
        <f t="shared" ca="1" si="17"/>
        <v/>
      </c>
      <c r="Z237" s="417" t="str">
        <f t="shared" ca="1" si="18"/>
        <v/>
      </c>
      <c r="AA237" s="416" t="str">
        <f t="shared" ca="1" si="19"/>
        <v/>
      </c>
      <c r="AB237" s="418" t="str">
        <f t="shared" ca="1" si="20"/>
        <v/>
      </c>
      <c r="AC237" s="417" t="str">
        <f t="shared" ca="1" si="21"/>
        <v/>
      </c>
      <c r="AD237" s="220"/>
    </row>
    <row r="238" spans="1:30" customFormat="1" ht="14.5">
      <c r="A238" s="220"/>
      <c r="B238" s="267">
        <v>200</v>
      </c>
      <c r="C238" s="245"/>
      <c r="D238" s="246"/>
      <c r="E238" s="238"/>
      <c r="F238" s="225"/>
      <c r="G238" s="231"/>
      <c r="H238" s="377">
        <v>224</v>
      </c>
      <c r="I238" s="394"/>
      <c r="J238" s="394"/>
      <c r="K238" s="403"/>
      <c r="L238" s="403"/>
      <c r="M238" s="403"/>
      <c r="N238" s="403"/>
      <c r="O238" s="403"/>
      <c r="P238" s="403"/>
      <c r="Q238" s="403"/>
      <c r="R238" s="441"/>
      <c r="S238" s="433"/>
      <c r="T238" s="412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13"/>
      <c r="V238" s="413"/>
      <c r="W238" s="414"/>
      <c r="X238" s="415"/>
      <c r="Y238" s="416" t="str">
        <f t="shared" ca="1" si="17"/>
        <v/>
      </c>
      <c r="Z238" s="417" t="str">
        <f t="shared" ca="1" si="18"/>
        <v/>
      </c>
      <c r="AA238" s="416" t="str">
        <f t="shared" ca="1" si="19"/>
        <v/>
      </c>
      <c r="AB238" s="418" t="str">
        <f t="shared" ca="1" si="20"/>
        <v/>
      </c>
      <c r="AC238" s="417" t="str">
        <f t="shared" ca="1" si="21"/>
        <v/>
      </c>
      <c r="AD238" s="220"/>
    </row>
    <row r="239" spans="1:30" customFormat="1" ht="14.5">
      <c r="A239" s="220"/>
      <c r="B239" s="267">
        <v>201</v>
      </c>
      <c r="C239" s="245"/>
      <c r="D239" s="246"/>
      <c r="E239" s="238"/>
      <c r="F239" s="225"/>
      <c r="G239" s="231"/>
      <c r="H239" s="377">
        <v>225</v>
      </c>
      <c r="I239" s="394"/>
      <c r="J239" s="394"/>
      <c r="K239" s="403"/>
      <c r="L239" s="403"/>
      <c r="M239" s="403"/>
      <c r="N239" s="403"/>
      <c r="O239" s="403"/>
      <c r="P239" s="403"/>
      <c r="Q239" s="403"/>
      <c r="R239" s="441"/>
      <c r="S239" s="433"/>
      <c r="T239" s="412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13"/>
      <c r="V239" s="413"/>
      <c r="W239" s="414"/>
      <c r="X239" s="415"/>
      <c r="Y239" s="416" t="str">
        <f t="shared" ca="1" si="17"/>
        <v/>
      </c>
      <c r="Z239" s="417" t="str">
        <f t="shared" ca="1" si="18"/>
        <v/>
      </c>
      <c r="AA239" s="416" t="str">
        <f t="shared" ca="1" si="19"/>
        <v/>
      </c>
      <c r="AB239" s="418" t="str">
        <f t="shared" ca="1" si="20"/>
        <v/>
      </c>
      <c r="AC239" s="417" t="str">
        <f t="shared" ca="1" si="21"/>
        <v/>
      </c>
      <c r="AD239" s="220"/>
    </row>
    <row r="240" spans="1:30" customFormat="1" ht="14.5">
      <c r="A240" s="220"/>
      <c r="B240" s="267">
        <v>202</v>
      </c>
      <c r="C240" s="245"/>
      <c r="D240" s="246"/>
      <c r="E240" s="238"/>
      <c r="F240" s="225"/>
      <c r="G240" s="231"/>
      <c r="H240" s="377">
        <v>226</v>
      </c>
      <c r="I240" s="394"/>
      <c r="J240" s="394"/>
      <c r="K240" s="403"/>
      <c r="L240" s="403"/>
      <c r="M240" s="403"/>
      <c r="N240" s="403"/>
      <c r="O240" s="403"/>
      <c r="P240" s="403"/>
      <c r="Q240" s="403"/>
      <c r="R240" s="441"/>
      <c r="S240" s="433"/>
      <c r="T240" s="412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13"/>
      <c r="V240" s="413"/>
      <c r="W240" s="414"/>
      <c r="X240" s="415"/>
      <c r="Y240" s="416" t="str">
        <f t="shared" ca="1" si="17"/>
        <v/>
      </c>
      <c r="Z240" s="417" t="str">
        <f t="shared" ca="1" si="18"/>
        <v/>
      </c>
      <c r="AA240" s="416" t="str">
        <f t="shared" ca="1" si="19"/>
        <v/>
      </c>
      <c r="AB240" s="418" t="str">
        <f t="shared" ca="1" si="20"/>
        <v/>
      </c>
      <c r="AC240" s="417" t="str">
        <f t="shared" ca="1" si="21"/>
        <v/>
      </c>
      <c r="AD240" s="220"/>
    </row>
    <row r="241" spans="1:30" customFormat="1" ht="14.5">
      <c r="A241" s="220"/>
      <c r="B241" s="267">
        <v>203</v>
      </c>
      <c r="C241" s="245"/>
      <c r="D241" s="246"/>
      <c r="E241" s="238"/>
      <c r="F241" s="225"/>
      <c r="G241" s="231"/>
      <c r="H241" s="377">
        <v>227</v>
      </c>
      <c r="I241" s="394"/>
      <c r="J241" s="394"/>
      <c r="K241" s="403"/>
      <c r="L241" s="403"/>
      <c r="M241" s="403"/>
      <c r="N241" s="403"/>
      <c r="O241" s="403"/>
      <c r="P241" s="403"/>
      <c r="Q241" s="403"/>
      <c r="R241" s="441"/>
      <c r="S241" s="433"/>
      <c r="T241" s="412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13"/>
      <c r="V241" s="413"/>
      <c r="W241" s="414"/>
      <c r="X241" s="415"/>
      <c r="Y241" s="416" t="str">
        <f t="shared" ca="1" si="17"/>
        <v/>
      </c>
      <c r="Z241" s="417" t="str">
        <f t="shared" ca="1" si="18"/>
        <v/>
      </c>
      <c r="AA241" s="416" t="str">
        <f t="shared" ca="1" si="19"/>
        <v/>
      </c>
      <c r="AB241" s="418" t="str">
        <f t="shared" ca="1" si="20"/>
        <v/>
      </c>
      <c r="AC241" s="417" t="str">
        <f t="shared" ca="1" si="21"/>
        <v/>
      </c>
      <c r="AD241" s="220"/>
    </row>
    <row r="242" spans="1:30" customFormat="1" ht="14.5">
      <c r="A242" s="220"/>
      <c r="B242" s="267">
        <v>204</v>
      </c>
      <c r="C242" s="245"/>
      <c r="D242" s="246"/>
      <c r="E242" s="238"/>
      <c r="F242" s="225"/>
      <c r="G242" s="231"/>
      <c r="H242" s="377">
        <v>228</v>
      </c>
      <c r="I242" s="394"/>
      <c r="J242" s="394"/>
      <c r="K242" s="403"/>
      <c r="L242" s="403"/>
      <c r="M242" s="403"/>
      <c r="N242" s="403"/>
      <c r="O242" s="403"/>
      <c r="P242" s="403"/>
      <c r="Q242" s="403"/>
      <c r="R242" s="441"/>
      <c r="S242" s="433"/>
      <c r="T242" s="412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13"/>
      <c r="V242" s="413"/>
      <c r="W242" s="414"/>
      <c r="X242" s="415"/>
      <c r="Y242" s="416" t="str">
        <f t="shared" ca="1" si="17"/>
        <v/>
      </c>
      <c r="Z242" s="417" t="str">
        <f t="shared" ca="1" si="18"/>
        <v/>
      </c>
      <c r="AA242" s="416" t="str">
        <f t="shared" ca="1" si="19"/>
        <v/>
      </c>
      <c r="AB242" s="418" t="str">
        <f t="shared" ca="1" si="20"/>
        <v/>
      </c>
      <c r="AC242" s="417" t="str">
        <f t="shared" ca="1" si="21"/>
        <v/>
      </c>
      <c r="AD242" s="220"/>
    </row>
    <row r="243" spans="1:30" customFormat="1" ht="14.5">
      <c r="A243" s="220"/>
      <c r="B243" s="267">
        <v>205</v>
      </c>
      <c r="C243" s="245"/>
      <c r="D243" s="246"/>
      <c r="E243" s="238"/>
      <c r="F243" s="225"/>
      <c r="G243" s="231"/>
      <c r="H243" s="377">
        <v>229</v>
      </c>
      <c r="I243" s="394"/>
      <c r="J243" s="394"/>
      <c r="K243" s="403"/>
      <c r="L243" s="403"/>
      <c r="M243" s="403"/>
      <c r="N243" s="403"/>
      <c r="O243" s="403"/>
      <c r="P243" s="403"/>
      <c r="Q243" s="403"/>
      <c r="R243" s="441"/>
      <c r="S243" s="433"/>
      <c r="T243" s="412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13"/>
      <c r="V243" s="413"/>
      <c r="W243" s="414"/>
      <c r="X243" s="415"/>
      <c r="Y243" s="416" t="str">
        <f t="shared" ca="1" si="17"/>
        <v/>
      </c>
      <c r="Z243" s="417" t="str">
        <f t="shared" ca="1" si="18"/>
        <v/>
      </c>
      <c r="AA243" s="416" t="str">
        <f t="shared" ca="1" si="19"/>
        <v/>
      </c>
      <c r="AB243" s="418" t="str">
        <f t="shared" ca="1" si="20"/>
        <v/>
      </c>
      <c r="AC243" s="417" t="str">
        <f t="shared" ca="1" si="21"/>
        <v/>
      </c>
      <c r="AD243" s="220"/>
    </row>
    <row r="244" spans="1:30" customFormat="1" ht="14.5">
      <c r="A244" s="220"/>
      <c r="B244" s="267">
        <v>206</v>
      </c>
      <c r="C244" s="245"/>
      <c r="D244" s="246"/>
      <c r="E244" s="238"/>
      <c r="F244" s="225"/>
      <c r="G244" s="231"/>
      <c r="H244" s="377">
        <v>230</v>
      </c>
      <c r="I244" s="394"/>
      <c r="J244" s="394"/>
      <c r="K244" s="403"/>
      <c r="L244" s="403"/>
      <c r="M244" s="403"/>
      <c r="N244" s="403"/>
      <c r="O244" s="403"/>
      <c r="P244" s="403"/>
      <c r="Q244" s="403"/>
      <c r="R244" s="441"/>
      <c r="S244" s="433"/>
      <c r="T244" s="412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13"/>
      <c r="V244" s="413"/>
      <c r="W244" s="414"/>
      <c r="X244" s="415"/>
      <c r="Y244" s="416" t="str">
        <f t="shared" ca="1" si="17"/>
        <v/>
      </c>
      <c r="Z244" s="417" t="str">
        <f t="shared" ca="1" si="18"/>
        <v/>
      </c>
      <c r="AA244" s="416" t="str">
        <f t="shared" ca="1" si="19"/>
        <v/>
      </c>
      <c r="AB244" s="418" t="str">
        <f t="shared" ca="1" si="20"/>
        <v/>
      </c>
      <c r="AC244" s="417" t="str">
        <f t="shared" ca="1" si="21"/>
        <v/>
      </c>
      <c r="AD244" s="220"/>
    </row>
    <row r="245" spans="1:30" customFormat="1" ht="14.5">
      <c r="A245" s="220"/>
      <c r="B245" s="267">
        <v>207</v>
      </c>
      <c r="C245" s="245"/>
      <c r="D245" s="246"/>
      <c r="E245" s="238"/>
      <c r="F245" s="225"/>
      <c r="G245" s="231"/>
      <c r="H245" s="377">
        <v>231</v>
      </c>
      <c r="I245" s="394"/>
      <c r="J245" s="394"/>
      <c r="K245" s="403"/>
      <c r="L245" s="403"/>
      <c r="M245" s="403"/>
      <c r="N245" s="403"/>
      <c r="O245" s="403"/>
      <c r="P245" s="403"/>
      <c r="Q245" s="403"/>
      <c r="R245" s="441"/>
      <c r="S245" s="433"/>
      <c r="T245" s="412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13"/>
      <c r="V245" s="413"/>
      <c r="W245" s="414"/>
      <c r="X245" s="415"/>
      <c r="Y245" s="416" t="str">
        <f t="shared" ca="1" si="17"/>
        <v/>
      </c>
      <c r="Z245" s="417" t="str">
        <f t="shared" ca="1" si="18"/>
        <v/>
      </c>
      <c r="AA245" s="416" t="str">
        <f t="shared" ca="1" si="19"/>
        <v/>
      </c>
      <c r="AB245" s="418" t="str">
        <f t="shared" ca="1" si="20"/>
        <v/>
      </c>
      <c r="AC245" s="417" t="str">
        <f t="shared" ca="1" si="21"/>
        <v/>
      </c>
      <c r="AD245" s="220"/>
    </row>
    <row r="246" spans="1:30" customFormat="1" ht="14.5">
      <c r="A246" s="220"/>
      <c r="B246" s="267">
        <v>208</v>
      </c>
      <c r="C246" s="245"/>
      <c r="D246" s="246"/>
      <c r="E246" s="238"/>
      <c r="F246" s="225"/>
      <c r="G246" s="231"/>
      <c r="H246" s="377">
        <v>232</v>
      </c>
      <c r="I246" s="394"/>
      <c r="J246" s="394"/>
      <c r="K246" s="403"/>
      <c r="L246" s="403"/>
      <c r="M246" s="403"/>
      <c r="N246" s="403"/>
      <c r="O246" s="403"/>
      <c r="P246" s="403"/>
      <c r="Q246" s="403"/>
      <c r="R246" s="441"/>
      <c r="S246" s="433"/>
      <c r="T246" s="412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13"/>
      <c r="V246" s="413"/>
      <c r="W246" s="414"/>
      <c r="X246" s="415"/>
      <c r="Y246" s="416" t="str">
        <f t="shared" ca="1" si="17"/>
        <v/>
      </c>
      <c r="Z246" s="417" t="str">
        <f t="shared" ca="1" si="18"/>
        <v/>
      </c>
      <c r="AA246" s="416" t="str">
        <f t="shared" ca="1" si="19"/>
        <v/>
      </c>
      <c r="AB246" s="418" t="str">
        <f t="shared" ca="1" si="20"/>
        <v/>
      </c>
      <c r="AC246" s="417" t="str">
        <f t="shared" ca="1" si="21"/>
        <v/>
      </c>
      <c r="AD246" s="220"/>
    </row>
    <row r="247" spans="1:30" customFormat="1" ht="14.5">
      <c r="A247" s="220"/>
      <c r="B247" s="267">
        <v>209</v>
      </c>
      <c r="C247" s="245"/>
      <c r="D247" s="246"/>
      <c r="E247" s="238"/>
      <c r="F247" s="225"/>
      <c r="G247" s="231"/>
      <c r="H247" s="377">
        <v>233</v>
      </c>
      <c r="I247" s="394"/>
      <c r="J247" s="394"/>
      <c r="K247" s="403"/>
      <c r="L247" s="403"/>
      <c r="M247" s="403"/>
      <c r="N247" s="403"/>
      <c r="O247" s="403"/>
      <c r="P247" s="403"/>
      <c r="Q247" s="403"/>
      <c r="R247" s="441"/>
      <c r="S247" s="433"/>
      <c r="T247" s="412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13"/>
      <c r="V247" s="413"/>
      <c r="W247" s="414"/>
      <c r="X247" s="415"/>
      <c r="Y247" s="416" t="str">
        <f t="shared" ca="1" si="17"/>
        <v/>
      </c>
      <c r="Z247" s="417" t="str">
        <f t="shared" ca="1" si="18"/>
        <v/>
      </c>
      <c r="AA247" s="416" t="str">
        <f t="shared" ca="1" si="19"/>
        <v/>
      </c>
      <c r="AB247" s="418" t="str">
        <f t="shared" ca="1" si="20"/>
        <v/>
      </c>
      <c r="AC247" s="417" t="str">
        <f t="shared" ca="1" si="21"/>
        <v/>
      </c>
      <c r="AD247" s="220"/>
    </row>
    <row r="248" spans="1:30" customFormat="1" ht="14.5">
      <c r="A248" s="220"/>
      <c r="B248" s="267">
        <v>210</v>
      </c>
      <c r="C248" s="245"/>
      <c r="D248" s="246"/>
      <c r="E248" s="238"/>
      <c r="F248" s="225"/>
      <c r="G248" s="231"/>
      <c r="H248" s="377">
        <v>234</v>
      </c>
      <c r="I248" s="394"/>
      <c r="J248" s="394"/>
      <c r="K248" s="403"/>
      <c r="L248" s="403"/>
      <c r="M248" s="403"/>
      <c r="N248" s="403"/>
      <c r="O248" s="403"/>
      <c r="P248" s="403"/>
      <c r="Q248" s="403"/>
      <c r="R248" s="441"/>
      <c r="S248" s="433"/>
      <c r="T248" s="412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13"/>
      <c r="V248" s="413"/>
      <c r="W248" s="414"/>
      <c r="X248" s="415"/>
      <c r="Y248" s="416" t="str">
        <f t="shared" ca="1" si="17"/>
        <v/>
      </c>
      <c r="Z248" s="417" t="str">
        <f t="shared" ca="1" si="18"/>
        <v/>
      </c>
      <c r="AA248" s="416" t="str">
        <f t="shared" ca="1" si="19"/>
        <v/>
      </c>
      <c r="AB248" s="418" t="str">
        <f t="shared" ca="1" si="20"/>
        <v/>
      </c>
      <c r="AC248" s="417" t="str">
        <f t="shared" ca="1" si="21"/>
        <v/>
      </c>
      <c r="AD248" s="220"/>
    </row>
    <row r="249" spans="1:30" customFormat="1" ht="14.5">
      <c r="A249" s="220"/>
      <c r="B249" s="267">
        <v>211</v>
      </c>
      <c r="C249" s="245"/>
      <c r="D249" s="246"/>
      <c r="E249" s="238"/>
      <c r="F249" s="225"/>
      <c r="G249" s="231"/>
      <c r="H249" s="377">
        <v>235</v>
      </c>
      <c r="I249" s="394"/>
      <c r="J249" s="394"/>
      <c r="K249" s="403"/>
      <c r="L249" s="403"/>
      <c r="M249" s="403"/>
      <c r="N249" s="403"/>
      <c r="O249" s="403"/>
      <c r="P249" s="403"/>
      <c r="Q249" s="403"/>
      <c r="R249" s="441"/>
      <c r="S249" s="433"/>
      <c r="T249" s="412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13"/>
      <c r="V249" s="413"/>
      <c r="W249" s="414"/>
      <c r="X249" s="415"/>
      <c r="Y249" s="416" t="str">
        <f t="shared" ca="1" si="17"/>
        <v/>
      </c>
      <c r="Z249" s="417" t="str">
        <f t="shared" ca="1" si="18"/>
        <v/>
      </c>
      <c r="AA249" s="416" t="str">
        <f t="shared" ca="1" si="19"/>
        <v/>
      </c>
      <c r="AB249" s="418" t="str">
        <f t="shared" ca="1" si="20"/>
        <v/>
      </c>
      <c r="AC249" s="417" t="str">
        <f t="shared" ca="1" si="21"/>
        <v/>
      </c>
      <c r="AD249" s="220"/>
    </row>
    <row r="250" spans="1:30" customFormat="1" ht="14.5">
      <c r="A250" s="220"/>
      <c r="B250" s="267">
        <v>212</v>
      </c>
      <c r="C250" s="245"/>
      <c r="D250" s="246"/>
      <c r="E250" s="238"/>
      <c r="F250" s="225"/>
      <c r="G250" s="231"/>
      <c r="H250" s="377">
        <v>236</v>
      </c>
      <c r="I250" s="394"/>
      <c r="J250" s="394"/>
      <c r="K250" s="403"/>
      <c r="L250" s="403"/>
      <c r="M250" s="403"/>
      <c r="N250" s="403"/>
      <c r="O250" s="403"/>
      <c r="P250" s="403"/>
      <c r="Q250" s="403"/>
      <c r="R250" s="441"/>
      <c r="S250" s="433"/>
      <c r="T250" s="412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13"/>
      <c r="V250" s="413"/>
      <c r="W250" s="414"/>
      <c r="X250" s="415"/>
      <c r="Y250" s="416" t="str">
        <f t="shared" ca="1" si="17"/>
        <v/>
      </c>
      <c r="Z250" s="417" t="str">
        <f t="shared" ca="1" si="18"/>
        <v/>
      </c>
      <c r="AA250" s="416" t="str">
        <f t="shared" ca="1" si="19"/>
        <v/>
      </c>
      <c r="AB250" s="418" t="str">
        <f t="shared" ca="1" si="20"/>
        <v/>
      </c>
      <c r="AC250" s="417" t="str">
        <f t="shared" ca="1" si="21"/>
        <v/>
      </c>
      <c r="AD250" s="220"/>
    </row>
    <row r="251" spans="1:30" customFormat="1" ht="14.5">
      <c r="A251" s="220"/>
      <c r="B251" s="267">
        <v>213</v>
      </c>
      <c r="C251" s="245"/>
      <c r="D251" s="246"/>
      <c r="E251" s="238"/>
      <c r="F251" s="225"/>
      <c r="G251" s="231"/>
      <c r="H251" s="377">
        <v>237</v>
      </c>
      <c r="I251" s="394"/>
      <c r="J251" s="394"/>
      <c r="K251" s="403"/>
      <c r="L251" s="403"/>
      <c r="M251" s="403"/>
      <c r="N251" s="403"/>
      <c r="O251" s="403"/>
      <c r="P251" s="403"/>
      <c r="Q251" s="403"/>
      <c r="R251" s="441"/>
      <c r="S251" s="433"/>
      <c r="T251" s="412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13"/>
      <c r="V251" s="413"/>
      <c r="W251" s="414"/>
      <c r="X251" s="415"/>
      <c r="Y251" s="416" t="str">
        <f t="shared" ca="1" si="17"/>
        <v/>
      </c>
      <c r="Z251" s="417" t="str">
        <f t="shared" ca="1" si="18"/>
        <v/>
      </c>
      <c r="AA251" s="416" t="str">
        <f t="shared" ca="1" si="19"/>
        <v/>
      </c>
      <c r="AB251" s="418" t="str">
        <f t="shared" ca="1" si="20"/>
        <v/>
      </c>
      <c r="AC251" s="417" t="str">
        <f t="shared" ca="1" si="21"/>
        <v/>
      </c>
      <c r="AD251" s="220"/>
    </row>
    <row r="252" spans="1:30" customFormat="1" ht="14.5">
      <c r="A252" s="220"/>
      <c r="B252" s="267">
        <v>214</v>
      </c>
      <c r="C252" s="245"/>
      <c r="D252" s="246"/>
      <c r="E252" s="238"/>
      <c r="F252" s="225"/>
      <c r="G252" s="231"/>
      <c r="H252" s="377">
        <v>238</v>
      </c>
      <c r="I252" s="394"/>
      <c r="J252" s="394"/>
      <c r="K252" s="403"/>
      <c r="L252" s="403"/>
      <c r="M252" s="403"/>
      <c r="N252" s="403"/>
      <c r="O252" s="403"/>
      <c r="P252" s="403"/>
      <c r="Q252" s="403"/>
      <c r="R252" s="441"/>
      <c r="S252" s="433"/>
      <c r="T252" s="412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13"/>
      <c r="V252" s="413"/>
      <c r="W252" s="414"/>
      <c r="X252" s="415"/>
      <c r="Y252" s="416" t="str">
        <f t="shared" ca="1" si="17"/>
        <v/>
      </c>
      <c r="Z252" s="417" t="str">
        <f t="shared" ca="1" si="18"/>
        <v/>
      </c>
      <c r="AA252" s="416" t="str">
        <f t="shared" ca="1" si="19"/>
        <v/>
      </c>
      <c r="AB252" s="418" t="str">
        <f t="shared" ca="1" si="20"/>
        <v/>
      </c>
      <c r="AC252" s="417" t="str">
        <f t="shared" ca="1" si="21"/>
        <v/>
      </c>
      <c r="AD252" s="220"/>
    </row>
    <row r="253" spans="1:30" customFormat="1" ht="14.5">
      <c r="A253" s="220"/>
      <c r="B253" s="267">
        <v>215</v>
      </c>
      <c r="C253" s="245"/>
      <c r="D253" s="246"/>
      <c r="E253" s="238"/>
      <c r="F253" s="225"/>
      <c r="G253" s="231"/>
      <c r="H253" s="377">
        <v>239</v>
      </c>
      <c r="I253" s="394"/>
      <c r="J253" s="394"/>
      <c r="K253" s="403"/>
      <c r="L253" s="403"/>
      <c r="M253" s="403"/>
      <c r="N253" s="403"/>
      <c r="O253" s="403"/>
      <c r="P253" s="403"/>
      <c r="Q253" s="403"/>
      <c r="R253" s="441"/>
      <c r="S253" s="433"/>
      <c r="T253" s="412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13"/>
      <c r="V253" s="413"/>
      <c r="W253" s="414"/>
      <c r="X253" s="415"/>
      <c r="Y253" s="416" t="str">
        <f t="shared" ca="1" si="17"/>
        <v/>
      </c>
      <c r="Z253" s="417" t="str">
        <f t="shared" ca="1" si="18"/>
        <v/>
      </c>
      <c r="AA253" s="416" t="str">
        <f t="shared" ca="1" si="19"/>
        <v/>
      </c>
      <c r="AB253" s="418" t="str">
        <f t="shared" ca="1" si="20"/>
        <v/>
      </c>
      <c r="AC253" s="417" t="str">
        <f t="shared" ca="1" si="21"/>
        <v/>
      </c>
      <c r="AD253" s="220"/>
    </row>
    <row r="254" spans="1:30" customFormat="1" ht="14.5">
      <c r="A254" s="220"/>
      <c r="B254" s="267">
        <v>216</v>
      </c>
      <c r="C254" s="245"/>
      <c r="D254" s="246"/>
      <c r="E254" s="238"/>
      <c r="F254" s="225"/>
      <c r="G254" s="231"/>
      <c r="H254" s="377">
        <v>240</v>
      </c>
      <c r="I254" s="394"/>
      <c r="J254" s="394"/>
      <c r="K254" s="403"/>
      <c r="L254" s="403"/>
      <c r="M254" s="403"/>
      <c r="N254" s="403"/>
      <c r="O254" s="403"/>
      <c r="P254" s="403"/>
      <c r="Q254" s="403"/>
      <c r="R254" s="441"/>
      <c r="S254" s="433"/>
      <c r="T254" s="412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13"/>
      <c r="V254" s="413"/>
      <c r="W254" s="414"/>
      <c r="X254" s="415"/>
      <c r="Y254" s="416" t="str">
        <f t="shared" ca="1" si="17"/>
        <v/>
      </c>
      <c r="Z254" s="417" t="str">
        <f t="shared" ca="1" si="18"/>
        <v/>
      </c>
      <c r="AA254" s="416" t="str">
        <f t="shared" ca="1" si="19"/>
        <v/>
      </c>
      <c r="AB254" s="418" t="str">
        <f t="shared" ca="1" si="20"/>
        <v/>
      </c>
      <c r="AC254" s="417" t="str">
        <f t="shared" ca="1" si="21"/>
        <v/>
      </c>
      <c r="AD254" s="220"/>
    </row>
    <row r="255" spans="1:30" customFormat="1" ht="14.5">
      <c r="A255" s="220"/>
      <c r="B255" s="267">
        <v>217</v>
      </c>
      <c r="C255" s="245"/>
      <c r="D255" s="246"/>
      <c r="E255" s="238"/>
      <c r="F255" s="225"/>
      <c r="G255" s="231"/>
      <c r="H255" s="377">
        <v>241</v>
      </c>
      <c r="I255" s="394"/>
      <c r="J255" s="394"/>
      <c r="K255" s="403"/>
      <c r="L255" s="403"/>
      <c r="M255" s="403"/>
      <c r="N255" s="403"/>
      <c r="O255" s="403"/>
      <c r="P255" s="403"/>
      <c r="Q255" s="403"/>
      <c r="R255" s="441"/>
      <c r="S255" s="433"/>
      <c r="T255" s="412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13"/>
      <c r="V255" s="413"/>
      <c r="W255" s="414"/>
      <c r="X255" s="415"/>
      <c r="Y255" s="416" t="str">
        <f t="shared" ca="1" si="17"/>
        <v/>
      </c>
      <c r="Z255" s="417" t="str">
        <f t="shared" ca="1" si="18"/>
        <v/>
      </c>
      <c r="AA255" s="416" t="str">
        <f t="shared" ca="1" si="19"/>
        <v/>
      </c>
      <c r="AB255" s="418" t="str">
        <f t="shared" ca="1" si="20"/>
        <v/>
      </c>
      <c r="AC255" s="417" t="str">
        <f t="shared" ca="1" si="21"/>
        <v/>
      </c>
      <c r="AD255" s="220"/>
    </row>
    <row r="256" spans="1:30" customFormat="1" ht="14.5">
      <c r="A256" s="220"/>
      <c r="B256" s="267">
        <v>218</v>
      </c>
      <c r="C256" s="245"/>
      <c r="D256" s="246"/>
      <c r="E256" s="238"/>
      <c r="F256" s="225"/>
      <c r="G256" s="231"/>
      <c r="H256" s="377">
        <v>242</v>
      </c>
      <c r="I256" s="394"/>
      <c r="J256" s="394"/>
      <c r="K256" s="403"/>
      <c r="L256" s="403"/>
      <c r="M256" s="403"/>
      <c r="N256" s="403"/>
      <c r="O256" s="403"/>
      <c r="P256" s="403"/>
      <c r="Q256" s="403"/>
      <c r="R256" s="441"/>
      <c r="S256" s="433"/>
      <c r="T256" s="412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13"/>
      <c r="V256" s="413"/>
      <c r="W256" s="414"/>
      <c r="X256" s="415"/>
      <c r="Y256" s="416" t="str">
        <f t="shared" ca="1" si="17"/>
        <v/>
      </c>
      <c r="Z256" s="417" t="str">
        <f t="shared" ca="1" si="18"/>
        <v/>
      </c>
      <c r="AA256" s="416" t="str">
        <f t="shared" ca="1" si="19"/>
        <v/>
      </c>
      <c r="AB256" s="418" t="str">
        <f t="shared" ca="1" si="20"/>
        <v/>
      </c>
      <c r="AC256" s="417" t="str">
        <f t="shared" ca="1" si="21"/>
        <v/>
      </c>
      <c r="AD256" s="220"/>
    </row>
    <row r="257" spans="1:30" customFormat="1" ht="14.5">
      <c r="A257" s="220"/>
      <c r="B257" s="267">
        <v>219</v>
      </c>
      <c r="C257" s="245"/>
      <c r="D257" s="246"/>
      <c r="E257" s="238"/>
      <c r="F257" s="225"/>
      <c r="G257" s="231"/>
      <c r="H257" s="377">
        <v>243</v>
      </c>
      <c r="I257" s="394"/>
      <c r="J257" s="394"/>
      <c r="K257" s="403"/>
      <c r="L257" s="403"/>
      <c r="M257" s="403"/>
      <c r="N257" s="403"/>
      <c r="O257" s="403"/>
      <c r="P257" s="403"/>
      <c r="Q257" s="403"/>
      <c r="R257" s="441"/>
      <c r="S257" s="433"/>
      <c r="T257" s="412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13"/>
      <c r="V257" s="413"/>
      <c r="W257" s="414"/>
      <c r="X257" s="415"/>
      <c r="Y257" s="416" t="str">
        <f t="shared" ca="1" si="17"/>
        <v/>
      </c>
      <c r="Z257" s="417" t="str">
        <f t="shared" ca="1" si="18"/>
        <v/>
      </c>
      <c r="AA257" s="416" t="str">
        <f t="shared" ca="1" si="19"/>
        <v/>
      </c>
      <c r="AB257" s="418" t="str">
        <f t="shared" ca="1" si="20"/>
        <v/>
      </c>
      <c r="AC257" s="417" t="str">
        <f t="shared" ca="1" si="21"/>
        <v/>
      </c>
      <c r="AD257" s="220"/>
    </row>
    <row r="258" spans="1:30" customFormat="1" ht="14.5">
      <c r="A258" s="220"/>
      <c r="B258" s="267">
        <v>220</v>
      </c>
      <c r="C258" s="245"/>
      <c r="D258" s="246"/>
      <c r="E258" s="238"/>
      <c r="F258" s="225"/>
      <c r="G258" s="231"/>
      <c r="H258" s="377">
        <v>244</v>
      </c>
      <c r="I258" s="394"/>
      <c r="J258" s="394"/>
      <c r="K258" s="403"/>
      <c r="L258" s="403"/>
      <c r="M258" s="403"/>
      <c r="N258" s="403"/>
      <c r="O258" s="403"/>
      <c r="P258" s="403"/>
      <c r="Q258" s="403"/>
      <c r="R258" s="441"/>
      <c r="S258" s="433"/>
      <c r="T258" s="412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13"/>
      <c r="V258" s="413"/>
      <c r="W258" s="414"/>
      <c r="X258" s="415"/>
      <c r="Y258" s="416" t="str">
        <f t="shared" ca="1" si="17"/>
        <v/>
      </c>
      <c r="Z258" s="417" t="str">
        <f t="shared" ca="1" si="18"/>
        <v/>
      </c>
      <c r="AA258" s="416" t="str">
        <f t="shared" ca="1" si="19"/>
        <v/>
      </c>
      <c r="AB258" s="418" t="str">
        <f t="shared" ca="1" si="20"/>
        <v/>
      </c>
      <c r="AC258" s="417" t="str">
        <f t="shared" ca="1" si="21"/>
        <v/>
      </c>
      <c r="AD258" s="220"/>
    </row>
    <row r="259" spans="1:30" customFormat="1" ht="14.5">
      <c r="A259" s="220"/>
      <c r="B259" s="267">
        <v>221</v>
      </c>
      <c r="C259" s="245"/>
      <c r="D259" s="246"/>
      <c r="E259" s="238"/>
      <c r="F259" s="225"/>
      <c r="G259" s="231"/>
      <c r="H259" s="377">
        <v>245</v>
      </c>
      <c r="I259" s="394"/>
      <c r="J259" s="394"/>
      <c r="K259" s="403"/>
      <c r="L259" s="403"/>
      <c r="M259" s="403"/>
      <c r="N259" s="403"/>
      <c r="O259" s="403"/>
      <c r="P259" s="403"/>
      <c r="Q259" s="403"/>
      <c r="R259" s="441"/>
      <c r="S259" s="433"/>
      <c r="T259" s="412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13"/>
      <c r="V259" s="413"/>
      <c r="W259" s="414"/>
      <c r="X259" s="415"/>
      <c r="Y259" s="416" t="str">
        <f t="shared" ca="1" si="17"/>
        <v/>
      </c>
      <c r="Z259" s="417" t="str">
        <f t="shared" ca="1" si="18"/>
        <v/>
      </c>
      <c r="AA259" s="416" t="str">
        <f t="shared" ca="1" si="19"/>
        <v/>
      </c>
      <c r="AB259" s="418" t="str">
        <f t="shared" ca="1" si="20"/>
        <v/>
      </c>
      <c r="AC259" s="417" t="str">
        <f t="shared" ca="1" si="21"/>
        <v/>
      </c>
      <c r="AD259" s="220"/>
    </row>
    <row r="260" spans="1:30" customFormat="1" ht="14.5">
      <c r="A260" s="220"/>
      <c r="B260" s="267">
        <v>222</v>
      </c>
      <c r="C260" s="245"/>
      <c r="D260" s="246"/>
      <c r="E260" s="238"/>
      <c r="F260" s="225"/>
      <c r="G260" s="231"/>
      <c r="H260" s="377">
        <v>246</v>
      </c>
      <c r="I260" s="394"/>
      <c r="J260" s="394"/>
      <c r="K260" s="403"/>
      <c r="L260" s="403"/>
      <c r="M260" s="403"/>
      <c r="N260" s="403"/>
      <c r="O260" s="403"/>
      <c r="P260" s="403"/>
      <c r="Q260" s="403"/>
      <c r="R260" s="441"/>
      <c r="S260" s="433"/>
      <c r="T260" s="412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13"/>
      <c r="V260" s="413"/>
      <c r="W260" s="414"/>
      <c r="X260" s="415"/>
      <c r="Y260" s="416" t="str">
        <f t="shared" ca="1" si="17"/>
        <v/>
      </c>
      <c r="Z260" s="417" t="str">
        <f t="shared" ca="1" si="18"/>
        <v/>
      </c>
      <c r="AA260" s="416" t="str">
        <f t="shared" ca="1" si="19"/>
        <v/>
      </c>
      <c r="AB260" s="418" t="str">
        <f t="shared" ca="1" si="20"/>
        <v/>
      </c>
      <c r="AC260" s="417" t="str">
        <f t="shared" ca="1" si="21"/>
        <v/>
      </c>
      <c r="AD260" s="220"/>
    </row>
    <row r="261" spans="1:30" customFormat="1" ht="14.5">
      <c r="A261" s="220"/>
      <c r="B261" s="267">
        <v>223</v>
      </c>
      <c r="C261" s="245"/>
      <c r="D261" s="246"/>
      <c r="E261" s="238"/>
      <c r="F261" s="225"/>
      <c r="G261" s="231"/>
      <c r="H261" s="377">
        <v>247</v>
      </c>
      <c r="I261" s="394"/>
      <c r="J261" s="394"/>
      <c r="K261" s="403"/>
      <c r="L261" s="403"/>
      <c r="M261" s="403"/>
      <c r="N261" s="403"/>
      <c r="O261" s="403"/>
      <c r="P261" s="403"/>
      <c r="Q261" s="403"/>
      <c r="R261" s="441"/>
      <c r="S261" s="433"/>
      <c r="T261" s="412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13"/>
      <c r="V261" s="413"/>
      <c r="W261" s="414"/>
      <c r="X261" s="415"/>
      <c r="Y261" s="416" t="str">
        <f t="shared" ca="1" si="17"/>
        <v/>
      </c>
      <c r="Z261" s="417" t="str">
        <f t="shared" ca="1" si="18"/>
        <v/>
      </c>
      <c r="AA261" s="416" t="str">
        <f t="shared" ca="1" si="19"/>
        <v/>
      </c>
      <c r="AB261" s="418" t="str">
        <f t="shared" ca="1" si="20"/>
        <v/>
      </c>
      <c r="AC261" s="417" t="str">
        <f t="shared" ca="1" si="21"/>
        <v/>
      </c>
      <c r="AD261" s="220"/>
    </row>
    <row r="262" spans="1:30" customFormat="1" ht="14.5">
      <c r="A262" s="220"/>
      <c r="B262" s="267">
        <v>224</v>
      </c>
      <c r="C262" s="245"/>
      <c r="D262" s="246"/>
      <c r="E262" s="238"/>
      <c r="F262" s="225"/>
      <c r="G262" s="231"/>
      <c r="H262" s="377">
        <v>248</v>
      </c>
      <c r="I262" s="394"/>
      <c r="J262" s="394"/>
      <c r="K262" s="403"/>
      <c r="L262" s="403"/>
      <c r="M262" s="403"/>
      <c r="N262" s="403"/>
      <c r="O262" s="403"/>
      <c r="P262" s="403"/>
      <c r="Q262" s="403"/>
      <c r="R262" s="441"/>
      <c r="S262" s="433"/>
      <c r="T262" s="412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13"/>
      <c r="V262" s="413"/>
      <c r="W262" s="414"/>
      <c r="X262" s="415"/>
      <c r="Y262" s="416" t="str">
        <f t="shared" ca="1" si="17"/>
        <v/>
      </c>
      <c r="Z262" s="417" t="str">
        <f t="shared" ca="1" si="18"/>
        <v/>
      </c>
      <c r="AA262" s="416" t="str">
        <f t="shared" ca="1" si="19"/>
        <v/>
      </c>
      <c r="AB262" s="418" t="str">
        <f t="shared" ca="1" si="20"/>
        <v/>
      </c>
      <c r="AC262" s="417" t="str">
        <f t="shared" ca="1" si="21"/>
        <v/>
      </c>
      <c r="AD262" s="220"/>
    </row>
    <row r="263" spans="1:30" customFormat="1" ht="14.5">
      <c r="A263" s="220"/>
      <c r="B263" s="267">
        <v>225</v>
      </c>
      <c r="C263" s="245"/>
      <c r="D263" s="246"/>
      <c r="E263" s="238"/>
      <c r="F263" s="225"/>
      <c r="G263" s="231"/>
      <c r="H263" s="377">
        <v>249</v>
      </c>
      <c r="I263" s="394"/>
      <c r="J263" s="394"/>
      <c r="K263" s="403"/>
      <c r="L263" s="403"/>
      <c r="M263" s="403"/>
      <c r="N263" s="403"/>
      <c r="O263" s="403"/>
      <c r="P263" s="403"/>
      <c r="Q263" s="403"/>
      <c r="R263" s="441"/>
      <c r="S263" s="433"/>
      <c r="T263" s="412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13"/>
      <c r="V263" s="413"/>
      <c r="W263" s="414"/>
      <c r="X263" s="415"/>
      <c r="Y263" s="416" t="str">
        <f t="shared" ca="1" si="17"/>
        <v/>
      </c>
      <c r="Z263" s="417" t="str">
        <f t="shared" ca="1" si="18"/>
        <v/>
      </c>
      <c r="AA263" s="416" t="str">
        <f t="shared" ca="1" si="19"/>
        <v/>
      </c>
      <c r="AB263" s="418" t="str">
        <f t="shared" ca="1" si="20"/>
        <v/>
      </c>
      <c r="AC263" s="417" t="str">
        <f t="shared" ca="1" si="21"/>
        <v/>
      </c>
      <c r="AD263" s="220"/>
    </row>
    <row r="264" spans="1:30" customFormat="1" ht="14.5">
      <c r="A264" s="220"/>
      <c r="B264" s="267">
        <v>226</v>
      </c>
      <c r="C264" s="245"/>
      <c r="D264" s="246"/>
      <c r="E264" s="238"/>
      <c r="F264" s="225"/>
      <c r="G264" s="231"/>
      <c r="H264" s="377">
        <v>250</v>
      </c>
      <c r="I264" s="394"/>
      <c r="J264" s="394"/>
      <c r="K264" s="403"/>
      <c r="L264" s="403"/>
      <c r="M264" s="403"/>
      <c r="N264" s="403"/>
      <c r="O264" s="403"/>
      <c r="P264" s="403"/>
      <c r="Q264" s="403"/>
      <c r="R264" s="441"/>
      <c r="S264" s="433"/>
      <c r="T264" s="412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13"/>
      <c r="V264" s="413"/>
      <c r="W264" s="414"/>
      <c r="X264" s="415"/>
      <c r="Y264" s="416" t="str">
        <f t="shared" ca="1" si="17"/>
        <v/>
      </c>
      <c r="Z264" s="417" t="str">
        <f t="shared" ca="1" si="18"/>
        <v/>
      </c>
      <c r="AA264" s="416" t="str">
        <f t="shared" ca="1" si="19"/>
        <v/>
      </c>
      <c r="AB264" s="418" t="str">
        <f t="shared" ca="1" si="20"/>
        <v/>
      </c>
      <c r="AC264" s="417" t="str">
        <f t="shared" ca="1" si="21"/>
        <v/>
      </c>
      <c r="AD264" s="220"/>
    </row>
    <row r="265" spans="1:30" customFormat="1" ht="14.5">
      <c r="A265" s="220"/>
      <c r="B265" s="267">
        <v>227</v>
      </c>
      <c r="C265" s="245"/>
      <c r="D265" s="246"/>
      <c r="E265" s="238"/>
      <c r="F265" s="225"/>
      <c r="G265" s="231"/>
      <c r="H265" s="377">
        <v>251</v>
      </c>
      <c r="I265" s="394"/>
      <c r="J265" s="394"/>
      <c r="K265" s="403"/>
      <c r="L265" s="403"/>
      <c r="M265" s="403"/>
      <c r="N265" s="403"/>
      <c r="O265" s="403"/>
      <c r="P265" s="403"/>
      <c r="Q265" s="403"/>
      <c r="R265" s="441"/>
      <c r="S265" s="433"/>
      <c r="T265" s="412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13"/>
      <c r="V265" s="413"/>
      <c r="W265" s="414"/>
      <c r="X265" s="415"/>
      <c r="Y265" s="416" t="str">
        <f t="shared" ca="1" si="17"/>
        <v/>
      </c>
      <c r="Z265" s="417" t="str">
        <f t="shared" ca="1" si="18"/>
        <v/>
      </c>
      <c r="AA265" s="416" t="str">
        <f t="shared" ca="1" si="19"/>
        <v/>
      </c>
      <c r="AB265" s="418" t="str">
        <f t="shared" ca="1" si="20"/>
        <v/>
      </c>
      <c r="AC265" s="417" t="str">
        <f t="shared" ca="1" si="21"/>
        <v/>
      </c>
      <c r="AD265" s="220"/>
    </row>
    <row r="266" spans="1:30" customFormat="1" ht="14.5">
      <c r="A266" s="220"/>
      <c r="B266" s="267">
        <v>228</v>
      </c>
      <c r="C266" s="245"/>
      <c r="D266" s="246"/>
      <c r="E266" s="238"/>
      <c r="F266" s="225"/>
      <c r="G266" s="231"/>
      <c r="H266" s="377">
        <v>252</v>
      </c>
      <c r="I266" s="394"/>
      <c r="J266" s="394"/>
      <c r="K266" s="403"/>
      <c r="L266" s="403"/>
      <c r="M266" s="403"/>
      <c r="N266" s="403"/>
      <c r="O266" s="403"/>
      <c r="P266" s="403"/>
      <c r="Q266" s="403"/>
      <c r="R266" s="441"/>
      <c r="S266" s="433"/>
      <c r="T266" s="412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13"/>
      <c r="V266" s="413"/>
      <c r="W266" s="414"/>
      <c r="X266" s="415"/>
      <c r="Y266" s="416" t="str">
        <f t="shared" ca="1" si="17"/>
        <v/>
      </c>
      <c r="Z266" s="417" t="str">
        <f t="shared" ca="1" si="18"/>
        <v/>
      </c>
      <c r="AA266" s="416" t="str">
        <f t="shared" ca="1" si="19"/>
        <v/>
      </c>
      <c r="AB266" s="418" t="str">
        <f t="shared" ca="1" si="20"/>
        <v/>
      </c>
      <c r="AC266" s="417" t="str">
        <f t="shared" ca="1" si="21"/>
        <v/>
      </c>
      <c r="AD266" s="220"/>
    </row>
    <row r="267" spans="1:30" customFormat="1" ht="14.5">
      <c r="A267" s="220"/>
      <c r="B267" s="267">
        <v>229</v>
      </c>
      <c r="C267" s="245"/>
      <c r="D267" s="246"/>
      <c r="E267" s="238"/>
      <c r="F267" s="225"/>
      <c r="G267" s="231"/>
      <c r="H267" s="377">
        <v>253</v>
      </c>
      <c r="I267" s="394"/>
      <c r="J267" s="394"/>
      <c r="K267" s="403"/>
      <c r="L267" s="403"/>
      <c r="M267" s="403"/>
      <c r="N267" s="403"/>
      <c r="O267" s="403"/>
      <c r="P267" s="403"/>
      <c r="Q267" s="403"/>
      <c r="R267" s="441"/>
      <c r="S267" s="433"/>
      <c r="T267" s="412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13"/>
      <c r="V267" s="413"/>
      <c r="W267" s="414"/>
      <c r="X267" s="415"/>
      <c r="Y267" s="416" t="str">
        <f t="shared" ca="1" si="17"/>
        <v/>
      </c>
      <c r="Z267" s="417" t="str">
        <f t="shared" ca="1" si="18"/>
        <v/>
      </c>
      <c r="AA267" s="416" t="str">
        <f t="shared" ca="1" si="19"/>
        <v/>
      </c>
      <c r="AB267" s="418" t="str">
        <f t="shared" ca="1" si="20"/>
        <v/>
      </c>
      <c r="AC267" s="417" t="str">
        <f t="shared" ca="1" si="21"/>
        <v/>
      </c>
      <c r="AD267" s="220"/>
    </row>
    <row r="268" spans="1:30" customFormat="1" ht="14.5">
      <c r="A268" s="220"/>
      <c r="B268" s="267">
        <v>230</v>
      </c>
      <c r="C268" s="245"/>
      <c r="D268" s="246"/>
      <c r="E268" s="238"/>
      <c r="F268" s="225"/>
      <c r="G268" s="231"/>
      <c r="H268" s="377">
        <v>254</v>
      </c>
      <c r="I268" s="394"/>
      <c r="J268" s="394"/>
      <c r="K268" s="403"/>
      <c r="L268" s="403"/>
      <c r="M268" s="403"/>
      <c r="N268" s="403"/>
      <c r="O268" s="403"/>
      <c r="P268" s="403"/>
      <c r="Q268" s="403"/>
      <c r="R268" s="441"/>
      <c r="S268" s="433"/>
      <c r="T268" s="412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13"/>
      <c r="V268" s="413"/>
      <c r="W268" s="414"/>
      <c r="X268" s="415"/>
      <c r="Y268" s="416" t="str">
        <f t="shared" ca="1" si="17"/>
        <v/>
      </c>
      <c r="Z268" s="417" t="str">
        <f t="shared" ca="1" si="18"/>
        <v/>
      </c>
      <c r="AA268" s="416" t="str">
        <f t="shared" ca="1" si="19"/>
        <v/>
      </c>
      <c r="AB268" s="418" t="str">
        <f t="shared" ca="1" si="20"/>
        <v/>
      </c>
      <c r="AC268" s="417" t="str">
        <f t="shared" ca="1" si="21"/>
        <v/>
      </c>
      <c r="AD268" s="220"/>
    </row>
    <row r="269" spans="1:30" customFormat="1" ht="14.5">
      <c r="A269" s="220"/>
      <c r="B269" s="267">
        <v>231</v>
      </c>
      <c r="C269" s="245"/>
      <c r="D269" s="246"/>
      <c r="E269" s="238"/>
      <c r="F269" s="225"/>
      <c r="G269" s="231"/>
      <c r="H269" s="377">
        <v>255</v>
      </c>
      <c r="I269" s="394"/>
      <c r="J269" s="394"/>
      <c r="K269" s="403"/>
      <c r="L269" s="403"/>
      <c r="M269" s="403"/>
      <c r="N269" s="403"/>
      <c r="O269" s="403"/>
      <c r="P269" s="403"/>
      <c r="Q269" s="403"/>
      <c r="R269" s="441"/>
      <c r="S269" s="433"/>
      <c r="T269" s="412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13"/>
      <c r="V269" s="413"/>
      <c r="W269" s="414"/>
      <c r="X269" s="415"/>
      <c r="Y269" s="416" t="str">
        <f t="shared" ca="1" si="17"/>
        <v/>
      </c>
      <c r="Z269" s="417" t="str">
        <f t="shared" ca="1" si="18"/>
        <v/>
      </c>
      <c r="AA269" s="416" t="str">
        <f t="shared" ca="1" si="19"/>
        <v/>
      </c>
      <c r="AB269" s="418" t="str">
        <f t="shared" ca="1" si="20"/>
        <v/>
      </c>
      <c r="AC269" s="417" t="str">
        <f t="shared" ca="1" si="21"/>
        <v/>
      </c>
      <c r="AD269" s="220"/>
    </row>
    <row r="270" spans="1:30" customFormat="1" ht="14.5">
      <c r="A270" s="220"/>
      <c r="B270" s="267">
        <v>232</v>
      </c>
      <c r="C270" s="245"/>
      <c r="D270" s="246"/>
      <c r="E270" s="238"/>
      <c r="F270" s="225"/>
      <c r="G270" s="231"/>
      <c r="H270" s="377">
        <v>256</v>
      </c>
      <c r="I270" s="394"/>
      <c r="J270" s="394"/>
      <c r="K270" s="403"/>
      <c r="L270" s="403"/>
      <c r="M270" s="403"/>
      <c r="N270" s="403"/>
      <c r="O270" s="403"/>
      <c r="P270" s="403"/>
      <c r="Q270" s="403"/>
      <c r="R270" s="441"/>
      <c r="S270" s="433"/>
      <c r="T270" s="412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13"/>
      <c r="V270" s="413"/>
      <c r="W270" s="414"/>
      <c r="X270" s="415"/>
      <c r="Y270" s="416" t="str">
        <f t="shared" ca="1" si="17"/>
        <v/>
      </c>
      <c r="Z270" s="417" t="str">
        <f t="shared" ca="1" si="18"/>
        <v/>
      </c>
      <c r="AA270" s="416" t="str">
        <f t="shared" ca="1" si="19"/>
        <v/>
      </c>
      <c r="AB270" s="418" t="str">
        <f t="shared" ca="1" si="20"/>
        <v/>
      </c>
      <c r="AC270" s="417" t="str">
        <f t="shared" ca="1" si="21"/>
        <v/>
      </c>
      <c r="AD270" s="220"/>
    </row>
    <row r="271" spans="1:30" customFormat="1" ht="14.5">
      <c r="A271" s="220"/>
      <c r="B271" s="267">
        <v>233</v>
      </c>
      <c r="C271" s="245"/>
      <c r="D271" s="246"/>
      <c r="E271" s="238"/>
      <c r="F271" s="225"/>
      <c r="G271" s="231"/>
      <c r="H271" s="377">
        <v>257</v>
      </c>
      <c r="I271" s="394"/>
      <c r="J271" s="394"/>
      <c r="K271" s="403"/>
      <c r="L271" s="403"/>
      <c r="M271" s="403"/>
      <c r="N271" s="403"/>
      <c r="O271" s="403"/>
      <c r="P271" s="403"/>
      <c r="Q271" s="403"/>
      <c r="R271" s="441"/>
      <c r="S271" s="433"/>
      <c r="T271" s="412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13"/>
      <c r="V271" s="413"/>
      <c r="W271" s="414"/>
      <c r="X271" s="415"/>
      <c r="Y271" s="416" t="str">
        <f t="shared" ca="1" si="17"/>
        <v/>
      </c>
      <c r="Z271" s="417" t="str">
        <f t="shared" ca="1" si="18"/>
        <v/>
      </c>
      <c r="AA271" s="416" t="str">
        <f t="shared" ca="1" si="19"/>
        <v/>
      </c>
      <c r="AB271" s="418" t="str">
        <f t="shared" ca="1" si="20"/>
        <v/>
      </c>
      <c r="AC271" s="417" t="str">
        <f t="shared" ca="1" si="21"/>
        <v/>
      </c>
      <c r="AD271" s="220"/>
    </row>
    <row r="272" spans="1:30" customFormat="1" ht="14.5">
      <c r="A272" s="220"/>
      <c r="B272" s="267">
        <v>234</v>
      </c>
      <c r="C272" s="245"/>
      <c r="D272" s="246"/>
      <c r="E272" s="238"/>
      <c r="F272" s="225"/>
      <c r="G272" s="231"/>
      <c r="H272" s="377">
        <v>258</v>
      </c>
      <c r="I272" s="394"/>
      <c r="J272" s="394"/>
      <c r="K272" s="403"/>
      <c r="L272" s="403"/>
      <c r="M272" s="403"/>
      <c r="N272" s="403"/>
      <c r="O272" s="403"/>
      <c r="P272" s="403"/>
      <c r="Q272" s="403"/>
      <c r="R272" s="441"/>
      <c r="S272" s="433"/>
      <c r="T272" s="412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13"/>
      <c r="V272" s="413"/>
      <c r="W272" s="414"/>
      <c r="X272" s="415"/>
      <c r="Y272" s="416" t="str">
        <f t="shared" ref="Y272:Y314" ca="1" si="22">IF($U$12,IF(T272="","",$U$13*D296/$C$18),"")</f>
        <v/>
      </c>
      <c r="Z272" s="417" t="str">
        <f t="shared" ref="Z272:Z314" ca="1" si="23">IF($U$12,IF(Y272="","",Y272*($Z$10-W272)*X272),"")</f>
        <v/>
      </c>
      <c r="AA272" s="416" t="str">
        <f t="shared" ref="AA272:AA313" ca="1" si="24">IF($U$12,IF(OR(T272="",L272=""),"",L272/($C$20-$C$19)),"")</f>
        <v/>
      </c>
      <c r="AB272" s="418" t="str">
        <f t="shared" ref="AB272:AB313" ca="1" si="25">IF($U$12,IF(W272="","",W272*$AC$10),"")</f>
        <v/>
      </c>
      <c r="AC272" s="417" t="str">
        <f t="shared" ref="AC272:AC313" ca="1" si="26">IF($U$12,IF(AA272="","",AA272*(AB272-W272)*X272),"")</f>
        <v/>
      </c>
      <c r="AD272" s="220"/>
    </row>
    <row r="273" spans="1:30" customFormat="1" ht="14.5">
      <c r="A273" s="220"/>
      <c r="B273" s="267">
        <v>235</v>
      </c>
      <c r="C273" s="245"/>
      <c r="D273" s="246"/>
      <c r="E273" s="238"/>
      <c r="F273" s="225"/>
      <c r="G273" s="231"/>
      <c r="H273" s="377">
        <v>259</v>
      </c>
      <c r="I273" s="394"/>
      <c r="J273" s="394"/>
      <c r="K273" s="403"/>
      <c r="L273" s="403"/>
      <c r="M273" s="403"/>
      <c r="N273" s="403"/>
      <c r="O273" s="403"/>
      <c r="P273" s="403"/>
      <c r="Q273" s="403"/>
      <c r="R273" s="441"/>
      <c r="S273" s="433"/>
      <c r="T273" s="412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13"/>
      <c r="V273" s="413"/>
      <c r="W273" s="414"/>
      <c r="X273" s="415"/>
      <c r="Y273" s="416" t="str">
        <f t="shared" ca="1" si="22"/>
        <v/>
      </c>
      <c r="Z273" s="417" t="str">
        <f t="shared" ca="1" si="23"/>
        <v/>
      </c>
      <c r="AA273" s="416" t="str">
        <f t="shared" ca="1" si="24"/>
        <v/>
      </c>
      <c r="AB273" s="418" t="str">
        <f t="shared" ca="1" si="25"/>
        <v/>
      </c>
      <c r="AC273" s="417" t="str">
        <f t="shared" ca="1" si="26"/>
        <v/>
      </c>
      <c r="AD273" s="220"/>
    </row>
    <row r="274" spans="1:30" customFormat="1" ht="14.5">
      <c r="A274" s="220"/>
      <c r="B274" s="267">
        <v>236</v>
      </c>
      <c r="C274" s="245"/>
      <c r="D274" s="246"/>
      <c r="E274" s="238"/>
      <c r="F274" s="225"/>
      <c r="G274" s="231"/>
      <c r="H274" s="377">
        <v>260</v>
      </c>
      <c r="I274" s="394"/>
      <c r="J274" s="394"/>
      <c r="K274" s="403"/>
      <c r="L274" s="403"/>
      <c r="M274" s="403"/>
      <c r="N274" s="403"/>
      <c r="O274" s="403"/>
      <c r="P274" s="403"/>
      <c r="Q274" s="403"/>
      <c r="R274" s="441"/>
      <c r="S274" s="433"/>
      <c r="T274" s="412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13"/>
      <c r="V274" s="413"/>
      <c r="W274" s="414"/>
      <c r="X274" s="415"/>
      <c r="Y274" s="416" t="str">
        <f t="shared" ca="1" si="22"/>
        <v/>
      </c>
      <c r="Z274" s="417" t="str">
        <f t="shared" ca="1" si="23"/>
        <v/>
      </c>
      <c r="AA274" s="416" t="str">
        <f t="shared" ca="1" si="24"/>
        <v/>
      </c>
      <c r="AB274" s="418" t="str">
        <f t="shared" ca="1" si="25"/>
        <v/>
      </c>
      <c r="AC274" s="417" t="str">
        <f t="shared" ca="1" si="26"/>
        <v/>
      </c>
      <c r="AD274" s="220"/>
    </row>
    <row r="275" spans="1:30" customFormat="1" ht="14.5">
      <c r="A275" s="220"/>
      <c r="B275" s="267">
        <v>237</v>
      </c>
      <c r="C275" s="245"/>
      <c r="D275" s="246"/>
      <c r="E275" s="238"/>
      <c r="F275" s="225"/>
      <c r="G275" s="231"/>
      <c r="H275" s="377">
        <v>261</v>
      </c>
      <c r="I275" s="394"/>
      <c r="J275" s="394"/>
      <c r="K275" s="403"/>
      <c r="L275" s="403"/>
      <c r="M275" s="403"/>
      <c r="N275" s="403"/>
      <c r="O275" s="403"/>
      <c r="P275" s="403"/>
      <c r="Q275" s="403"/>
      <c r="R275" s="441"/>
      <c r="S275" s="433"/>
      <c r="T275" s="412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13"/>
      <c r="V275" s="413"/>
      <c r="W275" s="414"/>
      <c r="X275" s="415"/>
      <c r="Y275" s="416" t="str">
        <f t="shared" ca="1" si="22"/>
        <v/>
      </c>
      <c r="Z275" s="417" t="str">
        <f t="shared" ca="1" si="23"/>
        <v/>
      </c>
      <c r="AA275" s="416" t="str">
        <f t="shared" ca="1" si="24"/>
        <v/>
      </c>
      <c r="AB275" s="418" t="str">
        <f t="shared" ca="1" si="25"/>
        <v/>
      </c>
      <c r="AC275" s="417" t="str">
        <f t="shared" ca="1" si="26"/>
        <v/>
      </c>
      <c r="AD275" s="220"/>
    </row>
    <row r="276" spans="1:30" customFormat="1" ht="14.5">
      <c r="A276" s="220"/>
      <c r="B276" s="267">
        <v>238</v>
      </c>
      <c r="C276" s="245"/>
      <c r="D276" s="246"/>
      <c r="E276" s="238"/>
      <c r="F276" s="225"/>
      <c r="G276" s="231"/>
      <c r="H276" s="377">
        <v>262</v>
      </c>
      <c r="I276" s="394"/>
      <c r="J276" s="394"/>
      <c r="K276" s="403"/>
      <c r="L276" s="403"/>
      <c r="M276" s="403"/>
      <c r="N276" s="403"/>
      <c r="O276" s="403"/>
      <c r="P276" s="403"/>
      <c r="Q276" s="403"/>
      <c r="R276" s="441"/>
      <c r="S276" s="433"/>
      <c r="T276" s="412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13"/>
      <c r="V276" s="413"/>
      <c r="W276" s="414"/>
      <c r="X276" s="415"/>
      <c r="Y276" s="416" t="str">
        <f t="shared" ca="1" si="22"/>
        <v/>
      </c>
      <c r="Z276" s="417" t="str">
        <f t="shared" ca="1" si="23"/>
        <v/>
      </c>
      <c r="AA276" s="416" t="str">
        <f t="shared" ca="1" si="24"/>
        <v/>
      </c>
      <c r="AB276" s="418" t="str">
        <f t="shared" ca="1" si="25"/>
        <v/>
      </c>
      <c r="AC276" s="417" t="str">
        <f t="shared" ca="1" si="26"/>
        <v/>
      </c>
      <c r="AD276" s="220"/>
    </row>
    <row r="277" spans="1:30" customFormat="1" ht="14.5">
      <c r="A277" s="220"/>
      <c r="B277" s="267">
        <v>239</v>
      </c>
      <c r="C277" s="245"/>
      <c r="D277" s="246"/>
      <c r="E277" s="238"/>
      <c r="F277" s="225"/>
      <c r="G277" s="231"/>
      <c r="H277" s="377">
        <v>263</v>
      </c>
      <c r="I277" s="394"/>
      <c r="J277" s="394"/>
      <c r="K277" s="403"/>
      <c r="L277" s="403"/>
      <c r="M277" s="403"/>
      <c r="N277" s="403"/>
      <c r="O277" s="403"/>
      <c r="P277" s="403"/>
      <c r="Q277" s="403"/>
      <c r="R277" s="441"/>
      <c r="S277" s="433"/>
      <c r="T277" s="412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13"/>
      <c r="V277" s="413"/>
      <c r="W277" s="414"/>
      <c r="X277" s="415"/>
      <c r="Y277" s="416" t="str">
        <f t="shared" ca="1" si="22"/>
        <v/>
      </c>
      <c r="Z277" s="417" t="str">
        <f t="shared" ca="1" si="23"/>
        <v/>
      </c>
      <c r="AA277" s="416" t="str">
        <f t="shared" ca="1" si="24"/>
        <v/>
      </c>
      <c r="AB277" s="418" t="str">
        <f t="shared" ca="1" si="25"/>
        <v/>
      </c>
      <c r="AC277" s="417" t="str">
        <f t="shared" ca="1" si="26"/>
        <v/>
      </c>
      <c r="AD277" s="220"/>
    </row>
    <row r="278" spans="1:30" customFormat="1" ht="14.5">
      <c r="A278" s="220"/>
      <c r="B278" s="267">
        <v>240</v>
      </c>
      <c r="C278" s="245"/>
      <c r="D278" s="246"/>
      <c r="E278" s="238"/>
      <c r="F278" s="225"/>
      <c r="G278" s="231"/>
      <c r="H278" s="377">
        <v>264</v>
      </c>
      <c r="I278" s="394"/>
      <c r="J278" s="394"/>
      <c r="K278" s="403"/>
      <c r="L278" s="403"/>
      <c r="M278" s="403"/>
      <c r="N278" s="403"/>
      <c r="O278" s="403"/>
      <c r="P278" s="403"/>
      <c r="Q278" s="403"/>
      <c r="R278" s="441"/>
      <c r="S278" s="433"/>
      <c r="T278" s="412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13"/>
      <c r="V278" s="413"/>
      <c r="W278" s="414"/>
      <c r="X278" s="415"/>
      <c r="Y278" s="416" t="str">
        <f t="shared" ca="1" si="22"/>
        <v/>
      </c>
      <c r="Z278" s="417" t="str">
        <f t="shared" ca="1" si="23"/>
        <v/>
      </c>
      <c r="AA278" s="416" t="str">
        <f t="shared" ca="1" si="24"/>
        <v/>
      </c>
      <c r="AB278" s="418" t="str">
        <f t="shared" ca="1" si="25"/>
        <v/>
      </c>
      <c r="AC278" s="417" t="str">
        <f t="shared" ca="1" si="26"/>
        <v/>
      </c>
      <c r="AD278" s="220"/>
    </row>
    <row r="279" spans="1:30" customFormat="1" ht="14.5">
      <c r="A279" s="220"/>
      <c r="B279" s="267">
        <v>241</v>
      </c>
      <c r="C279" s="245"/>
      <c r="D279" s="246"/>
      <c r="E279" s="238"/>
      <c r="F279" s="225"/>
      <c r="G279" s="231"/>
      <c r="H279" s="377">
        <v>265</v>
      </c>
      <c r="I279" s="394"/>
      <c r="J279" s="394"/>
      <c r="K279" s="403"/>
      <c r="L279" s="403"/>
      <c r="M279" s="403"/>
      <c r="N279" s="403"/>
      <c r="O279" s="403"/>
      <c r="P279" s="403"/>
      <c r="Q279" s="403"/>
      <c r="R279" s="441"/>
      <c r="S279" s="433"/>
      <c r="T279" s="412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13"/>
      <c r="V279" s="413"/>
      <c r="W279" s="414"/>
      <c r="X279" s="415"/>
      <c r="Y279" s="416" t="str">
        <f t="shared" ca="1" si="22"/>
        <v/>
      </c>
      <c r="Z279" s="417" t="str">
        <f t="shared" ca="1" si="23"/>
        <v/>
      </c>
      <c r="AA279" s="416" t="str">
        <f t="shared" ca="1" si="24"/>
        <v/>
      </c>
      <c r="AB279" s="418" t="str">
        <f t="shared" ca="1" si="25"/>
        <v/>
      </c>
      <c r="AC279" s="417" t="str">
        <f t="shared" ca="1" si="26"/>
        <v/>
      </c>
      <c r="AD279" s="220"/>
    </row>
    <row r="280" spans="1:30" customFormat="1" ht="14.5">
      <c r="A280" s="220"/>
      <c r="B280" s="267">
        <v>242</v>
      </c>
      <c r="C280" s="245"/>
      <c r="D280" s="246"/>
      <c r="E280" s="238"/>
      <c r="F280" s="225"/>
      <c r="G280" s="231"/>
      <c r="H280" s="377">
        <v>266</v>
      </c>
      <c r="I280" s="394"/>
      <c r="J280" s="394"/>
      <c r="K280" s="403"/>
      <c r="L280" s="403"/>
      <c r="M280" s="403"/>
      <c r="N280" s="403"/>
      <c r="O280" s="403"/>
      <c r="P280" s="403"/>
      <c r="Q280" s="403"/>
      <c r="R280" s="441"/>
      <c r="S280" s="433"/>
      <c r="T280" s="412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13"/>
      <c r="V280" s="413"/>
      <c r="W280" s="414"/>
      <c r="X280" s="415"/>
      <c r="Y280" s="416" t="str">
        <f t="shared" ca="1" si="22"/>
        <v/>
      </c>
      <c r="Z280" s="417" t="str">
        <f t="shared" ca="1" si="23"/>
        <v/>
      </c>
      <c r="AA280" s="416" t="str">
        <f t="shared" ca="1" si="24"/>
        <v/>
      </c>
      <c r="AB280" s="418" t="str">
        <f t="shared" ca="1" si="25"/>
        <v/>
      </c>
      <c r="AC280" s="417" t="str">
        <f t="shared" ca="1" si="26"/>
        <v/>
      </c>
      <c r="AD280" s="220"/>
    </row>
    <row r="281" spans="1:30" customFormat="1" ht="14.5">
      <c r="A281" s="220"/>
      <c r="B281" s="267">
        <v>243</v>
      </c>
      <c r="C281" s="245"/>
      <c r="D281" s="246"/>
      <c r="E281" s="238"/>
      <c r="F281" s="225"/>
      <c r="G281" s="231"/>
      <c r="H281" s="377">
        <v>267</v>
      </c>
      <c r="I281" s="394"/>
      <c r="J281" s="394"/>
      <c r="K281" s="403"/>
      <c r="L281" s="403"/>
      <c r="M281" s="403"/>
      <c r="N281" s="403"/>
      <c r="O281" s="403"/>
      <c r="P281" s="403"/>
      <c r="Q281" s="403"/>
      <c r="R281" s="441"/>
      <c r="S281" s="433"/>
      <c r="T281" s="412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13"/>
      <c r="V281" s="413"/>
      <c r="W281" s="414"/>
      <c r="X281" s="415"/>
      <c r="Y281" s="416" t="str">
        <f t="shared" ca="1" si="22"/>
        <v/>
      </c>
      <c r="Z281" s="417" t="str">
        <f t="shared" ca="1" si="23"/>
        <v/>
      </c>
      <c r="AA281" s="416" t="str">
        <f t="shared" ca="1" si="24"/>
        <v/>
      </c>
      <c r="AB281" s="418" t="str">
        <f t="shared" ca="1" si="25"/>
        <v/>
      </c>
      <c r="AC281" s="417" t="str">
        <f t="shared" ca="1" si="26"/>
        <v/>
      </c>
      <c r="AD281" s="220"/>
    </row>
    <row r="282" spans="1:30" customFormat="1" ht="14.5">
      <c r="A282" s="220"/>
      <c r="B282" s="267">
        <v>244</v>
      </c>
      <c r="C282" s="245"/>
      <c r="D282" s="246"/>
      <c r="E282" s="238"/>
      <c r="F282" s="225"/>
      <c r="G282" s="231"/>
      <c r="H282" s="377">
        <v>268</v>
      </c>
      <c r="I282" s="394"/>
      <c r="J282" s="394"/>
      <c r="K282" s="403"/>
      <c r="L282" s="403"/>
      <c r="M282" s="403"/>
      <c r="N282" s="403"/>
      <c r="O282" s="403"/>
      <c r="P282" s="403"/>
      <c r="Q282" s="403"/>
      <c r="R282" s="441"/>
      <c r="S282" s="433"/>
      <c r="T282" s="412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13"/>
      <c r="V282" s="413"/>
      <c r="W282" s="414"/>
      <c r="X282" s="415"/>
      <c r="Y282" s="416" t="str">
        <f t="shared" ca="1" si="22"/>
        <v/>
      </c>
      <c r="Z282" s="417" t="str">
        <f t="shared" ca="1" si="23"/>
        <v/>
      </c>
      <c r="AA282" s="416" t="str">
        <f t="shared" ca="1" si="24"/>
        <v/>
      </c>
      <c r="AB282" s="418" t="str">
        <f t="shared" ca="1" si="25"/>
        <v/>
      </c>
      <c r="AC282" s="417" t="str">
        <f t="shared" ca="1" si="26"/>
        <v/>
      </c>
      <c r="AD282" s="220"/>
    </row>
    <row r="283" spans="1:30" customFormat="1" ht="14.5">
      <c r="A283" s="220"/>
      <c r="B283" s="267">
        <v>245</v>
      </c>
      <c r="C283" s="245"/>
      <c r="D283" s="246"/>
      <c r="E283" s="238"/>
      <c r="F283" s="225"/>
      <c r="G283" s="231"/>
      <c r="H283" s="377">
        <v>269</v>
      </c>
      <c r="I283" s="394"/>
      <c r="J283" s="394"/>
      <c r="K283" s="403"/>
      <c r="L283" s="403"/>
      <c r="M283" s="403"/>
      <c r="N283" s="403"/>
      <c r="O283" s="403"/>
      <c r="P283" s="403"/>
      <c r="Q283" s="403"/>
      <c r="R283" s="441"/>
      <c r="S283" s="433"/>
      <c r="T283" s="412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13"/>
      <c r="V283" s="413"/>
      <c r="W283" s="414"/>
      <c r="X283" s="415"/>
      <c r="Y283" s="416" t="str">
        <f t="shared" ca="1" si="22"/>
        <v/>
      </c>
      <c r="Z283" s="417" t="str">
        <f t="shared" ca="1" si="23"/>
        <v/>
      </c>
      <c r="AA283" s="416" t="str">
        <f t="shared" ca="1" si="24"/>
        <v/>
      </c>
      <c r="AB283" s="418" t="str">
        <f t="shared" ca="1" si="25"/>
        <v/>
      </c>
      <c r="AC283" s="417" t="str">
        <f t="shared" ca="1" si="26"/>
        <v/>
      </c>
      <c r="AD283" s="220"/>
    </row>
    <row r="284" spans="1:30" customFormat="1" ht="14.5">
      <c r="A284" s="220"/>
      <c r="B284" s="267">
        <v>246</v>
      </c>
      <c r="C284" s="245"/>
      <c r="D284" s="246"/>
      <c r="E284" s="238"/>
      <c r="F284" s="225"/>
      <c r="G284" s="231"/>
      <c r="H284" s="377">
        <v>270</v>
      </c>
      <c r="I284" s="394"/>
      <c r="J284" s="394"/>
      <c r="K284" s="403"/>
      <c r="L284" s="403"/>
      <c r="M284" s="403"/>
      <c r="N284" s="403"/>
      <c r="O284" s="403"/>
      <c r="P284" s="403"/>
      <c r="Q284" s="403"/>
      <c r="R284" s="441"/>
      <c r="S284" s="433"/>
      <c r="T284" s="412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13"/>
      <c r="V284" s="413"/>
      <c r="W284" s="414"/>
      <c r="X284" s="415"/>
      <c r="Y284" s="416" t="str">
        <f t="shared" ca="1" si="22"/>
        <v/>
      </c>
      <c r="Z284" s="417" t="str">
        <f t="shared" ca="1" si="23"/>
        <v/>
      </c>
      <c r="AA284" s="416" t="str">
        <f t="shared" ca="1" si="24"/>
        <v/>
      </c>
      <c r="AB284" s="418" t="str">
        <f t="shared" ca="1" si="25"/>
        <v/>
      </c>
      <c r="AC284" s="417" t="str">
        <f t="shared" ca="1" si="26"/>
        <v/>
      </c>
      <c r="AD284" s="220"/>
    </row>
    <row r="285" spans="1:30" customFormat="1" ht="14.5">
      <c r="A285" s="220"/>
      <c r="B285" s="267">
        <v>247</v>
      </c>
      <c r="C285" s="245"/>
      <c r="D285" s="246"/>
      <c r="E285" s="238"/>
      <c r="F285" s="225"/>
      <c r="G285" s="231"/>
      <c r="H285" s="377">
        <v>271</v>
      </c>
      <c r="I285" s="394"/>
      <c r="J285" s="394"/>
      <c r="K285" s="403"/>
      <c r="L285" s="403"/>
      <c r="M285" s="403"/>
      <c r="N285" s="403"/>
      <c r="O285" s="403"/>
      <c r="P285" s="403"/>
      <c r="Q285" s="403"/>
      <c r="R285" s="441"/>
      <c r="S285" s="433"/>
      <c r="T285" s="412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13"/>
      <c r="V285" s="413"/>
      <c r="W285" s="414"/>
      <c r="X285" s="415"/>
      <c r="Y285" s="416" t="str">
        <f t="shared" ca="1" si="22"/>
        <v/>
      </c>
      <c r="Z285" s="417" t="str">
        <f t="shared" ca="1" si="23"/>
        <v/>
      </c>
      <c r="AA285" s="416" t="str">
        <f t="shared" ca="1" si="24"/>
        <v/>
      </c>
      <c r="AB285" s="418" t="str">
        <f t="shared" ca="1" si="25"/>
        <v/>
      </c>
      <c r="AC285" s="417" t="str">
        <f t="shared" ca="1" si="26"/>
        <v/>
      </c>
      <c r="AD285" s="220"/>
    </row>
    <row r="286" spans="1:30" customFormat="1" ht="14.5">
      <c r="A286" s="220"/>
      <c r="B286" s="267">
        <v>248</v>
      </c>
      <c r="C286" s="245"/>
      <c r="D286" s="246"/>
      <c r="E286" s="238"/>
      <c r="F286" s="225"/>
      <c r="G286" s="231"/>
      <c r="H286" s="377">
        <v>272</v>
      </c>
      <c r="I286" s="394"/>
      <c r="J286" s="394"/>
      <c r="K286" s="403"/>
      <c r="L286" s="403"/>
      <c r="M286" s="403"/>
      <c r="N286" s="403"/>
      <c r="O286" s="403"/>
      <c r="P286" s="403"/>
      <c r="Q286" s="403"/>
      <c r="R286" s="441"/>
      <c r="S286" s="433"/>
      <c r="T286" s="412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13"/>
      <c r="V286" s="413"/>
      <c r="W286" s="414"/>
      <c r="X286" s="415"/>
      <c r="Y286" s="416" t="str">
        <f t="shared" ca="1" si="22"/>
        <v/>
      </c>
      <c r="Z286" s="417" t="str">
        <f t="shared" ca="1" si="23"/>
        <v/>
      </c>
      <c r="AA286" s="416" t="str">
        <f t="shared" ca="1" si="24"/>
        <v/>
      </c>
      <c r="AB286" s="418" t="str">
        <f t="shared" ca="1" si="25"/>
        <v/>
      </c>
      <c r="AC286" s="417" t="str">
        <f t="shared" ca="1" si="26"/>
        <v/>
      </c>
      <c r="AD286" s="220"/>
    </row>
    <row r="287" spans="1:30" customFormat="1" ht="14.5">
      <c r="A287" s="220"/>
      <c r="B287" s="267">
        <v>249</v>
      </c>
      <c r="C287" s="245"/>
      <c r="D287" s="246"/>
      <c r="E287" s="238"/>
      <c r="F287" s="225"/>
      <c r="G287" s="231"/>
      <c r="H287" s="377">
        <v>273</v>
      </c>
      <c r="I287" s="394"/>
      <c r="J287" s="394"/>
      <c r="K287" s="403"/>
      <c r="L287" s="403"/>
      <c r="M287" s="403"/>
      <c r="N287" s="403"/>
      <c r="O287" s="403"/>
      <c r="P287" s="403"/>
      <c r="Q287" s="403"/>
      <c r="R287" s="441"/>
      <c r="S287" s="433"/>
      <c r="T287" s="412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13"/>
      <c r="V287" s="413"/>
      <c r="W287" s="414"/>
      <c r="X287" s="415"/>
      <c r="Y287" s="416" t="str">
        <f t="shared" ca="1" si="22"/>
        <v/>
      </c>
      <c r="Z287" s="417" t="str">
        <f t="shared" ca="1" si="23"/>
        <v/>
      </c>
      <c r="AA287" s="416" t="str">
        <f t="shared" ca="1" si="24"/>
        <v/>
      </c>
      <c r="AB287" s="418" t="str">
        <f t="shared" ca="1" si="25"/>
        <v/>
      </c>
      <c r="AC287" s="417" t="str">
        <f t="shared" ca="1" si="26"/>
        <v/>
      </c>
      <c r="AD287" s="220"/>
    </row>
    <row r="288" spans="1:30" customFormat="1" ht="14.5">
      <c r="A288" s="220"/>
      <c r="B288" s="267">
        <v>250</v>
      </c>
      <c r="C288" s="245"/>
      <c r="D288" s="246"/>
      <c r="E288" s="238"/>
      <c r="F288" s="225"/>
      <c r="G288" s="231"/>
      <c r="H288" s="377">
        <v>274</v>
      </c>
      <c r="I288" s="394"/>
      <c r="J288" s="394"/>
      <c r="K288" s="403"/>
      <c r="L288" s="403"/>
      <c r="M288" s="403"/>
      <c r="N288" s="403"/>
      <c r="O288" s="403"/>
      <c r="P288" s="403"/>
      <c r="Q288" s="403"/>
      <c r="R288" s="441"/>
      <c r="S288" s="433"/>
      <c r="T288" s="412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13"/>
      <c r="V288" s="413"/>
      <c r="W288" s="414"/>
      <c r="X288" s="415"/>
      <c r="Y288" s="416" t="str">
        <f t="shared" ca="1" si="22"/>
        <v/>
      </c>
      <c r="Z288" s="417" t="str">
        <f t="shared" ca="1" si="23"/>
        <v/>
      </c>
      <c r="AA288" s="416" t="str">
        <f t="shared" ca="1" si="24"/>
        <v/>
      </c>
      <c r="AB288" s="418" t="str">
        <f t="shared" ca="1" si="25"/>
        <v/>
      </c>
      <c r="AC288" s="417" t="str">
        <f t="shared" ca="1" si="26"/>
        <v/>
      </c>
      <c r="AD288" s="220"/>
    </row>
    <row r="289" spans="1:30" customFormat="1" ht="14.5">
      <c r="A289" s="220"/>
      <c r="B289" s="267">
        <v>251</v>
      </c>
      <c r="C289" s="245"/>
      <c r="D289" s="246"/>
      <c r="E289" s="238"/>
      <c r="F289" s="225"/>
      <c r="G289" s="231"/>
      <c r="H289" s="377">
        <v>275</v>
      </c>
      <c r="I289" s="394"/>
      <c r="J289" s="394"/>
      <c r="K289" s="403"/>
      <c r="L289" s="403"/>
      <c r="M289" s="403"/>
      <c r="N289" s="403"/>
      <c r="O289" s="403"/>
      <c r="P289" s="403"/>
      <c r="Q289" s="403"/>
      <c r="R289" s="441"/>
      <c r="S289" s="433"/>
      <c r="T289" s="412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13"/>
      <c r="V289" s="413"/>
      <c r="W289" s="414"/>
      <c r="X289" s="415"/>
      <c r="Y289" s="416" t="str">
        <f t="shared" ca="1" si="22"/>
        <v/>
      </c>
      <c r="Z289" s="417" t="str">
        <f t="shared" ca="1" si="23"/>
        <v/>
      </c>
      <c r="AA289" s="416" t="str">
        <f t="shared" ca="1" si="24"/>
        <v/>
      </c>
      <c r="AB289" s="418" t="str">
        <f t="shared" ca="1" si="25"/>
        <v/>
      </c>
      <c r="AC289" s="417" t="str">
        <f t="shared" ca="1" si="26"/>
        <v/>
      </c>
      <c r="AD289" s="220"/>
    </row>
    <row r="290" spans="1:30" customFormat="1" ht="14.5">
      <c r="A290" s="220"/>
      <c r="B290" s="267">
        <v>252</v>
      </c>
      <c r="C290" s="245"/>
      <c r="D290" s="246"/>
      <c r="E290" s="238"/>
      <c r="F290" s="225"/>
      <c r="G290" s="231"/>
      <c r="H290" s="377">
        <v>276</v>
      </c>
      <c r="I290" s="394"/>
      <c r="J290" s="394"/>
      <c r="K290" s="403"/>
      <c r="L290" s="403"/>
      <c r="M290" s="403"/>
      <c r="N290" s="403"/>
      <c r="O290" s="403"/>
      <c r="P290" s="403"/>
      <c r="Q290" s="403"/>
      <c r="R290" s="441"/>
      <c r="S290" s="433"/>
      <c r="T290" s="412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13"/>
      <c r="V290" s="413"/>
      <c r="W290" s="414"/>
      <c r="X290" s="415"/>
      <c r="Y290" s="416" t="str">
        <f t="shared" ca="1" si="22"/>
        <v/>
      </c>
      <c r="Z290" s="417" t="str">
        <f t="shared" ca="1" si="23"/>
        <v/>
      </c>
      <c r="AA290" s="416" t="str">
        <f t="shared" ca="1" si="24"/>
        <v/>
      </c>
      <c r="AB290" s="418" t="str">
        <f t="shared" ca="1" si="25"/>
        <v/>
      </c>
      <c r="AC290" s="417" t="str">
        <f t="shared" ca="1" si="26"/>
        <v/>
      </c>
      <c r="AD290" s="220"/>
    </row>
    <row r="291" spans="1:30" customFormat="1" ht="14.5">
      <c r="A291" s="220"/>
      <c r="B291" s="267">
        <v>253</v>
      </c>
      <c r="C291" s="245"/>
      <c r="D291" s="246"/>
      <c r="E291" s="238"/>
      <c r="F291" s="225"/>
      <c r="G291" s="231"/>
      <c r="H291" s="377">
        <v>277</v>
      </c>
      <c r="I291" s="394"/>
      <c r="J291" s="394"/>
      <c r="K291" s="403"/>
      <c r="L291" s="403"/>
      <c r="M291" s="403"/>
      <c r="N291" s="403"/>
      <c r="O291" s="403"/>
      <c r="P291" s="403"/>
      <c r="Q291" s="403"/>
      <c r="R291" s="441"/>
      <c r="S291" s="433"/>
      <c r="T291" s="412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13"/>
      <c r="V291" s="413"/>
      <c r="W291" s="414"/>
      <c r="X291" s="415"/>
      <c r="Y291" s="416" t="str">
        <f t="shared" ca="1" si="22"/>
        <v/>
      </c>
      <c r="Z291" s="417" t="str">
        <f t="shared" ca="1" si="23"/>
        <v/>
      </c>
      <c r="AA291" s="416" t="str">
        <f t="shared" ca="1" si="24"/>
        <v/>
      </c>
      <c r="AB291" s="418" t="str">
        <f t="shared" ca="1" si="25"/>
        <v/>
      </c>
      <c r="AC291" s="417" t="str">
        <f t="shared" ca="1" si="26"/>
        <v/>
      </c>
      <c r="AD291" s="220"/>
    </row>
    <row r="292" spans="1:30" customFormat="1" ht="14.5">
      <c r="A292" s="220"/>
      <c r="B292" s="267">
        <v>254</v>
      </c>
      <c r="C292" s="245"/>
      <c r="D292" s="246"/>
      <c r="E292" s="238"/>
      <c r="F292" s="225"/>
      <c r="G292" s="231"/>
      <c r="H292" s="377">
        <v>278</v>
      </c>
      <c r="I292" s="394"/>
      <c r="J292" s="394"/>
      <c r="K292" s="403"/>
      <c r="L292" s="403"/>
      <c r="M292" s="403"/>
      <c r="N292" s="403"/>
      <c r="O292" s="403"/>
      <c r="P292" s="403"/>
      <c r="Q292" s="403"/>
      <c r="R292" s="441"/>
      <c r="S292" s="433"/>
      <c r="T292" s="412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13"/>
      <c r="V292" s="413"/>
      <c r="W292" s="414"/>
      <c r="X292" s="415"/>
      <c r="Y292" s="416" t="str">
        <f t="shared" ca="1" si="22"/>
        <v/>
      </c>
      <c r="Z292" s="417" t="str">
        <f t="shared" ca="1" si="23"/>
        <v/>
      </c>
      <c r="AA292" s="416" t="str">
        <f t="shared" ca="1" si="24"/>
        <v/>
      </c>
      <c r="AB292" s="418" t="str">
        <f t="shared" ca="1" si="25"/>
        <v/>
      </c>
      <c r="AC292" s="417" t="str">
        <f t="shared" ca="1" si="26"/>
        <v/>
      </c>
      <c r="AD292" s="220"/>
    </row>
    <row r="293" spans="1:30" customFormat="1" ht="14.5">
      <c r="A293" s="220"/>
      <c r="B293" s="267">
        <v>255</v>
      </c>
      <c r="C293" s="245"/>
      <c r="D293" s="246"/>
      <c r="E293" s="238"/>
      <c r="F293" s="225"/>
      <c r="G293" s="231"/>
      <c r="H293" s="377">
        <v>279</v>
      </c>
      <c r="I293" s="394"/>
      <c r="J293" s="394"/>
      <c r="K293" s="403"/>
      <c r="L293" s="403"/>
      <c r="M293" s="403"/>
      <c r="N293" s="403"/>
      <c r="O293" s="403"/>
      <c r="P293" s="403"/>
      <c r="Q293" s="403"/>
      <c r="R293" s="441"/>
      <c r="S293" s="433"/>
      <c r="T293" s="412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13"/>
      <c r="V293" s="413"/>
      <c r="W293" s="414"/>
      <c r="X293" s="415"/>
      <c r="Y293" s="416" t="str">
        <f t="shared" ca="1" si="22"/>
        <v/>
      </c>
      <c r="Z293" s="417" t="str">
        <f t="shared" ca="1" si="23"/>
        <v/>
      </c>
      <c r="AA293" s="416" t="str">
        <f t="shared" ca="1" si="24"/>
        <v/>
      </c>
      <c r="AB293" s="418" t="str">
        <f t="shared" ca="1" si="25"/>
        <v/>
      </c>
      <c r="AC293" s="417" t="str">
        <f t="shared" ca="1" si="26"/>
        <v/>
      </c>
      <c r="AD293" s="220"/>
    </row>
    <row r="294" spans="1:30" customFormat="1" ht="14.5">
      <c r="A294" s="220"/>
      <c r="B294" s="267">
        <v>256</v>
      </c>
      <c r="C294" s="245"/>
      <c r="D294" s="246"/>
      <c r="E294" s="238"/>
      <c r="F294" s="225"/>
      <c r="G294" s="231"/>
      <c r="H294" s="377">
        <v>280</v>
      </c>
      <c r="I294" s="394"/>
      <c r="J294" s="394"/>
      <c r="K294" s="403"/>
      <c r="L294" s="403"/>
      <c r="M294" s="403"/>
      <c r="N294" s="403"/>
      <c r="O294" s="403"/>
      <c r="P294" s="403"/>
      <c r="Q294" s="403"/>
      <c r="R294" s="441"/>
      <c r="S294" s="433"/>
      <c r="T294" s="412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13"/>
      <c r="V294" s="413"/>
      <c r="W294" s="414"/>
      <c r="X294" s="415"/>
      <c r="Y294" s="416" t="str">
        <f t="shared" ca="1" si="22"/>
        <v/>
      </c>
      <c r="Z294" s="417" t="str">
        <f t="shared" ca="1" si="23"/>
        <v/>
      </c>
      <c r="AA294" s="416" t="str">
        <f t="shared" ca="1" si="24"/>
        <v/>
      </c>
      <c r="AB294" s="418" t="str">
        <f t="shared" ca="1" si="25"/>
        <v/>
      </c>
      <c r="AC294" s="417" t="str">
        <f t="shared" ca="1" si="26"/>
        <v/>
      </c>
      <c r="AD294" s="220"/>
    </row>
    <row r="295" spans="1:30" customFormat="1" ht="14.5">
      <c r="A295" s="220"/>
      <c r="B295" s="267">
        <v>257</v>
      </c>
      <c r="C295" s="245"/>
      <c r="D295" s="246"/>
      <c r="E295" s="238"/>
      <c r="F295" s="225"/>
      <c r="G295" s="231"/>
      <c r="H295" s="377">
        <v>281</v>
      </c>
      <c r="I295" s="394"/>
      <c r="J295" s="394"/>
      <c r="K295" s="403"/>
      <c r="L295" s="403"/>
      <c r="M295" s="403"/>
      <c r="N295" s="403"/>
      <c r="O295" s="403"/>
      <c r="P295" s="403"/>
      <c r="Q295" s="403"/>
      <c r="R295" s="441"/>
      <c r="S295" s="433"/>
      <c r="T295" s="412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13"/>
      <c r="V295" s="413"/>
      <c r="W295" s="414"/>
      <c r="X295" s="415"/>
      <c r="Y295" s="416" t="str">
        <f t="shared" ca="1" si="22"/>
        <v/>
      </c>
      <c r="Z295" s="417" t="str">
        <f t="shared" ca="1" si="23"/>
        <v/>
      </c>
      <c r="AA295" s="416" t="str">
        <f t="shared" ca="1" si="24"/>
        <v/>
      </c>
      <c r="AB295" s="418" t="str">
        <f t="shared" ca="1" si="25"/>
        <v/>
      </c>
      <c r="AC295" s="417" t="str">
        <f t="shared" ca="1" si="26"/>
        <v/>
      </c>
      <c r="AD295" s="220"/>
    </row>
    <row r="296" spans="1:30" customFormat="1" ht="14.5">
      <c r="A296" s="220"/>
      <c r="B296" s="267">
        <v>258</v>
      </c>
      <c r="C296" s="245"/>
      <c r="D296" s="246"/>
      <c r="E296" s="238"/>
      <c r="F296" s="225"/>
      <c r="G296" s="231"/>
      <c r="H296" s="377">
        <v>282</v>
      </c>
      <c r="I296" s="394"/>
      <c r="J296" s="394"/>
      <c r="K296" s="403"/>
      <c r="L296" s="403"/>
      <c r="M296" s="403"/>
      <c r="N296" s="403"/>
      <c r="O296" s="403"/>
      <c r="P296" s="403"/>
      <c r="Q296" s="403"/>
      <c r="R296" s="441"/>
      <c r="S296" s="433"/>
      <c r="T296" s="412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13"/>
      <c r="V296" s="413"/>
      <c r="W296" s="414"/>
      <c r="X296" s="415"/>
      <c r="Y296" s="416" t="str">
        <f t="shared" ca="1" si="22"/>
        <v/>
      </c>
      <c r="Z296" s="417" t="str">
        <f t="shared" ca="1" si="23"/>
        <v/>
      </c>
      <c r="AA296" s="416" t="str">
        <f t="shared" ca="1" si="24"/>
        <v/>
      </c>
      <c r="AB296" s="418" t="str">
        <f t="shared" ca="1" si="25"/>
        <v/>
      </c>
      <c r="AC296" s="417" t="str">
        <f t="shared" ca="1" si="26"/>
        <v/>
      </c>
      <c r="AD296" s="220"/>
    </row>
    <row r="297" spans="1:30" customFormat="1" ht="14.5">
      <c r="A297" s="220"/>
      <c r="B297" s="267">
        <v>259</v>
      </c>
      <c r="C297" s="245"/>
      <c r="D297" s="246"/>
      <c r="E297" s="238"/>
      <c r="F297" s="225"/>
      <c r="G297" s="231"/>
      <c r="H297" s="377">
        <v>283</v>
      </c>
      <c r="I297" s="394"/>
      <c r="J297" s="394"/>
      <c r="K297" s="403"/>
      <c r="L297" s="403"/>
      <c r="M297" s="403"/>
      <c r="N297" s="403"/>
      <c r="O297" s="403"/>
      <c r="P297" s="403"/>
      <c r="Q297" s="403"/>
      <c r="R297" s="441"/>
      <c r="S297" s="433"/>
      <c r="T297" s="412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13"/>
      <c r="V297" s="413"/>
      <c r="W297" s="414"/>
      <c r="X297" s="415"/>
      <c r="Y297" s="416" t="str">
        <f t="shared" ca="1" si="22"/>
        <v/>
      </c>
      <c r="Z297" s="417" t="str">
        <f t="shared" ca="1" si="23"/>
        <v/>
      </c>
      <c r="AA297" s="416" t="str">
        <f t="shared" ca="1" si="24"/>
        <v/>
      </c>
      <c r="AB297" s="418" t="str">
        <f t="shared" ca="1" si="25"/>
        <v/>
      </c>
      <c r="AC297" s="417" t="str">
        <f t="shared" ca="1" si="26"/>
        <v/>
      </c>
      <c r="AD297" s="220"/>
    </row>
    <row r="298" spans="1:30" customFormat="1" ht="14.5">
      <c r="A298" s="220"/>
      <c r="B298" s="267">
        <v>260</v>
      </c>
      <c r="C298" s="245"/>
      <c r="D298" s="246"/>
      <c r="E298" s="238"/>
      <c r="F298" s="225"/>
      <c r="G298" s="231"/>
      <c r="H298" s="377">
        <v>284</v>
      </c>
      <c r="I298" s="394"/>
      <c r="J298" s="394"/>
      <c r="K298" s="403"/>
      <c r="L298" s="403"/>
      <c r="M298" s="403"/>
      <c r="N298" s="403"/>
      <c r="O298" s="403"/>
      <c r="P298" s="403"/>
      <c r="Q298" s="403"/>
      <c r="R298" s="441"/>
      <c r="S298" s="433"/>
      <c r="T298" s="412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13"/>
      <c r="V298" s="413"/>
      <c r="W298" s="414"/>
      <c r="X298" s="415"/>
      <c r="Y298" s="416" t="str">
        <f t="shared" ca="1" si="22"/>
        <v/>
      </c>
      <c r="Z298" s="417" t="str">
        <f t="shared" ca="1" si="23"/>
        <v/>
      </c>
      <c r="AA298" s="416" t="str">
        <f t="shared" ca="1" si="24"/>
        <v/>
      </c>
      <c r="AB298" s="418" t="str">
        <f t="shared" ca="1" si="25"/>
        <v/>
      </c>
      <c r="AC298" s="417" t="str">
        <f t="shared" ca="1" si="26"/>
        <v/>
      </c>
      <c r="AD298" s="220"/>
    </row>
    <row r="299" spans="1:30" customFormat="1" ht="14.5">
      <c r="A299" s="220"/>
      <c r="B299" s="267">
        <v>261</v>
      </c>
      <c r="C299" s="245"/>
      <c r="D299" s="246"/>
      <c r="E299" s="238"/>
      <c r="F299" s="225"/>
      <c r="G299" s="231"/>
      <c r="H299" s="377">
        <v>285</v>
      </c>
      <c r="I299" s="394"/>
      <c r="J299" s="394"/>
      <c r="K299" s="403"/>
      <c r="L299" s="403"/>
      <c r="M299" s="403"/>
      <c r="N299" s="403"/>
      <c r="O299" s="403"/>
      <c r="P299" s="403"/>
      <c r="Q299" s="403"/>
      <c r="R299" s="441"/>
      <c r="S299" s="433"/>
      <c r="T299" s="412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13"/>
      <c r="V299" s="413"/>
      <c r="W299" s="414"/>
      <c r="X299" s="415"/>
      <c r="Y299" s="416" t="str">
        <f t="shared" ca="1" si="22"/>
        <v/>
      </c>
      <c r="Z299" s="417" t="str">
        <f t="shared" ca="1" si="23"/>
        <v/>
      </c>
      <c r="AA299" s="416" t="str">
        <f t="shared" ca="1" si="24"/>
        <v/>
      </c>
      <c r="AB299" s="418" t="str">
        <f t="shared" ca="1" si="25"/>
        <v/>
      </c>
      <c r="AC299" s="417" t="str">
        <f t="shared" ca="1" si="26"/>
        <v/>
      </c>
      <c r="AD299" s="220"/>
    </row>
    <row r="300" spans="1:30" customFormat="1" ht="14.5">
      <c r="A300" s="220"/>
      <c r="B300" s="267">
        <v>262</v>
      </c>
      <c r="C300" s="245"/>
      <c r="D300" s="246"/>
      <c r="E300" s="238"/>
      <c r="F300" s="225"/>
      <c r="G300" s="231"/>
      <c r="H300" s="377">
        <v>286</v>
      </c>
      <c r="I300" s="394"/>
      <c r="J300" s="394"/>
      <c r="K300" s="403"/>
      <c r="L300" s="403"/>
      <c r="M300" s="403"/>
      <c r="N300" s="403"/>
      <c r="O300" s="403"/>
      <c r="P300" s="403"/>
      <c r="Q300" s="403"/>
      <c r="R300" s="441"/>
      <c r="S300" s="433"/>
      <c r="T300" s="412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13"/>
      <c r="V300" s="413"/>
      <c r="W300" s="414"/>
      <c r="X300" s="415"/>
      <c r="Y300" s="416" t="str">
        <f t="shared" ca="1" si="22"/>
        <v/>
      </c>
      <c r="Z300" s="417" t="str">
        <f t="shared" ca="1" si="23"/>
        <v/>
      </c>
      <c r="AA300" s="416" t="str">
        <f t="shared" ca="1" si="24"/>
        <v/>
      </c>
      <c r="AB300" s="418" t="str">
        <f t="shared" ca="1" si="25"/>
        <v/>
      </c>
      <c r="AC300" s="417" t="str">
        <f t="shared" ca="1" si="26"/>
        <v/>
      </c>
      <c r="AD300" s="220"/>
    </row>
    <row r="301" spans="1:30" customFormat="1" ht="14.5">
      <c r="A301" s="220"/>
      <c r="B301" s="267">
        <v>263</v>
      </c>
      <c r="C301" s="245"/>
      <c r="D301" s="246"/>
      <c r="E301" s="238"/>
      <c r="F301" s="225"/>
      <c r="G301" s="231"/>
      <c r="H301" s="377">
        <v>287</v>
      </c>
      <c r="I301" s="394"/>
      <c r="J301" s="394"/>
      <c r="K301" s="403"/>
      <c r="L301" s="403"/>
      <c r="M301" s="403"/>
      <c r="N301" s="403"/>
      <c r="O301" s="403"/>
      <c r="P301" s="403"/>
      <c r="Q301" s="403"/>
      <c r="R301" s="441"/>
      <c r="S301" s="433"/>
      <c r="T301" s="412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13"/>
      <c r="V301" s="413"/>
      <c r="W301" s="414"/>
      <c r="X301" s="415"/>
      <c r="Y301" s="416" t="str">
        <f t="shared" ca="1" si="22"/>
        <v/>
      </c>
      <c r="Z301" s="417" t="str">
        <f t="shared" ca="1" si="23"/>
        <v/>
      </c>
      <c r="AA301" s="416" t="str">
        <f t="shared" ca="1" si="24"/>
        <v/>
      </c>
      <c r="AB301" s="418" t="str">
        <f t="shared" ca="1" si="25"/>
        <v/>
      </c>
      <c r="AC301" s="417" t="str">
        <f t="shared" ca="1" si="26"/>
        <v/>
      </c>
      <c r="AD301" s="220"/>
    </row>
    <row r="302" spans="1:30" customFormat="1" ht="14.5">
      <c r="A302" s="220"/>
      <c r="B302" s="267">
        <v>264</v>
      </c>
      <c r="C302" s="245"/>
      <c r="D302" s="246"/>
      <c r="E302" s="238"/>
      <c r="F302" s="225"/>
      <c r="G302" s="231"/>
      <c r="H302" s="377">
        <v>288</v>
      </c>
      <c r="I302" s="394"/>
      <c r="J302" s="394"/>
      <c r="K302" s="403"/>
      <c r="L302" s="403"/>
      <c r="M302" s="403"/>
      <c r="N302" s="403"/>
      <c r="O302" s="403"/>
      <c r="P302" s="403"/>
      <c r="Q302" s="403"/>
      <c r="R302" s="441"/>
      <c r="S302" s="433"/>
      <c r="T302" s="412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13"/>
      <c r="V302" s="413"/>
      <c r="W302" s="414"/>
      <c r="X302" s="415"/>
      <c r="Y302" s="416" t="str">
        <f t="shared" ca="1" si="22"/>
        <v/>
      </c>
      <c r="Z302" s="417" t="str">
        <f t="shared" ca="1" si="23"/>
        <v/>
      </c>
      <c r="AA302" s="416" t="str">
        <f t="shared" ca="1" si="24"/>
        <v/>
      </c>
      <c r="AB302" s="418" t="str">
        <f t="shared" ca="1" si="25"/>
        <v/>
      </c>
      <c r="AC302" s="417" t="str">
        <f t="shared" ca="1" si="26"/>
        <v/>
      </c>
      <c r="AD302" s="220"/>
    </row>
    <row r="303" spans="1:30" customFormat="1" ht="14.5">
      <c r="A303" s="220"/>
      <c r="B303" s="267">
        <v>265</v>
      </c>
      <c r="C303" s="245"/>
      <c r="D303" s="246"/>
      <c r="E303" s="238"/>
      <c r="F303" s="225"/>
      <c r="G303" s="231"/>
      <c r="H303" s="377">
        <v>289</v>
      </c>
      <c r="I303" s="394"/>
      <c r="J303" s="394"/>
      <c r="K303" s="403"/>
      <c r="L303" s="403"/>
      <c r="M303" s="403"/>
      <c r="N303" s="403"/>
      <c r="O303" s="403"/>
      <c r="P303" s="403"/>
      <c r="Q303" s="403"/>
      <c r="R303" s="441"/>
      <c r="S303" s="433"/>
      <c r="T303" s="412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13"/>
      <c r="V303" s="413"/>
      <c r="W303" s="414"/>
      <c r="X303" s="415"/>
      <c r="Y303" s="416" t="str">
        <f t="shared" ca="1" si="22"/>
        <v/>
      </c>
      <c r="Z303" s="417" t="str">
        <f t="shared" ca="1" si="23"/>
        <v/>
      </c>
      <c r="AA303" s="416" t="str">
        <f t="shared" ca="1" si="24"/>
        <v/>
      </c>
      <c r="AB303" s="418" t="str">
        <f t="shared" ca="1" si="25"/>
        <v/>
      </c>
      <c r="AC303" s="417" t="str">
        <f t="shared" ca="1" si="26"/>
        <v/>
      </c>
      <c r="AD303" s="220"/>
    </row>
    <row r="304" spans="1:30" customFormat="1" ht="14.5">
      <c r="A304" s="220"/>
      <c r="B304" s="267">
        <v>266</v>
      </c>
      <c r="C304" s="245"/>
      <c r="D304" s="246"/>
      <c r="E304" s="238"/>
      <c r="F304" s="225"/>
      <c r="G304" s="231"/>
      <c r="H304" s="377">
        <v>290</v>
      </c>
      <c r="I304" s="394"/>
      <c r="J304" s="394"/>
      <c r="K304" s="403"/>
      <c r="L304" s="403"/>
      <c r="M304" s="403"/>
      <c r="N304" s="403"/>
      <c r="O304" s="403"/>
      <c r="P304" s="403"/>
      <c r="Q304" s="403"/>
      <c r="R304" s="441"/>
      <c r="S304" s="433"/>
      <c r="T304" s="412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13"/>
      <c r="V304" s="413"/>
      <c r="W304" s="414"/>
      <c r="X304" s="415"/>
      <c r="Y304" s="416" t="str">
        <f t="shared" ca="1" si="22"/>
        <v/>
      </c>
      <c r="Z304" s="417" t="str">
        <f t="shared" ca="1" si="23"/>
        <v/>
      </c>
      <c r="AA304" s="416" t="str">
        <f t="shared" ca="1" si="24"/>
        <v/>
      </c>
      <c r="AB304" s="418" t="str">
        <f t="shared" ca="1" si="25"/>
        <v/>
      </c>
      <c r="AC304" s="417" t="str">
        <f t="shared" ca="1" si="26"/>
        <v/>
      </c>
      <c r="AD304" s="220"/>
    </row>
    <row r="305" spans="1:30" customFormat="1" ht="14.5">
      <c r="A305" s="220"/>
      <c r="B305" s="267">
        <v>267</v>
      </c>
      <c r="C305" s="245"/>
      <c r="D305" s="246"/>
      <c r="E305" s="238"/>
      <c r="F305" s="225"/>
      <c r="G305" s="231"/>
      <c r="H305" s="377">
        <v>291</v>
      </c>
      <c r="I305" s="394"/>
      <c r="J305" s="394"/>
      <c r="K305" s="403"/>
      <c r="L305" s="403"/>
      <c r="M305" s="403"/>
      <c r="N305" s="403"/>
      <c r="O305" s="403"/>
      <c r="P305" s="403"/>
      <c r="Q305" s="403"/>
      <c r="R305" s="441"/>
      <c r="S305" s="433"/>
      <c r="T305" s="412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13"/>
      <c r="V305" s="413"/>
      <c r="W305" s="414"/>
      <c r="X305" s="415"/>
      <c r="Y305" s="416" t="str">
        <f t="shared" ca="1" si="22"/>
        <v/>
      </c>
      <c r="Z305" s="417" t="str">
        <f t="shared" ca="1" si="23"/>
        <v/>
      </c>
      <c r="AA305" s="416" t="str">
        <f t="shared" ca="1" si="24"/>
        <v/>
      </c>
      <c r="AB305" s="418" t="str">
        <f t="shared" ca="1" si="25"/>
        <v/>
      </c>
      <c r="AC305" s="417" t="str">
        <f t="shared" ca="1" si="26"/>
        <v/>
      </c>
      <c r="AD305" s="220"/>
    </row>
    <row r="306" spans="1:30" customFormat="1" ht="14.5">
      <c r="A306" s="220"/>
      <c r="B306" s="267">
        <v>268</v>
      </c>
      <c r="C306" s="245"/>
      <c r="D306" s="246"/>
      <c r="E306" s="238"/>
      <c r="F306" s="225"/>
      <c r="G306" s="231"/>
      <c r="H306" s="377">
        <v>292</v>
      </c>
      <c r="I306" s="394"/>
      <c r="J306" s="394"/>
      <c r="K306" s="403"/>
      <c r="L306" s="403"/>
      <c r="M306" s="403"/>
      <c r="N306" s="403"/>
      <c r="O306" s="403"/>
      <c r="P306" s="403"/>
      <c r="Q306" s="403"/>
      <c r="R306" s="441"/>
      <c r="S306" s="433"/>
      <c r="T306" s="412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13"/>
      <c r="V306" s="413"/>
      <c r="W306" s="414"/>
      <c r="X306" s="415"/>
      <c r="Y306" s="416" t="str">
        <f t="shared" ca="1" si="22"/>
        <v/>
      </c>
      <c r="Z306" s="417" t="str">
        <f t="shared" ca="1" si="23"/>
        <v/>
      </c>
      <c r="AA306" s="416" t="str">
        <f t="shared" ca="1" si="24"/>
        <v/>
      </c>
      <c r="AB306" s="418" t="str">
        <f t="shared" ca="1" si="25"/>
        <v/>
      </c>
      <c r="AC306" s="417" t="str">
        <f t="shared" ca="1" si="26"/>
        <v/>
      </c>
      <c r="AD306" s="220"/>
    </row>
    <row r="307" spans="1:30" customFormat="1" ht="14.5">
      <c r="A307" s="220"/>
      <c r="B307" s="267">
        <v>269</v>
      </c>
      <c r="C307" s="245"/>
      <c r="D307" s="246"/>
      <c r="E307" s="238"/>
      <c r="F307" s="225"/>
      <c r="G307" s="231"/>
      <c r="H307" s="377">
        <v>293</v>
      </c>
      <c r="I307" s="394"/>
      <c r="J307" s="394"/>
      <c r="K307" s="403"/>
      <c r="L307" s="403"/>
      <c r="M307" s="403"/>
      <c r="N307" s="403"/>
      <c r="O307" s="403"/>
      <c r="P307" s="403"/>
      <c r="Q307" s="403"/>
      <c r="R307" s="441"/>
      <c r="S307" s="433"/>
      <c r="T307" s="412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13"/>
      <c r="V307" s="413"/>
      <c r="W307" s="414"/>
      <c r="X307" s="415"/>
      <c r="Y307" s="416" t="str">
        <f t="shared" ca="1" si="22"/>
        <v/>
      </c>
      <c r="Z307" s="417" t="str">
        <f t="shared" ca="1" si="23"/>
        <v/>
      </c>
      <c r="AA307" s="416" t="str">
        <f t="shared" ca="1" si="24"/>
        <v/>
      </c>
      <c r="AB307" s="418" t="str">
        <f t="shared" ca="1" si="25"/>
        <v/>
      </c>
      <c r="AC307" s="417" t="str">
        <f t="shared" ca="1" si="26"/>
        <v/>
      </c>
      <c r="AD307" s="220"/>
    </row>
    <row r="308" spans="1:30" customFormat="1" ht="14.5">
      <c r="A308" s="220"/>
      <c r="B308" s="267">
        <v>270</v>
      </c>
      <c r="C308" s="245"/>
      <c r="D308" s="246"/>
      <c r="E308" s="238"/>
      <c r="F308" s="225"/>
      <c r="G308" s="231"/>
      <c r="H308" s="377">
        <v>294</v>
      </c>
      <c r="I308" s="394"/>
      <c r="J308" s="394"/>
      <c r="K308" s="403"/>
      <c r="L308" s="403"/>
      <c r="M308" s="403"/>
      <c r="N308" s="403"/>
      <c r="O308" s="403"/>
      <c r="P308" s="403"/>
      <c r="Q308" s="403"/>
      <c r="R308" s="441"/>
      <c r="S308" s="433"/>
      <c r="T308" s="412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13"/>
      <c r="V308" s="413"/>
      <c r="W308" s="414"/>
      <c r="X308" s="415"/>
      <c r="Y308" s="416" t="str">
        <f t="shared" ca="1" si="22"/>
        <v/>
      </c>
      <c r="Z308" s="417" t="str">
        <f t="shared" ca="1" si="23"/>
        <v/>
      </c>
      <c r="AA308" s="416" t="str">
        <f t="shared" ca="1" si="24"/>
        <v/>
      </c>
      <c r="AB308" s="418" t="str">
        <f t="shared" ca="1" si="25"/>
        <v/>
      </c>
      <c r="AC308" s="417" t="str">
        <f t="shared" ca="1" si="26"/>
        <v/>
      </c>
      <c r="AD308" s="220"/>
    </row>
    <row r="309" spans="1:30" customFormat="1" ht="14.5">
      <c r="A309" s="220"/>
      <c r="B309" s="267">
        <v>271</v>
      </c>
      <c r="C309" s="245"/>
      <c r="D309" s="246"/>
      <c r="E309" s="238"/>
      <c r="F309" s="225"/>
      <c r="G309" s="231"/>
      <c r="H309" s="377">
        <v>295</v>
      </c>
      <c r="I309" s="394"/>
      <c r="J309" s="394"/>
      <c r="K309" s="403"/>
      <c r="L309" s="403"/>
      <c r="M309" s="403"/>
      <c r="N309" s="403"/>
      <c r="O309" s="403"/>
      <c r="P309" s="403"/>
      <c r="Q309" s="403"/>
      <c r="R309" s="441"/>
      <c r="S309" s="433"/>
      <c r="T309" s="412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13"/>
      <c r="V309" s="413"/>
      <c r="W309" s="414"/>
      <c r="X309" s="415"/>
      <c r="Y309" s="416" t="str">
        <f t="shared" ca="1" si="22"/>
        <v/>
      </c>
      <c r="Z309" s="417" t="str">
        <f t="shared" ca="1" si="23"/>
        <v/>
      </c>
      <c r="AA309" s="416" t="str">
        <f t="shared" ca="1" si="24"/>
        <v/>
      </c>
      <c r="AB309" s="418" t="str">
        <f t="shared" ca="1" si="25"/>
        <v/>
      </c>
      <c r="AC309" s="417" t="str">
        <f t="shared" ca="1" si="26"/>
        <v/>
      </c>
      <c r="AD309" s="220"/>
    </row>
    <row r="310" spans="1:30" customFormat="1" ht="14.5">
      <c r="A310" s="220"/>
      <c r="B310" s="267">
        <v>272</v>
      </c>
      <c r="C310" s="245"/>
      <c r="D310" s="246"/>
      <c r="E310" s="238"/>
      <c r="F310" s="225"/>
      <c r="G310" s="231"/>
      <c r="H310" s="377">
        <v>296</v>
      </c>
      <c r="I310" s="394"/>
      <c r="J310" s="394"/>
      <c r="K310" s="403"/>
      <c r="L310" s="403"/>
      <c r="M310" s="403"/>
      <c r="N310" s="403"/>
      <c r="O310" s="403"/>
      <c r="P310" s="403"/>
      <c r="Q310" s="403"/>
      <c r="R310" s="441"/>
      <c r="S310" s="433"/>
      <c r="T310" s="412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13"/>
      <c r="V310" s="413"/>
      <c r="W310" s="414"/>
      <c r="X310" s="415"/>
      <c r="Y310" s="416" t="str">
        <f t="shared" ca="1" si="22"/>
        <v/>
      </c>
      <c r="Z310" s="417" t="str">
        <f t="shared" ca="1" si="23"/>
        <v/>
      </c>
      <c r="AA310" s="416" t="str">
        <f t="shared" ca="1" si="24"/>
        <v/>
      </c>
      <c r="AB310" s="418" t="str">
        <f t="shared" ca="1" si="25"/>
        <v/>
      </c>
      <c r="AC310" s="417" t="str">
        <f t="shared" ca="1" si="26"/>
        <v/>
      </c>
      <c r="AD310" s="220"/>
    </row>
    <row r="311" spans="1:30" customFormat="1" ht="14.5">
      <c r="A311" s="220"/>
      <c r="B311" s="267">
        <v>273</v>
      </c>
      <c r="C311" s="245"/>
      <c r="D311" s="246"/>
      <c r="E311" s="238"/>
      <c r="F311" s="225"/>
      <c r="G311" s="231"/>
      <c r="H311" s="377">
        <v>297</v>
      </c>
      <c r="I311" s="394"/>
      <c r="J311" s="394"/>
      <c r="K311" s="403"/>
      <c r="L311" s="403"/>
      <c r="M311" s="403"/>
      <c r="N311" s="403"/>
      <c r="O311" s="403"/>
      <c r="P311" s="403"/>
      <c r="Q311" s="403"/>
      <c r="R311" s="441"/>
      <c r="S311" s="433"/>
      <c r="T311" s="412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13"/>
      <c r="V311" s="413"/>
      <c r="W311" s="414"/>
      <c r="X311" s="415"/>
      <c r="Y311" s="416" t="str">
        <f t="shared" ca="1" si="22"/>
        <v/>
      </c>
      <c r="Z311" s="417" t="str">
        <f t="shared" ca="1" si="23"/>
        <v/>
      </c>
      <c r="AA311" s="416" t="str">
        <f t="shared" ca="1" si="24"/>
        <v/>
      </c>
      <c r="AB311" s="418" t="str">
        <f t="shared" ca="1" si="25"/>
        <v/>
      </c>
      <c r="AC311" s="417" t="str">
        <f t="shared" ca="1" si="26"/>
        <v/>
      </c>
      <c r="AD311" s="220"/>
    </row>
    <row r="312" spans="1:30" customFormat="1" ht="14.5">
      <c r="A312" s="220"/>
      <c r="B312" s="267">
        <v>274</v>
      </c>
      <c r="C312" s="245"/>
      <c r="D312" s="246"/>
      <c r="E312" s="238"/>
      <c r="F312" s="225"/>
      <c r="G312" s="231"/>
      <c r="H312" s="377">
        <v>298</v>
      </c>
      <c r="I312" s="394"/>
      <c r="J312" s="394"/>
      <c r="K312" s="403"/>
      <c r="L312" s="403"/>
      <c r="M312" s="403"/>
      <c r="N312" s="403"/>
      <c r="O312" s="403"/>
      <c r="P312" s="403"/>
      <c r="Q312" s="403"/>
      <c r="R312" s="441"/>
      <c r="S312" s="433"/>
      <c r="T312" s="412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13"/>
      <c r="V312" s="413"/>
      <c r="W312" s="414"/>
      <c r="X312" s="415"/>
      <c r="Y312" s="416" t="str">
        <f t="shared" ca="1" si="22"/>
        <v/>
      </c>
      <c r="Z312" s="417" t="str">
        <f t="shared" ca="1" si="23"/>
        <v/>
      </c>
      <c r="AA312" s="416" t="str">
        <f t="shared" ca="1" si="24"/>
        <v/>
      </c>
      <c r="AB312" s="418" t="str">
        <f t="shared" ca="1" si="25"/>
        <v/>
      </c>
      <c r="AC312" s="417" t="str">
        <f t="shared" ca="1" si="26"/>
        <v/>
      </c>
      <c r="AD312" s="220"/>
    </row>
    <row r="313" spans="1:30" customFormat="1" ht="14.5">
      <c r="A313" s="220"/>
      <c r="B313" s="267">
        <v>275</v>
      </c>
      <c r="C313" s="245"/>
      <c r="D313" s="246"/>
      <c r="E313" s="238"/>
      <c r="F313" s="225"/>
      <c r="G313" s="231"/>
      <c r="H313" s="377">
        <v>299</v>
      </c>
      <c r="I313" s="394"/>
      <c r="J313" s="394"/>
      <c r="K313" s="403"/>
      <c r="L313" s="403"/>
      <c r="M313" s="403"/>
      <c r="N313" s="403"/>
      <c r="O313" s="403"/>
      <c r="P313" s="403"/>
      <c r="Q313" s="403"/>
      <c r="R313" s="441"/>
      <c r="S313" s="433"/>
      <c r="T313" s="412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13"/>
      <c r="V313" s="413"/>
      <c r="W313" s="414"/>
      <c r="X313" s="415"/>
      <c r="Y313" s="416" t="str">
        <f t="shared" ca="1" si="22"/>
        <v/>
      </c>
      <c r="Z313" s="417" t="str">
        <f t="shared" ca="1" si="23"/>
        <v/>
      </c>
      <c r="AA313" s="416" t="str">
        <f t="shared" ca="1" si="24"/>
        <v/>
      </c>
      <c r="AB313" s="418" t="str">
        <f t="shared" ca="1" si="25"/>
        <v/>
      </c>
      <c r="AC313" s="417" t="str">
        <f t="shared" ca="1" si="26"/>
        <v/>
      </c>
      <c r="AD313" s="220"/>
    </row>
    <row r="314" spans="1:30" customFormat="1" ht="15" thickBot="1">
      <c r="A314" s="220"/>
      <c r="B314" s="267">
        <v>276</v>
      </c>
      <c r="C314" s="245"/>
      <c r="D314" s="246"/>
      <c r="E314" s="238"/>
      <c r="F314" s="225"/>
      <c r="G314" s="231"/>
      <c r="H314" s="380">
        <v>300</v>
      </c>
      <c r="I314" s="404"/>
      <c r="J314" s="404"/>
      <c r="K314" s="405"/>
      <c r="L314" s="405"/>
      <c r="M314" s="405"/>
      <c r="N314" s="405"/>
      <c r="O314" s="405"/>
      <c r="P314" s="405"/>
      <c r="Q314" s="405"/>
      <c r="R314" s="406"/>
      <c r="S314" s="443"/>
      <c r="T314" s="420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19"/>
      <c r="V314" s="419"/>
      <c r="W314" s="420"/>
      <c r="X314" s="421"/>
      <c r="Y314" s="643" t="str">
        <f t="shared" ca="1" si="22"/>
        <v/>
      </c>
      <c r="Z314" s="644" t="str">
        <f t="shared" ca="1" si="23"/>
        <v/>
      </c>
      <c r="AA314" s="420"/>
      <c r="AB314" s="420"/>
      <c r="AC314" s="406"/>
      <c r="AD314" s="220"/>
    </row>
    <row r="315" spans="1:30" customFormat="1" ht="14.5">
      <c r="A315" s="220"/>
      <c r="B315" s="267">
        <v>277</v>
      </c>
      <c r="C315" s="245"/>
      <c r="D315" s="246"/>
      <c r="E315" s="238"/>
      <c r="F315" s="225"/>
      <c r="G315" s="231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</row>
    <row r="316" spans="1:30" customFormat="1" ht="14.5">
      <c r="A316" s="220"/>
      <c r="B316" s="267">
        <v>278</v>
      </c>
      <c r="C316" s="245"/>
      <c r="D316" s="246"/>
      <c r="E316" s="238"/>
      <c r="F316" s="225"/>
      <c r="G316" s="231"/>
      <c r="S316" s="43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</row>
    <row r="317" spans="1:30" customFormat="1" ht="14.5">
      <c r="A317" s="220"/>
      <c r="B317" s="267">
        <v>279</v>
      </c>
      <c r="C317" s="245"/>
      <c r="D317" s="246"/>
      <c r="E317" s="238"/>
      <c r="F317" s="225"/>
      <c r="G317" s="231"/>
      <c r="S317" s="434"/>
    </row>
    <row r="318" spans="1:30" customFormat="1" ht="14.5">
      <c r="A318" s="220"/>
      <c r="B318" s="267">
        <v>280</v>
      </c>
      <c r="C318" s="245"/>
      <c r="D318" s="246"/>
      <c r="E318" s="238"/>
      <c r="F318" s="225"/>
      <c r="G318" s="231"/>
      <c r="S318" s="434"/>
    </row>
    <row r="319" spans="1:30" customFormat="1" ht="14.5">
      <c r="A319" s="220"/>
      <c r="B319" s="267">
        <v>281</v>
      </c>
      <c r="C319" s="245"/>
      <c r="D319" s="246"/>
      <c r="E319" s="238"/>
      <c r="F319" s="225"/>
      <c r="G319" s="231"/>
      <c r="S319" s="434"/>
    </row>
    <row r="320" spans="1:30" customFormat="1" ht="14.5">
      <c r="A320" s="220"/>
      <c r="B320" s="267">
        <v>282</v>
      </c>
      <c r="C320" s="245"/>
      <c r="D320" s="246"/>
      <c r="E320" s="238"/>
      <c r="F320" s="225"/>
      <c r="G320" s="231"/>
      <c r="S320" s="434"/>
    </row>
    <row r="321" spans="1:19" customFormat="1" ht="14.5">
      <c r="A321" s="220"/>
      <c r="B321" s="267">
        <v>283</v>
      </c>
      <c r="C321" s="245"/>
      <c r="D321" s="246"/>
      <c r="E321" s="238"/>
      <c r="F321" s="225"/>
      <c r="G321" s="231"/>
      <c r="S321" s="434"/>
    </row>
    <row r="322" spans="1:19" customFormat="1" ht="14.5">
      <c r="A322" s="220"/>
      <c r="B322" s="267">
        <v>284</v>
      </c>
      <c r="C322" s="245"/>
      <c r="D322" s="246"/>
      <c r="E322" s="238"/>
      <c r="F322" s="225"/>
      <c r="G322" s="231"/>
      <c r="S322" s="434"/>
    </row>
    <row r="323" spans="1:19" customFormat="1" ht="14.5">
      <c r="A323" s="220"/>
      <c r="B323" s="267">
        <v>285</v>
      </c>
      <c r="C323" s="245"/>
      <c r="D323" s="246"/>
      <c r="E323" s="238"/>
      <c r="F323" s="225"/>
      <c r="G323" s="231"/>
      <c r="S323" s="434"/>
    </row>
    <row r="324" spans="1:19" customFormat="1" ht="14.5">
      <c r="A324" s="220"/>
      <c r="B324" s="267">
        <v>286</v>
      </c>
      <c r="C324" s="245"/>
      <c r="D324" s="246"/>
      <c r="E324" s="238"/>
      <c r="F324" s="225"/>
      <c r="G324" s="231"/>
      <c r="S324" s="434"/>
    </row>
    <row r="325" spans="1:19" customFormat="1" ht="14.5">
      <c r="A325" s="220"/>
      <c r="B325" s="267">
        <v>287</v>
      </c>
      <c r="C325" s="245"/>
      <c r="D325" s="246"/>
      <c r="E325" s="238"/>
      <c r="F325" s="225"/>
      <c r="G325" s="231"/>
      <c r="S325" s="434"/>
    </row>
    <row r="326" spans="1:19" customFormat="1" ht="14.5">
      <c r="A326" s="220"/>
      <c r="B326" s="267">
        <v>288</v>
      </c>
      <c r="C326" s="245"/>
      <c r="D326" s="246"/>
      <c r="E326" s="238"/>
      <c r="F326" s="225"/>
      <c r="G326" s="231"/>
      <c r="S326" s="434"/>
    </row>
    <row r="327" spans="1:19" customFormat="1" ht="14.5">
      <c r="A327" s="220"/>
      <c r="B327" s="267">
        <v>289</v>
      </c>
      <c r="C327" s="245"/>
      <c r="D327" s="246"/>
      <c r="E327" s="238"/>
      <c r="F327" s="225"/>
      <c r="G327" s="231"/>
      <c r="S327" s="434"/>
    </row>
    <row r="328" spans="1:19" customFormat="1" ht="14.5">
      <c r="A328" s="220"/>
      <c r="B328" s="267">
        <v>290</v>
      </c>
      <c r="C328" s="245"/>
      <c r="D328" s="246"/>
      <c r="E328" s="238"/>
      <c r="F328" s="225"/>
      <c r="G328" s="231"/>
    </row>
    <row r="329" spans="1:19" customFormat="1" ht="14.5">
      <c r="A329" s="220"/>
      <c r="B329" s="267">
        <v>291</v>
      </c>
      <c r="C329" s="245"/>
      <c r="D329" s="246"/>
      <c r="E329" s="238"/>
      <c r="F329" s="225"/>
      <c r="G329" s="231"/>
    </row>
    <row r="330" spans="1:19" customFormat="1" ht="14.5">
      <c r="A330" s="220"/>
      <c r="B330" s="267">
        <v>292</v>
      </c>
      <c r="C330" s="245"/>
      <c r="D330" s="246"/>
      <c r="E330" s="238"/>
      <c r="F330" s="225"/>
      <c r="G330" s="231"/>
    </row>
    <row r="331" spans="1:19" customFormat="1" ht="14.5">
      <c r="A331" s="220"/>
      <c r="B331" s="267">
        <v>293</v>
      </c>
      <c r="C331" s="245"/>
      <c r="D331" s="246"/>
      <c r="E331" s="238"/>
      <c r="F331" s="225"/>
      <c r="G331" s="231"/>
    </row>
    <row r="332" spans="1:19" customFormat="1" ht="14.5">
      <c r="A332" s="220"/>
      <c r="B332" s="267">
        <v>294</v>
      </c>
      <c r="C332" s="245"/>
      <c r="D332" s="246"/>
      <c r="E332" s="238"/>
      <c r="F332" s="225"/>
      <c r="G332" s="231"/>
    </row>
    <row r="333" spans="1:19" customFormat="1" ht="14.5">
      <c r="A333" s="220"/>
      <c r="B333" s="267">
        <v>295</v>
      </c>
      <c r="C333" s="245"/>
      <c r="D333" s="246"/>
      <c r="E333" s="238"/>
      <c r="F333" s="225"/>
      <c r="G333" s="231"/>
    </row>
    <row r="334" spans="1:19" customFormat="1" ht="14.5">
      <c r="A334" s="220"/>
      <c r="B334" s="267">
        <v>296</v>
      </c>
      <c r="C334" s="245"/>
      <c r="D334" s="246"/>
      <c r="E334" s="238"/>
      <c r="F334" s="225"/>
      <c r="G334" s="231"/>
    </row>
    <row r="335" spans="1:19" customFormat="1" ht="14.5">
      <c r="A335" s="220"/>
      <c r="B335" s="267">
        <v>297</v>
      </c>
      <c r="C335" s="245"/>
      <c r="D335" s="246"/>
      <c r="E335" s="238"/>
      <c r="F335" s="225"/>
      <c r="G335" s="231"/>
    </row>
    <row r="336" spans="1:19" customFormat="1" ht="14.5">
      <c r="A336" s="220"/>
      <c r="B336" s="267">
        <v>298</v>
      </c>
      <c r="C336" s="245"/>
      <c r="D336" s="246"/>
      <c r="E336" s="238"/>
      <c r="F336" s="225"/>
      <c r="G336" s="231"/>
    </row>
    <row r="337" spans="1:7" customFormat="1" ht="14.5">
      <c r="A337" s="220"/>
      <c r="B337" s="267">
        <v>299</v>
      </c>
      <c r="C337" s="245"/>
      <c r="D337" s="246"/>
      <c r="E337" s="238"/>
      <c r="F337" s="225"/>
      <c r="G337" s="231"/>
    </row>
    <row r="338" spans="1:7" customFormat="1" ht="15" thickBot="1">
      <c r="A338" s="220"/>
      <c r="B338" s="429">
        <v>300</v>
      </c>
      <c r="C338" s="430"/>
      <c r="D338" s="430"/>
      <c r="E338" s="430"/>
      <c r="F338" s="430"/>
      <c r="G338" s="43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641350</xdr:colOff>
                    <xdr:row>5</xdr:row>
                    <xdr:rowOff>107950</xdr:rowOff>
                  </from>
                  <to>
                    <xdr:col>9</xdr:col>
                    <xdr:colOff>723900</xdr:colOff>
                    <xdr:row>6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8E048-3245-4E24-912E-3BBF0790E685}">
  <sheetPr codeName="Feuil8"/>
  <dimension ref="A1:HS808"/>
  <sheetViews>
    <sheetView tabSelected="1" topLeftCell="AK3" zoomScale="131" zoomScaleNormal="160" workbookViewId="0">
      <selection activeCell="AU14" sqref="AU14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10.453125" style="272" bestFit="1" customWidth="1"/>
    <col min="4" max="4" width="10.54296875" style="273" customWidth="1"/>
    <col min="5" max="5" width="11.7265625" style="273" bestFit="1" customWidth="1"/>
    <col min="6" max="6" width="22.54296875" style="273" bestFit="1" customWidth="1"/>
    <col min="7" max="12" width="12.453125" style="273" customWidth="1"/>
    <col min="13" max="13" width="36.26953125" style="273" bestFit="1" customWidth="1"/>
    <col min="14" max="14" width="12.453125" style="273" customWidth="1"/>
    <col min="15" max="15" width="9.81640625" style="273" customWidth="1"/>
    <col min="16" max="16" width="9.81640625" style="79" bestFit="1" customWidth="1"/>
    <col min="17" max="17" width="9.1796875" style="79"/>
    <col min="18" max="18" width="12.1796875" style="79" bestFit="1" customWidth="1"/>
    <col min="19" max="19" width="12.26953125" style="79" bestFit="1" customWidth="1"/>
    <col min="20" max="21" width="10.26953125" style="79" bestFit="1" customWidth="1"/>
    <col min="22" max="30" width="9" style="79" customWidth="1"/>
    <col min="31" max="31" width="16.7265625" style="272" customWidth="1"/>
    <col min="32" max="36" width="7.7265625" style="272" customWidth="1"/>
    <col min="37" max="37" width="9" style="272" bestFit="1" customWidth="1"/>
    <col min="38" max="49" width="7.7265625" style="272" customWidth="1"/>
    <col min="50" max="52" width="9.1796875" style="272"/>
    <col min="53" max="53" width="7.1796875" style="272" bestFit="1" customWidth="1"/>
    <col min="54" max="56" width="9.1796875" style="272"/>
    <col min="57" max="57" width="9.7265625" style="272" bestFit="1" customWidth="1"/>
    <col min="58" max="59" width="9.1796875" style="272"/>
    <col min="60" max="60" width="9.7265625" style="272" bestFit="1" customWidth="1"/>
    <col min="61" max="61" width="9.1796875" style="272"/>
    <col min="62" max="62" width="7.36328125" style="272" bestFit="1" customWidth="1"/>
    <col min="63" max="16384" width="9.1796875" style="272"/>
  </cols>
  <sheetData>
    <row r="1" spans="1:227" s="478" customFormat="1" ht="29.25" customHeight="1">
      <c r="A1" s="477"/>
      <c r="B1" s="477"/>
      <c r="C1" s="477"/>
      <c r="D1" s="477"/>
      <c r="E1" s="477"/>
      <c r="F1" s="477"/>
      <c r="G1" s="477"/>
      <c r="H1" s="477"/>
      <c r="I1" s="477"/>
      <c r="J1" s="477"/>
      <c r="K1" s="477"/>
      <c r="L1" s="477"/>
      <c r="M1" s="477"/>
      <c r="N1" s="477"/>
      <c r="O1" s="477"/>
      <c r="P1" s="477"/>
      <c r="Q1" s="477"/>
      <c r="R1" s="477"/>
      <c r="S1" s="477"/>
      <c r="T1" s="477"/>
      <c r="U1" s="477"/>
      <c r="V1" s="477"/>
      <c r="W1" s="477"/>
      <c r="X1" s="477"/>
      <c r="Y1" s="477"/>
      <c r="Z1" s="477"/>
      <c r="AA1" s="477"/>
      <c r="AB1" s="477"/>
      <c r="AC1" s="477"/>
      <c r="AD1" s="477"/>
      <c r="AE1" s="477"/>
      <c r="AF1" s="477"/>
      <c r="AG1" s="477"/>
      <c r="AH1" s="477"/>
      <c r="AI1" s="477"/>
      <c r="AJ1" s="477"/>
      <c r="AK1" s="477"/>
      <c r="AL1" s="477"/>
      <c r="AM1" s="477"/>
      <c r="AN1" s="477"/>
      <c r="AO1" s="477"/>
      <c r="AP1" s="477"/>
      <c r="AQ1" s="477"/>
      <c r="AR1" s="477"/>
      <c r="AS1" s="477"/>
      <c r="AT1" s="477"/>
      <c r="AU1" s="477"/>
      <c r="AV1" s="477"/>
      <c r="AW1" s="477"/>
      <c r="AX1" s="477"/>
      <c r="AY1" s="477"/>
      <c r="AZ1" s="477"/>
      <c r="BA1" s="477"/>
      <c r="BB1" s="477"/>
      <c r="BC1" s="477"/>
      <c r="BD1" s="477"/>
      <c r="BE1" s="477"/>
      <c r="BF1" s="477"/>
      <c r="BG1" s="477"/>
      <c r="BH1" s="477"/>
      <c r="BI1" s="477"/>
      <c r="BJ1" s="477"/>
      <c r="BK1" s="477"/>
      <c r="BL1" s="477"/>
      <c r="BM1" s="477"/>
      <c r="BN1" s="477"/>
      <c r="BO1" s="477"/>
      <c r="BP1" s="477"/>
      <c r="BQ1" s="477"/>
      <c r="BR1" s="477"/>
      <c r="BS1" s="477"/>
      <c r="BT1" s="477"/>
      <c r="BU1" s="477"/>
      <c r="BV1" s="477"/>
      <c r="BW1" s="477"/>
      <c r="BX1" s="477"/>
      <c r="BY1" s="477"/>
      <c r="BZ1" s="477"/>
      <c r="CA1" s="477"/>
      <c r="CB1" s="477"/>
      <c r="CC1" s="477"/>
      <c r="CD1" s="477"/>
      <c r="CE1" s="477"/>
      <c r="CF1" s="477"/>
      <c r="CG1" s="477"/>
      <c r="CH1" s="477"/>
      <c r="CI1" s="477"/>
      <c r="CJ1" s="477"/>
      <c r="CK1" s="477"/>
      <c r="CL1" s="477"/>
      <c r="CM1" s="477"/>
      <c r="CN1" s="477"/>
      <c r="CO1" s="477"/>
      <c r="CP1" s="477"/>
      <c r="CQ1" s="477"/>
      <c r="CR1" s="477"/>
      <c r="CS1" s="477"/>
      <c r="CT1" s="477"/>
      <c r="CU1" s="477"/>
      <c r="CV1" s="477"/>
      <c r="CW1" s="477"/>
      <c r="CX1" s="477"/>
      <c r="CY1" s="477"/>
      <c r="CZ1" s="477"/>
      <c r="DA1" s="477"/>
      <c r="DB1" s="477"/>
      <c r="DC1" s="477"/>
      <c r="DD1" s="477"/>
      <c r="DE1" s="477"/>
      <c r="DF1" s="477"/>
      <c r="DG1" s="477"/>
      <c r="DH1" s="477"/>
      <c r="DI1" s="477"/>
      <c r="DJ1" s="477"/>
      <c r="DK1" s="477"/>
      <c r="DL1" s="477"/>
      <c r="DM1" s="477"/>
      <c r="DN1" s="477"/>
      <c r="DO1" s="477"/>
      <c r="DP1" s="477"/>
      <c r="DQ1" s="477"/>
      <c r="DR1" s="477"/>
      <c r="DS1" s="477"/>
      <c r="DT1" s="477"/>
      <c r="DU1" s="477"/>
      <c r="DV1" s="477"/>
      <c r="DW1" s="477"/>
      <c r="DX1" s="477"/>
      <c r="DY1" s="477"/>
      <c r="DZ1" s="477"/>
      <c r="EA1" s="477"/>
      <c r="EB1" s="477"/>
      <c r="EC1" s="477"/>
      <c r="ED1" s="477"/>
      <c r="EE1" s="477"/>
      <c r="EF1" s="477"/>
      <c r="EG1" s="477"/>
      <c r="EH1" s="477"/>
      <c r="EI1" s="477"/>
      <c r="EJ1" s="477"/>
      <c r="EK1" s="477"/>
      <c r="EL1" s="477"/>
      <c r="EM1" s="477"/>
      <c r="EN1" s="477"/>
      <c r="EO1" s="477"/>
      <c r="EP1" s="477"/>
      <c r="EQ1" s="477"/>
      <c r="ER1" s="477"/>
      <c r="ES1" s="477"/>
      <c r="ET1" s="477"/>
      <c r="EU1" s="477"/>
      <c r="EV1" s="477"/>
      <c r="EW1" s="477"/>
      <c r="EX1" s="477"/>
      <c r="EY1" s="477"/>
      <c r="EZ1" s="477"/>
      <c r="FA1" s="477"/>
      <c r="FB1" s="477"/>
      <c r="FC1" s="477"/>
      <c r="FD1" s="477"/>
      <c r="FE1" s="477"/>
      <c r="FF1" s="477"/>
      <c r="FG1" s="477"/>
      <c r="FH1" s="477"/>
      <c r="FI1" s="477"/>
      <c r="FJ1" s="477"/>
      <c r="FK1" s="477"/>
      <c r="FL1" s="477"/>
      <c r="FM1" s="477"/>
      <c r="FN1" s="477"/>
      <c r="FO1" s="477"/>
      <c r="FP1" s="477"/>
      <c r="FQ1" s="477"/>
      <c r="FR1" s="477"/>
      <c r="FS1" s="477"/>
      <c r="FT1" s="477"/>
      <c r="FU1" s="477"/>
      <c r="FV1" s="477"/>
      <c r="FW1" s="477"/>
      <c r="FX1" s="477"/>
      <c r="FY1" s="477"/>
      <c r="FZ1" s="477"/>
      <c r="GA1" s="477"/>
      <c r="GB1" s="477"/>
      <c r="GC1" s="477"/>
      <c r="GD1" s="477"/>
      <c r="GE1" s="477"/>
      <c r="GF1" s="477"/>
      <c r="GG1" s="477"/>
      <c r="GH1" s="477"/>
      <c r="GI1" s="477"/>
      <c r="GJ1" s="477"/>
      <c r="GK1" s="477"/>
      <c r="GL1" s="477"/>
      <c r="GM1" s="477"/>
      <c r="GN1" s="477"/>
      <c r="GO1" s="477"/>
      <c r="GP1" s="477"/>
      <c r="GQ1" s="477"/>
      <c r="GR1" s="477"/>
      <c r="GS1" s="477"/>
      <c r="GT1" s="477"/>
      <c r="GU1" s="477"/>
      <c r="GV1" s="477"/>
      <c r="GW1" s="477"/>
      <c r="GX1" s="477"/>
      <c r="GY1" s="477"/>
      <c r="GZ1" s="477"/>
      <c r="HA1" s="477"/>
      <c r="HB1" s="477"/>
      <c r="HC1" s="477"/>
      <c r="HD1" s="477"/>
      <c r="HE1" s="477"/>
      <c r="HF1" s="477"/>
      <c r="HG1" s="477"/>
      <c r="HH1" s="477"/>
      <c r="HI1" s="477"/>
      <c r="HJ1" s="477"/>
      <c r="HK1" s="477"/>
      <c r="HL1" s="477"/>
      <c r="HM1" s="477"/>
      <c r="HN1" s="477"/>
      <c r="HO1" s="477"/>
      <c r="HP1" s="477"/>
      <c r="HQ1" s="477"/>
      <c r="HR1" s="477"/>
      <c r="HS1" s="477"/>
    </row>
    <row r="2" spans="1:227" s="478" customFormat="1" ht="54.75" customHeight="1">
      <c r="A2" s="477"/>
      <c r="B2" s="477"/>
      <c r="C2" s="479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7"/>
      <c r="R2" s="477"/>
      <c r="S2" s="477"/>
      <c r="T2" s="477"/>
      <c r="U2" s="477"/>
      <c r="V2" s="477"/>
      <c r="W2" s="477"/>
      <c r="X2" s="477"/>
      <c r="Y2" s="477"/>
      <c r="Z2" s="477"/>
      <c r="AA2" s="477"/>
      <c r="AB2" s="477"/>
      <c r="AC2" s="477"/>
      <c r="AD2" s="477"/>
      <c r="AE2" s="477"/>
      <c r="AF2" s="477"/>
      <c r="AG2" s="477"/>
      <c r="AH2" s="477"/>
      <c r="AI2" s="477"/>
      <c r="AJ2" s="477"/>
      <c r="AK2" s="477"/>
      <c r="AL2" s="477"/>
      <c r="AM2" s="477"/>
      <c r="AN2" s="477"/>
      <c r="AO2" s="477"/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7"/>
      <c r="BB2" s="477"/>
      <c r="BC2" s="477"/>
      <c r="BD2" s="477"/>
      <c r="BE2" s="477"/>
      <c r="BF2" s="477"/>
      <c r="BG2" s="477"/>
      <c r="BH2" s="477"/>
      <c r="BI2" s="477"/>
      <c r="BJ2" s="477"/>
      <c r="BK2" s="477"/>
      <c r="BL2" s="477"/>
      <c r="BM2" s="477"/>
      <c r="BN2" s="477"/>
      <c r="BO2" s="477"/>
      <c r="BP2" s="477"/>
      <c r="BQ2" s="477"/>
      <c r="BR2" s="477"/>
      <c r="BS2" s="477"/>
      <c r="BT2" s="477"/>
      <c r="BU2" s="477"/>
      <c r="BV2" s="477"/>
      <c r="BW2" s="477"/>
      <c r="BX2" s="477"/>
      <c r="BY2" s="477"/>
      <c r="BZ2" s="477"/>
      <c r="CA2" s="477"/>
      <c r="CB2" s="477"/>
      <c r="CC2" s="477"/>
      <c r="CD2" s="477"/>
      <c r="CE2" s="477"/>
      <c r="CF2" s="477"/>
      <c r="CG2" s="477"/>
      <c r="CH2" s="477"/>
      <c r="CI2" s="477"/>
      <c r="CJ2" s="477"/>
      <c r="CK2" s="477"/>
      <c r="CL2" s="477"/>
      <c r="CM2" s="477"/>
      <c r="CN2" s="477"/>
      <c r="CO2" s="477"/>
      <c r="CP2" s="477"/>
      <c r="CQ2" s="477"/>
      <c r="CR2" s="477"/>
      <c r="CS2" s="477"/>
      <c r="CT2" s="477"/>
      <c r="CU2" s="477"/>
      <c r="CV2" s="477"/>
      <c r="CW2" s="477"/>
      <c r="CX2" s="477"/>
      <c r="CY2" s="477"/>
      <c r="CZ2" s="477"/>
      <c r="DA2" s="477"/>
      <c r="DB2" s="477"/>
      <c r="DC2" s="477"/>
      <c r="DD2" s="477"/>
      <c r="DE2" s="477"/>
      <c r="DF2" s="477"/>
      <c r="DG2" s="477"/>
      <c r="DH2" s="477"/>
      <c r="DI2" s="477"/>
      <c r="DJ2" s="477"/>
      <c r="DK2" s="477"/>
      <c r="DL2" s="477"/>
      <c r="DM2" s="477"/>
      <c r="DN2" s="477"/>
      <c r="DO2" s="477"/>
      <c r="DP2" s="477"/>
      <c r="DQ2" s="477"/>
      <c r="DR2" s="477"/>
      <c r="DS2" s="477"/>
      <c r="DT2" s="477"/>
      <c r="DU2" s="477"/>
      <c r="DV2" s="477"/>
      <c r="DW2" s="477"/>
      <c r="DX2" s="477"/>
      <c r="DY2" s="477"/>
      <c r="DZ2" s="477"/>
      <c r="EA2" s="477"/>
      <c r="EB2" s="477"/>
      <c r="EC2" s="477"/>
      <c r="ED2" s="477"/>
      <c r="EE2" s="477"/>
      <c r="EF2" s="477"/>
      <c r="EG2" s="477"/>
      <c r="EH2" s="477"/>
      <c r="EI2" s="477"/>
      <c r="EJ2" s="477"/>
      <c r="EK2" s="477"/>
      <c r="EL2" s="477"/>
      <c r="EM2" s="477"/>
      <c r="EN2" s="477"/>
      <c r="EO2" s="477"/>
      <c r="EP2" s="477"/>
      <c r="EQ2" s="477"/>
      <c r="ER2" s="477"/>
      <c r="ES2" s="477"/>
      <c r="ET2" s="477"/>
      <c r="EU2" s="477"/>
      <c r="EV2" s="477"/>
      <c r="EW2" s="477"/>
      <c r="EX2" s="477"/>
      <c r="EY2" s="477"/>
      <c r="EZ2" s="477"/>
      <c r="FA2" s="477"/>
      <c r="FB2" s="477"/>
      <c r="FC2" s="477"/>
      <c r="FD2" s="477"/>
      <c r="FE2" s="477"/>
      <c r="FF2" s="477"/>
      <c r="FG2" s="477"/>
      <c r="FH2" s="477"/>
      <c r="FI2" s="477"/>
      <c r="FJ2" s="477"/>
      <c r="FK2" s="477"/>
      <c r="FL2" s="477"/>
      <c r="FM2" s="477"/>
      <c r="FN2" s="477"/>
      <c r="FO2" s="477"/>
      <c r="FP2" s="477"/>
      <c r="FQ2" s="477"/>
      <c r="FR2" s="477"/>
      <c r="FS2" s="477"/>
      <c r="FT2" s="477"/>
      <c r="FU2" s="477"/>
      <c r="FV2" s="477"/>
      <c r="FW2" s="477"/>
      <c r="FX2" s="477"/>
      <c r="FY2" s="477"/>
      <c r="FZ2" s="477"/>
      <c r="GA2" s="477"/>
      <c r="GB2" s="477"/>
      <c r="GC2" s="477"/>
      <c r="GD2" s="477"/>
      <c r="GE2" s="477"/>
      <c r="GF2" s="477"/>
      <c r="GG2" s="477"/>
      <c r="GH2" s="477"/>
      <c r="GI2" s="477"/>
      <c r="GJ2" s="477"/>
      <c r="GK2" s="477"/>
      <c r="GL2" s="477"/>
      <c r="GM2" s="477"/>
      <c r="GN2" s="477"/>
      <c r="GO2" s="477"/>
      <c r="GP2" s="477"/>
      <c r="GQ2" s="477"/>
      <c r="GR2" s="477"/>
      <c r="GS2" s="477"/>
      <c r="GT2" s="477"/>
      <c r="GU2" s="477"/>
      <c r="GV2" s="477"/>
      <c r="GW2" s="477"/>
      <c r="GX2" s="477"/>
      <c r="GY2" s="477"/>
      <c r="GZ2" s="477"/>
      <c r="HA2" s="477"/>
      <c r="HB2" s="477"/>
      <c r="HC2" s="477"/>
      <c r="HD2" s="477"/>
      <c r="HE2" s="477"/>
      <c r="HF2" s="477"/>
      <c r="HG2" s="477"/>
      <c r="HH2" s="477"/>
      <c r="HI2" s="477"/>
      <c r="HJ2" s="477"/>
      <c r="HK2" s="477"/>
      <c r="HL2" s="477"/>
      <c r="HM2" s="477"/>
      <c r="HN2" s="477"/>
      <c r="HO2" s="477"/>
      <c r="HP2" s="477"/>
      <c r="HQ2" s="477"/>
      <c r="HR2" s="477"/>
      <c r="HS2" s="477"/>
    </row>
    <row r="3" spans="1:227" s="478" customFormat="1" ht="36.75" customHeight="1">
      <c r="A3" s="477"/>
      <c r="B3" s="477"/>
      <c r="C3" s="477"/>
      <c r="D3" s="477"/>
      <c r="E3" s="477"/>
      <c r="F3" s="477"/>
      <c r="G3" s="477"/>
      <c r="H3" s="477"/>
      <c r="I3" s="480"/>
      <c r="J3" s="480"/>
      <c r="K3" s="480"/>
      <c r="L3" s="480"/>
      <c r="M3" s="480"/>
      <c r="N3" s="480"/>
      <c r="O3" s="480"/>
      <c r="P3" s="480"/>
      <c r="Q3" s="480"/>
      <c r="R3" s="477"/>
      <c r="S3" s="477"/>
      <c r="T3" s="477"/>
      <c r="U3" s="477"/>
      <c r="V3" s="477"/>
      <c r="W3" s="477"/>
      <c r="X3" s="477"/>
      <c r="Y3" s="477"/>
      <c r="Z3" s="477"/>
      <c r="AA3" s="480"/>
      <c r="AB3" s="477"/>
      <c r="AC3" s="477"/>
      <c r="AD3" s="477"/>
      <c r="AE3" s="477"/>
      <c r="AF3" s="477"/>
      <c r="AG3" s="477"/>
      <c r="AH3" s="477"/>
      <c r="AI3" s="477"/>
      <c r="AJ3" s="477"/>
      <c r="AK3" s="477"/>
      <c r="AL3" s="477"/>
      <c r="AM3" s="477"/>
      <c r="AN3" s="477"/>
      <c r="AO3" s="477"/>
      <c r="AP3" s="477"/>
      <c r="AQ3" s="477"/>
      <c r="AR3" s="477"/>
      <c r="AS3" s="477"/>
      <c r="AT3" s="477"/>
      <c r="AU3" s="477"/>
      <c r="AV3" s="477"/>
      <c r="AW3" s="477"/>
      <c r="AX3" s="477"/>
      <c r="AY3" s="477"/>
      <c r="AZ3" s="477"/>
      <c r="BA3" s="477"/>
      <c r="BB3" s="477"/>
      <c r="BC3" s="477"/>
      <c r="BD3" s="477"/>
      <c r="BE3" s="477"/>
      <c r="BF3" s="477"/>
      <c r="BG3" s="477"/>
      <c r="BH3" s="477"/>
      <c r="BI3" s="477"/>
      <c r="BJ3" s="477"/>
      <c r="BK3" s="477"/>
      <c r="BL3" s="477"/>
      <c r="BM3" s="477"/>
      <c r="BN3" s="477"/>
      <c r="BO3" s="477"/>
      <c r="BP3" s="477"/>
      <c r="BQ3" s="477"/>
      <c r="BR3" s="477"/>
      <c r="BS3" s="477"/>
      <c r="BT3" s="477"/>
      <c r="BU3" s="477"/>
      <c r="BV3" s="477"/>
      <c r="BW3" s="477"/>
      <c r="BX3" s="477"/>
      <c r="BY3" s="477"/>
      <c r="BZ3" s="477"/>
      <c r="CA3" s="477"/>
      <c r="CB3" s="477"/>
      <c r="CC3" s="477"/>
      <c r="CD3" s="477"/>
      <c r="CE3" s="477"/>
      <c r="CF3" s="477"/>
      <c r="CG3" s="477"/>
      <c r="CH3" s="477"/>
      <c r="CI3" s="477"/>
      <c r="CJ3" s="477"/>
      <c r="CK3" s="477"/>
      <c r="CL3" s="477"/>
      <c r="CM3" s="477"/>
      <c r="CN3" s="477"/>
      <c r="CO3" s="477"/>
      <c r="CP3" s="477"/>
      <c r="CQ3" s="477"/>
      <c r="CR3" s="477"/>
      <c r="CS3" s="477"/>
      <c r="CT3" s="477"/>
      <c r="CU3" s="477"/>
      <c r="CV3" s="477"/>
      <c r="CW3" s="477"/>
      <c r="CX3" s="477"/>
      <c r="CY3" s="477"/>
      <c r="CZ3" s="477"/>
      <c r="DA3" s="477"/>
      <c r="DB3" s="477"/>
      <c r="DC3" s="477"/>
      <c r="DD3" s="477"/>
      <c r="DE3" s="477"/>
      <c r="DF3" s="477"/>
      <c r="DG3" s="477"/>
      <c r="DH3" s="477"/>
      <c r="DI3" s="477"/>
      <c r="DJ3" s="477"/>
      <c r="DK3" s="477"/>
      <c r="DL3" s="477"/>
      <c r="DM3" s="477"/>
      <c r="DN3" s="477"/>
      <c r="DO3" s="477"/>
      <c r="DP3" s="477"/>
      <c r="DQ3" s="477"/>
      <c r="DR3" s="477"/>
      <c r="DS3" s="477"/>
      <c r="DT3" s="477"/>
      <c r="DU3" s="477"/>
      <c r="DV3" s="477"/>
      <c r="DW3" s="477"/>
      <c r="DX3" s="477"/>
      <c r="DY3" s="477"/>
      <c r="DZ3" s="477"/>
      <c r="EA3" s="477"/>
      <c r="EB3" s="477"/>
      <c r="EC3" s="477"/>
      <c r="ED3" s="477"/>
      <c r="EE3" s="477"/>
      <c r="EF3" s="477"/>
      <c r="EG3" s="477"/>
      <c r="EH3" s="477"/>
      <c r="EI3" s="477"/>
      <c r="EJ3" s="477"/>
      <c r="EK3" s="477"/>
      <c r="EL3" s="477"/>
      <c r="EM3" s="477"/>
      <c r="EN3" s="477"/>
      <c r="EO3" s="477"/>
      <c r="EP3" s="477"/>
      <c r="EQ3" s="477"/>
      <c r="ER3" s="477"/>
      <c r="ES3" s="477"/>
      <c r="ET3" s="477"/>
      <c r="EU3" s="477"/>
      <c r="EV3" s="477"/>
      <c r="EW3" s="477"/>
      <c r="EX3" s="477"/>
      <c r="EY3" s="477"/>
      <c r="EZ3" s="477"/>
      <c r="FA3" s="477"/>
      <c r="FB3" s="477"/>
      <c r="FC3" s="477"/>
      <c r="FD3" s="477"/>
      <c r="FE3" s="477"/>
      <c r="FF3" s="477"/>
      <c r="FG3" s="477"/>
      <c r="FH3" s="477"/>
      <c r="FI3" s="477"/>
      <c r="FJ3" s="477"/>
      <c r="FK3" s="477"/>
      <c r="FL3" s="477"/>
      <c r="FM3" s="477"/>
      <c r="FN3" s="477"/>
      <c r="FO3" s="477"/>
      <c r="FP3" s="477"/>
      <c r="FQ3" s="477"/>
      <c r="FR3" s="477"/>
      <c r="FS3" s="477"/>
      <c r="FT3" s="477"/>
      <c r="FU3" s="477"/>
      <c r="FV3" s="477"/>
      <c r="FW3" s="477"/>
      <c r="FX3" s="477"/>
      <c r="FY3" s="477"/>
      <c r="FZ3" s="477"/>
      <c r="GA3" s="477"/>
      <c r="GB3" s="477"/>
      <c r="GC3" s="477"/>
      <c r="GD3" s="477"/>
      <c r="GE3" s="477"/>
      <c r="GF3" s="477"/>
      <c r="GG3" s="477"/>
      <c r="GH3" s="477"/>
      <c r="GI3" s="477"/>
      <c r="GJ3" s="477"/>
      <c r="GK3" s="477"/>
      <c r="GL3" s="477"/>
      <c r="GM3" s="477"/>
      <c r="GN3" s="477"/>
      <c r="GO3" s="477"/>
      <c r="GP3" s="477"/>
      <c r="GQ3" s="477"/>
      <c r="GR3" s="477"/>
      <c r="GS3" s="477"/>
      <c r="GT3" s="477"/>
      <c r="GU3" s="477"/>
      <c r="GV3" s="477"/>
      <c r="GW3" s="477"/>
      <c r="GX3" s="477"/>
      <c r="GY3" s="477"/>
      <c r="GZ3" s="477"/>
      <c r="HA3" s="477"/>
      <c r="HB3" s="477"/>
      <c r="HC3" s="477"/>
      <c r="HD3" s="477"/>
      <c r="HE3" s="477"/>
      <c r="HF3" s="477"/>
      <c r="HG3" s="477"/>
      <c r="HH3" s="477"/>
      <c r="HI3" s="477"/>
      <c r="HJ3" s="477"/>
      <c r="HK3" s="477"/>
      <c r="HL3" s="477"/>
      <c r="HM3" s="477"/>
      <c r="HN3" s="477"/>
      <c r="HO3" s="477"/>
      <c r="HP3" s="477"/>
      <c r="HQ3" s="477"/>
      <c r="HR3" s="477"/>
      <c r="HS3" s="477"/>
    </row>
    <row r="4" spans="1:227">
      <c r="D4" s="272"/>
      <c r="E4" s="272"/>
      <c r="F4" s="272"/>
      <c r="G4" s="272"/>
      <c r="H4" s="272"/>
      <c r="I4" s="272"/>
      <c r="J4" s="272"/>
      <c r="K4" s="272"/>
      <c r="L4" s="272"/>
      <c r="M4" s="272"/>
      <c r="N4" s="272"/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</row>
    <row r="5" spans="1:227">
      <c r="D5" s="272"/>
      <c r="E5" s="272"/>
      <c r="F5" s="272"/>
      <c r="G5" s="272"/>
      <c r="H5" s="604"/>
      <c r="I5" s="272"/>
      <c r="J5" s="272"/>
      <c r="K5" s="272"/>
      <c r="L5" s="272"/>
      <c r="M5" s="272"/>
      <c r="N5" s="272"/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U5" s="579"/>
      <c r="AV5" s="579"/>
      <c r="AW5" s="579"/>
      <c r="AX5" s="579"/>
      <c r="AY5" s="579"/>
    </row>
    <row r="6" spans="1:227">
      <c r="D6" s="272"/>
      <c r="E6" s="272"/>
      <c r="F6" s="272"/>
      <c r="G6" s="272"/>
      <c r="H6" s="272"/>
      <c r="I6" s="272"/>
      <c r="J6" s="272"/>
      <c r="K6" s="272"/>
      <c r="L6" s="272"/>
      <c r="M6" s="272"/>
      <c r="P6" s="273"/>
      <c r="Q6" s="273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U6" s="579"/>
      <c r="AV6" s="579"/>
      <c r="AW6" s="579"/>
      <c r="AX6" s="579"/>
      <c r="AY6" s="579"/>
    </row>
    <row r="7" spans="1:227" ht="10.5" thickBot="1">
      <c r="D7" s="272"/>
      <c r="E7" s="272"/>
      <c r="F7" s="272"/>
      <c r="G7" s="272"/>
      <c r="H7" s="272"/>
      <c r="I7" s="272"/>
      <c r="J7" s="272"/>
      <c r="K7" s="272"/>
      <c r="P7" s="273"/>
      <c r="Q7" s="273"/>
      <c r="R7" s="272"/>
      <c r="S7" s="272"/>
      <c r="T7" s="272"/>
      <c r="U7" s="272"/>
      <c r="V7" s="272"/>
      <c r="W7" s="272"/>
      <c r="X7" s="272"/>
      <c r="Y7" s="272"/>
      <c r="Z7" s="272"/>
      <c r="AA7" s="272"/>
      <c r="AB7" s="272"/>
      <c r="AC7" s="272"/>
      <c r="AD7" s="272"/>
      <c r="AE7" s="577"/>
      <c r="AH7" s="79"/>
      <c r="AP7" s="579"/>
      <c r="AU7" s="579"/>
      <c r="AV7" s="579"/>
      <c r="AX7" s="579"/>
      <c r="AY7" s="579"/>
    </row>
    <row r="8" spans="1:227" ht="11" thickBot="1">
      <c r="B8" s="468" t="s">
        <v>625</v>
      </c>
      <c r="C8" s="476" t="s">
        <v>626</v>
      </c>
      <c r="D8" s="272"/>
      <c r="E8" s="272"/>
      <c r="F8" s="272"/>
      <c r="G8" s="272"/>
      <c r="H8" s="272"/>
      <c r="I8" s="272"/>
      <c r="J8" s="272"/>
      <c r="K8" s="272"/>
      <c r="P8" s="273"/>
      <c r="Q8" s="273"/>
      <c r="R8" s="273"/>
      <c r="S8" s="468" t="s">
        <v>704</v>
      </c>
      <c r="T8" s="468" t="s">
        <v>664</v>
      </c>
      <c r="U8" s="476" t="s">
        <v>653</v>
      </c>
      <c r="V8" s="468" t="s">
        <v>606</v>
      </c>
      <c r="W8" s="144" t="b">
        <v>1</v>
      </c>
      <c r="X8" s="272"/>
      <c r="Y8" s="272"/>
      <c r="Z8" s="272"/>
      <c r="AA8" s="272"/>
      <c r="AB8" s="272"/>
      <c r="AC8" s="272"/>
      <c r="AD8" s="272"/>
      <c r="AK8" s="476" t="s">
        <v>709</v>
      </c>
      <c r="AL8" s="645">
        <f ca="1">AK14-AQ14+MAX(AT14-AW14,AT15-AW15,AT16-AW16)+BJ14+AA10</f>
        <v>2.0890093468284889</v>
      </c>
      <c r="AM8" s="579"/>
      <c r="AN8" s="579"/>
      <c r="AO8" s="579"/>
      <c r="AP8" s="579"/>
    </row>
    <row r="9" spans="1:227" ht="10.5" thickBot="1">
      <c r="B9" s="468" t="s">
        <v>627</v>
      </c>
      <c r="C9" s="523">
        <v>45412</v>
      </c>
      <c r="D9" s="272"/>
      <c r="E9" s="272"/>
      <c r="F9" s="272"/>
      <c r="G9" s="272"/>
      <c r="H9" s="272"/>
      <c r="I9" s="272"/>
      <c r="J9" s="272"/>
      <c r="K9" s="272"/>
      <c r="P9" s="273"/>
      <c r="Q9" s="273"/>
      <c r="R9" s="273"/>
      <c r="S9" s="635" cm="1">
        <f t="array" aca="1" ref="S9" ca="1">rw(T9:T103)</f>
        <v>0.06</v>
      </c>
      <c r="T9" s="574" cm="1">
        <f t="array" aca="1" ref="T9:U133" ca="1">riskWeight(E25:E399)</f>
        <v>0.03</v>
      </c>
      <c r="U9" s="571">
        <f ca="1"/>
        <v>1</v>
      </c>
      <c r="V9" s="465" t="s">
        <v>708</v>
      </c>
      <c r="W9" s="481"/>
      <c r="X9" s="272"/>
      <c r="Y9" s="272"/>
      <c r="Z9" s="465" t="s">
        <v>601</v>
      </c>
      <c r="AA9" s="483"/>
      <c r="AB9" s="272"/>
      <c r="AC9" s="272"/>
      <c r="AD9" s="272"/>
      <c r="AL9" s="579"/>
      <c r="AM9" s="579"/>
      <c r="AN9" s="579"/>
      <c r="AO9" s="579"/>
      <c r="AP9" s="579"/>
    </row>
    <row r="10" spans="1:227" ht="10.5" thickBot="1">
      <c r="B10" s="468" t="s">
        <v>628</v>
      </c>
      <c r="C10" s="468" t="s">
        <v>82</v>
      </c>
      <c r="D10" s="468" t="s">
        <v>432</v>
      </c>
      <c r="E10" s="468" t="s">
        <v>629</v>
      </c>
      <c r="F10" s="468" t="s">
        <v>630</v>
      </c>
      <c r="G10" s="468" t="s">
        <v>631</v>
      </c>
      <c r="H10" s="468" t="s">
        <v>632</v>
      </c>
      <c r="I10" s="468" t="s">
        <v>633</v>
      </c>
      <c r="J10" s="468" t="s">
        <v>634</v>
      </c>
      <c r="K10" s="476" t="s">
        <v>485</v>
      </c>
      <c r="L10" s="272"/>
      <c r="M10" s="468" t="s">
        <v>673</v>
      </c>
      <c r="N10" s="468" t="s">
        <v>687</v>
      </c>
      <c r="P10" s="273"/>
      <c r="R10" s="273"/>
      <c r="T10" s="575">
        <f ca="1"/>
        <v>0.03</v>
      </c>
      <c r="U10" s="572">
        <f ca="1"/>
        <v>2</v>
      </c>
      <c r="V10" s="466" t="s">
        <v>603</v>
      </c>
      <c r="W10" s="492">
        <f ca="1">MAX(MAX(W11,0)+0.5*MIN(W11,0),0)</f>
        <v>0.18460964066721178</v>
      </c>
      <c r="X10" s="272"/>
      <c r="Y10" s="272"/>
      <c r="Z10" s="466" t="s">
        <v>603</v>
      </c>
      <c r="AA10" s="492">
        <f ca="1">MAX(MAX(AA11,0)+0.5*MIN(AA11,0),0)</f>
        <v>2.0389211264237681E-2</v>
      </c>
      <c r="AB10" s="272"/>
      <c r="AC10" s="272"/>
      <c r="AD10" s="272"/>
      <c r="AE10" s="79"/>
      <c r="AF10" s="476" t="s">
        <v>693</v>
      </c>
      <c r="AG10" s="624"/>
      <c r="AH10" s="624"/>
      <c r="AI10" s="624"/>
      <c r="AJ10" s="624"/>
      <c r="AK10" s="623"/>
      <c r="AL10" s="622"/>
      <c r="AM10" s="622"/>
      <c r="AN10" s="622"/>
      <c r="AO10" s="622"/>
      <c r="AP10" s="622"/>
      <c r="AQ10" s="194"/>
      <c r="AR10" s="476" t="s">
        <v>700</v>
      </c>
      <c r="AS10" s="476"/>
      <c r="AT10" s="633" t="s">
        <v>701</v>
      </c>
      <c r="AU10" s="476" t="s">
        <v>700</v>
      </c>
      <c r="AV10" s="476"/>
      <c r="AW10" s="633" t="s">
        <v>702</v>
      </c>
    </row>
    <row r="11" spans="1:227" ht="10.5" thickBot="1">
      <c r="B11" s="528" t="s">
        <v>635</v>
      </c>
      <c r="C11" s="529" t="s">
        <v>66</v>
      </c>
      <c r="D11" s="529" t="s">
        <v>55</v>
      </c>
      <c r="E11" s="529">
        <v>0.12</v>
      </c>
      <c r="F11" s="529">
        <v>1</v>
      </c>
      <c r="G11" s="529" t="s">
        <v>434</v>
      </c>
      <c r="H11" s="529">
        <v>100</v>
      </c>
      <c r="I11" s="529">
        <v>9.4748000000000001</v>
      </c>
      <c r="J11" s="543">
        <v>46376</v>
      </c>
      <c r="K11" s="605"/>
      <c r="L11" s="272"/>
      <c r="M11" s="586" t="s">
        <v>674</v>
      </c>
      <c r="N11" s="588">
        <v>1</v>
      </c>
      <c r="P11" s="273"/>
      <c r="Q11" s="273"/>
      <c r="R11" s="273"/>
      <c r="S11" s="273"/>
      <c r="T11" s="575">
        <f ca="1"/>
        <v>0.06</v>
      </c>
      <c r="U11" s="572">
        <f ca="1"/>
        <v>3</v>
      </c>
      <c r="V11" s="466" t="s">
        <v>602</v>
      </c>
      <c r="W11" s="492">
        <f ca="1">(S9*SUM(X14:X313))/('CDO Bespoke'!C20-'CDO Bespoke'!C19)</f>
        <v>0.18460964066721178</v>
      </c>
      <c r="X11" s="272"/>
      <c r="Y11" s="272"/>
      <c r="Z11" s="466" t="s">
        <v>602</v>
      </c>
      <c r="AA11" s="492">
        <f ca="1">(S9*SUM(AB14:AB313)-S9*AA12*SUM(AC14:AC313))/('CDO Bespoke'!C20-'CDO Bespoke'!C19)</f>
        <v>2.0389211264237681E-2</v>
      </c>
      <c r="AB11" s="272"/>
      <c r="AC11" s="272"/>
      <c r="AD11" s="272"/>
      <c r="AF11" s="502" cm="1">
        <f t="array" aca="1" ref="AF11:AK11" ca="1">GetDeltaCSRCDOProxy(A29:A313,D29:D313,I29:I313,'CDO Bespoke'!B10,'CDO Bespoke'!B23:B24,'CDO Bespoke'!B25:B26,'CDO Bespoke'!F43:F137,'CDO Bespoke'!B12,'CDO Bespoke'!B21,'CDO Bespoke'!B43:B137,'CDO Bespoke'!C43:C137,'CDO Bespoke'!B16,'CDO Bespoke'!B17,'CDO Bespoke'!B18,'CDO Bespoke'!B19,'CDO Bespoke'!B13,'CDO Bespoke'!B14,'CDO Bespoke'!D43:D137,'CDO Bespoke'!E43:E137,'CDO Bespoke'!B28,'CDO Bespoke'!B29,'CDO Bespoke'!K10,'CDO Bespoke'!B33:B35,'CDO Bespoke'!B40,'CDO Bespoke'!B37,'CDO Bespoke'!B39,'CDO Bespoke'!B38)</f>
        <v>-1.3180653499755834E-2</v>
      </c>
      <c r="AG11" s="503">
        <f ca="1"/>
        <v>-2.4480857698794267E-2</v>
      </c>
      <c r="AH11" s="503">
        <f ca="1"/>
        <v>-5.4004857998890543E-2</v>
      </c>
      <c r="AI11" s="503">
        <f ca="1"/>
        <v>-0.13567459050012332</v>
      </c>
      <c r="AJ11" s="504">
        <f ca="1"/>
        <v>0</v>
      </c>
      <c r="AK11" s="620">
        <f ca="1"/>
        <v>1.0164712145070576E-2</v>
      </c>
      <c r="AL11" s="194"/>
      <c r="AM11" s="194"/>
      <c r="AN11" s="194"/>
      <c r="AO11" s="194"/>
      <c r="AP11" s="194"/>
      <c r="AQ11" s="194"/>
      <c r="AR11" s="476" t="s">
        <v>699</v>
      </c>
      <c r="AS11" s="476"/>
      <c r="AT11" s="632">
        <v>1E-4</v>
      </c>
      <c r="AU11" s="476" t="s">
        <v>699</v>
      </c>
      <c r="AV11" s="476"/>
      <c r="AW11" s="632">
        <v>1E-4</v>
      </c>
    </row>
    <row r="12" spans="1:227" ht="10.5" thickBot="1">
      <c r="B12" s="516" t="s">
        <v>635</v>
      </c>
      <c r="C12" s="517" t="s">
        <v>66</v>
      </c>
      <c r="D12" s="517" t="s">
        <v>57</v>
      </c>
      <c r="E12" s="517">
        <v>0.12</v>
      </c>
      <c r="F12" s="517">
        <v>1</v>
      </c>
      <c r="G12" s="517" t="s">
        <v>434</v>
      </c>
      <c r="H12" s="517">
        <v>100</v>
      </c>
      <c r="I12" s="517">
        <v>22.439800000000002</v>
      </c>
      <c r="J12" s="522">
        <v>47107</v>
      </c>
      <c r="K12" s="606"/>
      <c r="L12" s="272"/>
      <c r="M12" s="596" t="s">
        <v>675</v>
      </c>
      <c r="N12" s="597">
        <v>1</v>
      </c>
      <c r="P12" s="273"/>
      <c r="Q12" s="273"/>
      <c r="R12" s="273"/>
      <c r="S12" s="273"/>
      <c r="T12" s="575">
        <f ca="1"/>
        <v>0.06</v>
      </c>
      <c r="U12" s="572">
        <f ca="1"/>
        <v>4</v>
      </c>
      <c r="V12" s="466" t="s">
        <v>600</v>
      </c>
      <c r="W12" s="492">
        <f ca="1">SUM(X14:X313)/(SUM(X14:X313)+SUM(Y14:Y313))</f>
        <v>1</v>
      </c>
      <c r="X12" s="272"/>
      <c r="Y12" s="272"/>
      <c r="Z12" s="466" t="s">
        <v>600</v>
      </c>
      <c r="AA12" s="492">
        <f ca="1">SUM(AB14:AB313)/(SUM(AB14:AB313)+SUM(AC14:AC313))</f>
        <v>1</v>
      </c>
      <c r="AB12" s="272"/>
      <c r="AC12" s="272"/>
      <c r="AD12" s="272"/>
      <c r="AF12" s="476" t="s">
        <v>690</v>
      </c>
      <c r="AG12" s="621"/>
      <c r="AH12" s="621"/>
      <c r="AI12" s="621"/>
      <c r="AJ12" s="621"/>
      <c r="AK12" s="625"/>
      <c r="AL12" s="476" t="s">
        <v>692</v>
      </c>
      <c r="AM12" s="621"/>
      <c r="AN12" s="621"/>
      <c r="AO12" s="621"/>
      <c r="AP12" s="621"/>
      <c r="AQ12" s="619"/>
      <c r="AR12" s="476" t="s">
        <v>697</v>
      </c>
      <c r="AS12" s="476"/>
      <c r="AT12" s="476"/>
      <c r="AU12" s="476" t="s">
        <v>698</v>
      </c>
      <c r="AV12" s="476"/>
      <c r="AW12" s="476"/>
      <c r="AX12" s="579"/>
      <c r="AY12" s="579"/>
      <c r="BB12" s="546"/>
    </row>
    <row r="13" spans="1:227" ht="10.5" thickBot="1">
      <c r="B13" s="533" t="s">
        <v>635</v>
      </c>
      <c r="C13" s="534" t="s">
        <v>66</v>
      </c>
      <c r="D13" s="534" t="s">
        <v>59</v>
      </c>
      <c r="E13" s="534">
        <v>0.12</v>
      </c>
      <c r="F13" s="534">
        <v>1</v>
      </c>
      <c r="G13" s="534" t="s">
        <v>434</v>
      </c>
      <c r="H13" s="534">
        <v>100</v>
      </c>
      <c r="I13" s="534">
        <v>37.011200000000002</v>
      </c>
      <c r="J13" s="544">
        <v>47837</v>
      </c>
      <c r="K13" s="607"/>
      <c r="L13" s="272"/>
      <c r="M13" s="594" t="s">
        <v>676</v>
      </c>
      <c r="N13" s="595">
        <v>2</v>
      </c>
      <c r="P13" s="273"/>
      <c r="Q13" s="273"/>
      <c r="R13" s="273"/>
      <c r="S13" s="273"/>
      <c r="T13" s="575">
        <f ca="1"/>
        <v>0.06</v>
      </c>
      <c r="U13" s="572">
        <f ca="1"/>
        <v>5</v>
      </c>
      <c r="V13" s="468" t="s">
        <v>598</v>
      </c>
      <c r="W13" s="476" t="s">
        <v>599</v>
      </c>
      <c r="X13" s="482" t="s">
        <v>604</v>
      </c>
      <c r="Y13" s="476" t="s">
        <v>605</v>
      </c>
      <c r="Z13" s="482" t="s">
        <v>598</v>
      </c>
      <c r="AA13" s="476" t="s">
        <v>599</v>
      </c>
      <c r="AB13" s="482" t="s">
        <v>604</v>
      </c>
      <c r="AC13" s="476" t="s">
        <v>605</v>
      </c>
      <c r="AD13" s="272"/>
      <c r="AE13" s="476" t="s">
        <v>80</v>
      </c>
      <c r="AF13" s="474" t="s">
        <v>84</v>
      </c>
      <c r="AG13" s="474" t="s">
        <v>53</v>
      </c>
      <c r="AH13" s="474" t="s">
        <v>55</v>
      </c>
      <c r="AI13" s="474" t="s">
        <v>57</v>
      </c>
      <c r="AJ13" s="474" t="s">
        <v>62</v>
      </c>
      <c r="AK13" s="474" t="s">
        <v>691</v>
      </c>
      <c r="AL13" s="474" t="s">
        <v>84</v>
      </c>
      <c r="AM13" s="474" t="s">
        <v>53</v>
      </c>
      <c r="AN13" s="474" t="s">
        <v>55</v>
      </c>
      <c r="AO13" s="474" t="s">
        <v>57</v>
      </c>
      <c r="AP13" s="474" t="s">
        <v>62</v>
      </c>
      <c r="AQ13" s="474" t="s">
        <v>691</v>
      </c>
      <c r="AR13" s="476" t="s">
        <v>695</v>
      </c>
      <c r="AS13" s="476" t="s">
        <v>694</v>
      </c>
      <c r="AT13" s="476" t="s">
        <v>696</v>
      </c>
      <c r="AU13" s="476" t="s">
        <v>695</v>
      </c>
      <c r="AV13" s="476" t="s">
        <v>694</v>
      </c>
      <c r="AW13" s="637" t="s">
        <v>696</v>
      </c>
      <c r="AX13" s="476" t="s">
        <v>707</v>
      </c>
      <c r="AZ13" s="330" t="s">
        <v>83</v>
      </c>
      <c r="BA13" s="500" t="s">
        <v>84</v>
      </c>
      <c r="BB13" s="500" t="s">
        <v>53</v>
      </c>
      <c r="BC13" s="500" t="s">
        <v>54</v>
      </c>
      <c r="BD13" s="500" t="s">
        <v>55</v>
      </c>
      <c r="BE13" s="500" t="s">
        <v>57</v>
      </c>
      <c r="BF13" s="500" t="s">
        <v>62</v>
      </c>
      <c r="BG13" s="500" t="s">
        <v>63</v>
      </c>
      <c r="BH13" s="500" t="s">
        <v>64</v>
      </c>
      <c r="BI13" s="500" t="s">
        <v>607</v>
      </c>
      <c r="BJ13" s="580" t="s">
        <v>499</v>
      </c>
      <c r="BK13" s="476" t="s">
        <v>665</v>
      </c>
    </row>
    <row r="14" spans="1:227" ht="10.5" thickBot="1">
      <c r="B14" s="538" t="s">
        <v>636</v>
      </c>
      <c r="C14" s="539" t="s">
        <v>66</v>
      </c>
      <c r="D14" s="539" t="s">
        <v>55</v>
      </c>
      <c r="E14" s="539">
        <v>0.06</v>
      </c>
      <c r="F14" s="539">
        <v>0.12</v>
      </c>
      <c r="G14" s="539" t="s">
        <v>434</v>
      </c>
      <c r="H14" s="539">
        <v>100</v>
      </c>
      <c r="I14" s="539">
        <v>35.963500000000003</v>
      </c>
      <c r="J14" s="545">
        <v>46376</v>
      </c>
      <c r="K14" s="608"/>
      <c r="L14" s="272"/>
      <c r="M14" s="585" t="s">
        <v>677</v>
      </c>
      <c r="N14" s="589">
        <v>2</v>
      </c>
      <c r="P14" s="273"/>
      <c r="Q14" s="273"/>
      <c r="R14" s="273"/>
      <c r="S14" s="273"/>
      <c r="T14" s="575">
        <f ca="1"/>
        <v>0.06</v>
      </c>
      <c r="U14" s="572">
        <f ca="1"/>
        <v>6</v>
      </c>
      <c r="V14" s="485">
        <f ca="1">IF('CDO Bespoke'!O15&lt;&gt;"",'CDO Bespoke'!O15,"")</f>
        <v>9.7585317520127196E-2</v>
      </c>
      <c r="W14" s="486">
        <f ca="1">IF(V14&lt;&gt;"",0,"")</f>
        <v>0</v>
      </c>
      <c r="X14" s="486">
        <f t="shared" ref="X14:X77" ca="1" si="0">IF(V14&lt;&gt;"",IF($W$8,MAX(V14-W14,0),V14),"")</f>
        <v>9.7585317520127196E-2</v>
      </c>
      <c r="Y14" s="487">
        <f ca="1">IF(V14&lt;&gt;"",IF($W$8,0,W14),"")</f>
        <v>0</v>
      </c>
      <c r="Z14" s="485">
        <f ca="1">IF('CDO Bespoke'!O15&lt;&gt;"",'CDO Bespoke'!O15,"")</f>
        <v>9.7585317520127196E-2</v>
      </c>
      <c r="AA14" s="486">
        <f ca="1">IF(Z14&lt;&gt;"",ABS(MIN(-0.6*'CDO Bespoke'!K15+'CDO Bespoke'!T15*'CDO Bespoke'!K15,0)),"")</f>
        <v>8.9153934769689691E-2</v>
      </c>
      <c r="AB14" s="486">
        <f ca="1">IF(Z14&lt;&gt;"",IF($W$8,MAX(Z14-AA14,0),Z14),"")</f>
        <v>8.431382750437505E-3</v>
      </c>
      <c r="AC14" s="487">
        <f ca="1">IF(Z14&lt;&gt;"",IF($W$8,0,AA14),"")</f>
        <v>0</v>
      </c>
      <c r="AD14" s="272"/>
      <c r="AE14" s="471" t="str">
        <f ca="1">IF('CDO Bespoke'!C39&lt;&gt;"",'CDO Bespoke'!C39,"")</f>
        <v>Airbus SE</v>
      </c>
      <c r="AF14" s="502" cm="1">
        <f t="array" aca="1" ref="AF14:AK108" ca="1">GetDeltaCSRCDO(B25:B309,E25:E309,J25:J309,'CDO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-6.0761121023489295E-4</v>
      </c>
      <c r="AG14" s="503">
        <f ca="1"/>
        <v>-7.9207959025051622E-4</v>
      </c>
      <c r="AH14" s="503">
        <f ca="1"/>
        <v>7.5829881984734726E-4</v>
      </c>
      <c r="AI14" s="503">
        <f ca="1"/>
        <v>0.70556073289984589</v>
      </c>
      <c r="AJ14" s="504">
        <f ca="1"/>
        <v>0</v>
      </c>
      <c r="AK14" s="617">
        <f ca="1"/>
        <v>2.1120812605784152</v>
      </c>
      <c r="AL14" s="502" cm="1">
        <f t="array" aca="1" ref="AL14:AQ108" ca="1">GetDeltaCSRCDS(B25:B309,E25:E309,J25:J309,'CDO Bespoke'!C5,CDSRollDate,'CDS Strip'!J4,'CDS Strip'!J6,'CDO Bespoke'!C6,'CDO Bespoke'!G39:G133,'CDO Bespoke'!C17,'CDO Bespoke'!C39:C133,'CDO Bespoke'!K15:K109,'CDO Bespoke'!F39:F133,'CDO Bespoke'!C13,'CDO Bespoke'!C14,'CDO Bespoke'!C15)</f>
        <v>3.2327749220194962E-4</v>
      </c>
      <c r="AM14" s="503">
        <f ca="1"/>
        <v>1.5825142258034039E-3</v>
      </c>
      <c r="AN14" s="503">
        <f ca="1"/>
        <v>6.8729881074012372E-3</v>
      </c>
      <c r="AO14" s="503">
        <f ca="1"/>
        <v>0.67088409272250071</v>
      </c>
      <c r="AP14" s="504">
        <f ca="1"/>
        <v>0</v>
      </c>
      <c r="AQ14" s="626">
        <f ca="1"/>
        <v>0.56073969560454584</v>
      </c>
      <c r="AR14" s="502" cm="1">
        <f t="array" aca="1" ref="AR14:AT108" ca="1">GetCurvatureCSR(AT11,AT10,AF14:AJ108,B25:B309,E25:E309,J25:J309,'CDO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-1.1529371581998626E-2</v>
      </c>
      <c r="AS14" s="504">
        <f ca="1"/>
        <v>-3.3104189064825373E-2</v>
      </c>
      <c r="AT14" s="638">
        <f ca="1"/>
        <v>0.44615721409660136</v>
      </c>
      <c r="AU14" s="502" cm="1">
        <f t="array" aca="1" ref="AU14:AW108" ca="1">GetCurvatureCSR(AW11,AW10,AL14:AP108,B25:B309,E25:E309,J25:J309,'CDO Bespoke'!C5,CDSRollDate,'CDS Strip'!J4,'CDS Strip'!J6,'CDO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-0.11327747702872276</v>
      </c>
      <c r="AV14" s="504">
        <f ca="1"/>
        <v>2.4777731515074827E-3</v>
      </c>
      <c r="AW14" s="638">
        <f ca="1"/>
        <v>0.36130818997079073</v>
      </c>
      <c r="AX14" s="476" t="s">
        <v>705</v>
      </c>
      <c r="AZ14" s="505" cm="1">
        <f t="array" aca="1" ref="AZ14:BJ16" ca="1">GetGirr('CDO Bespoke'!C5,'CDO Bespoke'!C6,'CDO Bespoke'!C19:C20,'CDO Bespoke'!C21:C22,'CDO Bespoke'!G39:G133,'CDO Bespoke'!C8,'CDO Bespoke'!C17,'CDO Bespoke'!C39:C133,'CDO Bespoke'!D39:D133,'CDO Bespoke'!C12,'CDO Bespoke'!C13,'CDO Bespoke'!C14,'CDO Bespoke'!C15,'CDO Bespoke'!C9,'CDO Bespoke'!C10,'CDO Bespoke'!E39:E133,'CDO Bespoke'!F39:F133,'CDO Bespoke'!C24,'CDO Bespoke'!C25,'CDO Bespoke'!L6)</f>
        <v>6.0301985869028847E-6</v>
      </c>
      <c r="BA14" s="579">
        <f ca="1"/>
        <v>2.3125734704085716E-5</v>
      </c>
      <c r="BB14" s="579">
        <f ca="1"/>
        <v>7.0069605666855017E-5</v>
      </c>
      <c r="BC14" s="579">
        <f ca="1"/>
        <v>1.7115420693668509E-4</v>
      </c>
      <c r="BD14" s="579">
        <f ca="1"/>
        <v>2.9051250439674441E-4</v>
      </c>
      <c r="BE14" s="579">
        <f ca="1"/>
        <v>2.2567819521597523E-3</v>
      </c>
      <c r="BF14" s="579">
        <f ca="1"/>
        <v>0</v>
      </c>
      <c r="BG14" s="579">
        <f ca="1"/>
        <v>0</v>
      </c>
      <c r="BH14" s="579">
        <f ca="1"/>
        <v>0</v>
      </c>
      <c r="BI14" s="579">
        <f ca="1"/>
        <v>0</v>
      </c>
      <c r="BJ14" s="636">
        <f ca="1"/>
        <v>3.1177916747623665E-5</v>
      </c>
      <c r="BK14" s="475" t="str">
        <f ca="1">IF('IRS Strip'!F21="","",'IRS Strip'!F21)</f>
        <v>6-month EURIBOR Swaps</v>
      </c>
      <c r="BL14" s="475" t="str">
        <f ca="1">IF('IRS Strip'!B21="","",'IRS Strip'!B21)</f>
        <v>EUR</v>
      </c>
    </row>
    <row r="15" spans="1:227" ht="10.5" thickBot="1">
      <c r="B15" s="516" t="s">
        <v>636</v>
      </c>
      <c r="C15" s="517" t="s">
        <v>66</v>
      </c>
      <c r="D15" s="517" t="s">
        <v>57</v>
      </c>
      <c r="E15" s="517">
        <v>0.06</v>
      </c>
      <c r="F15" s="517">
        <v>0.12</v>
      </c>
      <c r="G15" s="517" t="s">
        <v>434</v>
      </c>
      <c r="H15" s="517">
        <v>100</v>
      </c>
      <c r="I15" s="517">
        <v>92.850899999999996</v>
      </c>
      <c r="J15" s="522">
        <v>47107</v>
      </c>
      <c r="K15" s="606"/>
      <c r="L15" s="272"/>
      <c r="M15" s="585" t="s">
        <v>678</v>
      </c>
      <c r="N15" s="589">
        <v>2</v>
      </c>
      <c r="P15" s="273"/>
      <c r="Q15" s="273"/>
      <c r="R15" s="273"/>
      <c r="S15" s="273"/>
      <c r="T15" s="575">
        <f ca="1"/>
        <v>0.03</v>
      </c>
      <c r="U15" s="572">
        <f ca="1"/>
        <v>7</v>
      </c>
      <c r="V15" s="484">
        <f ca="1">IF('CDO Bespoke'!O16&lt;&gt;"",'CDO Bespoke'!O16,"")</f>
        <v>9.7684037027718204E-2</v>
      </c>
      <c r="W15" s="640">
        <f ca="1">IF(V15&lt;&gt;"",0,"")</f>
        <v>0</v>
      </c>
      <c r="X15" s="640">
        <f t="shared" ca="1" si="0"/>
        <v>9.7684037027718204E-2</v>
      </c>
      <c r="Y15" s="488">
        <f ca="1">IF(V15&lt;&gt;"",IF($W$8,0,W15),"")</f>
        <v>0</v>
      </c>
      <c r="Z15" s="484">
        <f ca="1">IF('CDO Bespoke'!O16&lt;&gt;"",'CDO Bespoke'!O16,"")</f>
        <v>9.7684037027718204E-2</v>
      </c>
      <c r="AA15" s="640">
        <f ca="1">IF(Z15&lt;&gt;"",ABS(MIN(-0.6*'CDO Bespoke'!K16+'CDO Bespoke'!T16*'CDO Bespoke'!K16,0)),"")</f>
        <v>8.8285311496931321E-2</v>
      </c>
      <c r="AB15" s="640">
        <f ca="1">IF(Z15&lt;&gt;"",IF($W$8,MAX(Z15-AA15,0),Z15),"")</f>
        <v>9.3987255307868833E-3</v>
      </c>
      <c r="AC15" s="488">
        <f ca="1">IF(Z15&lt;&gt;"",IF($W$8,0,AA15),"")</f>
        <v>0</v>
      </c>
      <c r="AD15" s="272"/>
      <c r="AE15" s="493" t="str">
        <f ca="1">IF('CDO Bespoke'!C40&lt;&gt;"",'CDO Bespoke'!C40,"")</f>
        <v>Aktiebolaget Volvo</v>
      </c>
      <c r="AF15" s="495">
        <f ca="1"/>
        <v>-6.9637570987435282E-4</v>
      </c>
      <c r="AG15" s="583">
        <f ca="1"/>
        <v>-1.1806201799524629E-3</v>
      </c>
      <c r="AH15" s="583">
        <f ca="1"/>
        <v>-8.2896259023801377E-4</v>
      </c>
      <c r="AI15" s="583">
        <f ca="1"/>
        <v>0.73123051894996571</v>
      </c>
      <c r="AJ15" s="496">
        <f ca="1"/>
        <v>0</v>
      </c>
      <c r="AK15" s="618">
        <f ca="1"/>
        <v>0</v>
      </c>
      <c r="AL15" s="495">
        <f ca="1"/>
        <v>3.1182547510257008E-4</v>
      </c>
      <c r="AM15" s="583">
        <f ca="1"/>
        <v>1.5295214481026928E-3</v>
      </c>
      <c r="AN15" s="583">
        <f ca="1"/>
        <v>6.5727957169027865E-3</v>
      </c>
      <c r="AO15" s="583">
        <f ca="1"/>
        <v>0.69060665470050286</v>
      </c>
      <c r="AP15" s="496">
        <f ca="1"/>
        <v>0</v>
      </c>
      <c r="AQ15" s="618">
        <f ca="1"/>
        <v>0</v>
      </c>
      <c r="AR15" s="495">
        <f ca="1"/>
        <v>-1.0454181569364951E-2</v>
      </c>
      <c r="AS15" s="496">
        <f ca="1"/>
        <v>-3.4026560584159038E-2</v>
      </c>
      <c r="AT15" s="638">
        <f ca="1"/>
        <v>0.59487140067503375</v>
      </c>
      <c r="AU15" s="495">
        <f ca="1"/>
        <v>-0.11246552435570277</v>
      </c>
      <c r="AV15" s="496">
        <f ca="1"/>
        <v>3.662974411313271E-3</v>
      </c>
      <c r="AW15" s="638">
        <f ca="1"/>
        <v>0.73180147732429324</v>
      </c>
      <c r="AX15" s="476" t="s">
        <v>703</v>
      </c>
      <c r="AZ15" s="505">
        <f ca="1"/>
        <v>6.0301985869028847E-6</v>
      </c>
      <c r="BA15" s="579">
        <f ca="1"/>
        <v>2.3125734704085716E-5</v>
      </c>
      <c r="BB15" s="579">
        <f ca="1"/>
        <v>7.0069605666855017E-5</v>
      </c>
      <c r="BC15" s="579">
        <f ca="1"/>
        <v>1.7115420693668509E-4</v>
      </c>
      <c r="BD15" s="579">
        <f ca="1"/>
        <v>2.9051250439674441E-4</v>
      </c>
      <c r="BE15" s="579">
        <f ca="1"/>
        <v>2.2567819521597523E-3</v>
      </c>
      <c r="BF15" s="579">
        <f ca="1"/>
        <v>0</v>
      </c>
      <c r="BG15" s="579">
        <f ca="1"/>
        <v>0</v>
      </c>
      <c r="BH15" s="579">
        <f ca="1"/>
        <v>0</v>
      </c>
      <c r="BI15" s="579">
        <f ca="1"/>
        <v>0</v>
      </c>
      <c r="BJ15" s="581">
        <f ca="1"/>
        <v>0</v>
      </c>
      <c r="BK15" s="475" t="str">
        <f ca="1">IF('IRS Strip'!F22="","",'IRS Strip'!F22)</f>
        <v>3-month EURIBOR Swaps</v>
      </c>
      <c r="BL15" s="475" t="str">
        <f ca="1">IF('IRS Strip'!B22="","",'IRS Strip'!B22)</f>
        <v>EUR</v>
      </c>
    </row>
    <row r="16" spans="1:227" ht="10.5" thickBot="1">
      <c r="B16" s="533" t="s">
        <v>636</v>
      </c>
      <c r="C16" s="534" t="s">
        <v>66</v>
      </c>
      <c r="D16" s="534" t="s">
        <v>59</v>
      </c>
      <c r="E16" s="534">
        <v>0.06</v>
      </c>
      <c r="F16" s="534">
        <v>0.12</v>
      </c>
      <c r="G16" s="534" t="s">
        <v>434</v>
      </c>
      <c r="H16" s="534">
        <v>100</v>
      </c>
      <c r="I16" s="534">
        <v>155.51650000000001</v>
      </c>
      <c r="J16" s="544">
        <v>47837</v>
      </c>
      <c r="K16" s="607"/>
      <c r="L16" s="272"/>
      <c r="M16" s="596" t="s">
        <v>679</v>
      </c>
      <c r="N16" s="597">
        <v>2</v>
      </c>
      <c r="P16" s="273"/>
      <c r="Q16" s="273"/>
      <c r="R16" s="273"/>
      <c r="S16" s="273"/>
      <c r="T16" s="575">
        <f ca="1"/>
        <v>0.06</v>
      </c>
      <c r="U16" s="572">
        <f ca="1"/>
        <v>8</v>
      </c>
      <c r="V16" s="484">
        <f ca="1">IF('CDO Bespoke'!O17&lt;&gt;"",'CDO Bespoke'!O17,"")</f>
        <v>9.76181215737532E-2</v>
      </c>
      <c r="W16" s="640">
        <f t="shared" ref="W16:W79" ca="1" si="1">IF(V16&lt;&gt;"",0,"")</f>
        <v>0</v>
      </c>
      <c r="X16" s="640">
        <f t="shared" ca="1" si="0"/>
        <v>9.76181215737532E-2</v>
      </c>
      <c r="Y16" s="488">
        <f t="shared" ref="Y16:Y79" ca="1" si="2">IF(V16&lt;&gt;"",IF($W$8,0,W16),"")</f>
        <v>0</v>
      </c>
      <c r="Z16" s="484">
        <f ca="1">IF('CDO Bespoke'!O17&lt;&gt;"",'CDO Bespoke'!O17,"")</f>
        <v>9.76181215737532E-2</v>
      </c>
      <c r="AA16" s="640">
        <f ca="1">IF(Z16&lt;&gt;"",ABS(MIN(-0.6*'CDO Bespoke'!K17+'CDO Bespoke'!T17*'CDO Bespoke'!K17,0)),"")</f>
        <v>8.8873917002045916E-2</v>
      </c>
      <c r="AB16" s="640">
        <f t="shared" ref="AB16:AB79" ca="1" si="3">IF(Z16&lt;&gt;"",IF($W$8,MAX(Z16-AA16,0),Z16),"")</f>
        <v>8.7442045717072842E-3</v>
      </c>
      <c r="AC16" s="488">
        <f t="shared" ref="AC16:AC79" ca="1" si="4">IF(Z16&lt;&gt;"",IF($W$8,0,AA16),"")</f>
        <v>0</v>
      </c>
      <c r="AD16" s="272"/>
      <c r="AE16" s="493" t="str">
        <f ca="1">IF('CDO Bespoke'!C41&lt;&gt;"",'CDO Bespoke'!C41,"")</f>
        <v>Akzo Nobel N.V.</v>
      </c>
      <c r="AF16" s="495">
        <f ca="1"/>
        <v>-7.3868916983244048E-4</v>
      </c>
      <c r="AG16" s="583">
        <f ca="1"/>
        <v>-1.3426630302015852E-3</v>
      </c>
      <c r="AH16" s="583">
        <f ca="1"/>
        <v>-1.430020810100352E-3</v>
      </c>
      <c r="AI16" s="583">
        <f ca="1"/>
        <v>0.7443242978100173</v>
      </c>
      <c r="AJ16" s="496">
        <f ca="1"/>
        <v>0</v>
      </c>
      <c r="AK16" s="618">
        <f ca="1"/>
        <v>0</v>
      </c>
      <c r="AL16" s="495">
        <f ca="1"/>
        <v>3.0384072460289124E-4</v>
      </c>
      <c r="AM16" s="583">
        <f ca="1"/>
        <v>1.4927927767006965E-3</v>
      </c>
      <c r="AN16" s="583">
        <f ca="1"/>
        <v>6.3792213717038873E-3</v>
      </c>
      <c r="AO16" s="583">
        <f ca="1"/>
        <v>0.70066295882000029</v>
      </c>
      <c r="AP16" s="496">
        <f ca="1"/>
        <v>0</v>
      </c>
      <c r="AQ16" s="618">
        <f ca="1"/>
        <v>0</v>
      </c>
      <c r="AR16" s="495">
        <f ca="1"/>
        <v>-9.8682204318878419E-3</v>
      </c>
      <c r="AS16" s="496">
        <f ca="1"/>
        <v>-3.4489177129568116E-2</v>
      </c>
      <c r="AT16" s="639">
        <f ca="1"/>
        <v>0.74358642462856328</v>
      </c>
      <c r="AU16" s="495">
        <f ca="1"/>
        <v>-0.11197613687525657</v>
      </c>
      <c r="AV16" s="496">
        <f ca="1"/>
        <v>4.3958850089226703E-3</v>
      </c>
      <c r="AW16" s="639">
        <f ca="1"/>
        <v>0.98091220401521961</v>
      </c>
      <c r="AX16" s="476" t="s">
        <v>706</v>
      </c>
      <c r="AZ16" s="505">
        <f ca="1"/>
        <v>0</v>
      </c>
      <c r="BA16" s="579">
        <f ca="1"/>
        <v>0</v>
      </c>
      <c r="BB16" s="579">
        <f ca="1"/>
        <v>0</v>
      </c>
      <c r="BC16" s="579">
        <f ca="1"/>
        <v>0</v>
      </c>
      <c r="BD16" s="579">
        <f ca="1"/>
        <v>0</v>
      </c>
      <c r="BE16" s="579">
        <f ca="1"/>
        <v>0</v>
      </c>
      <c r="BF16" s="579">
        <f ca="1"/>
        <v>0</v>
      </c>
      <c r="BG16" s="579">
        <f ca="1"/>
        <v>0</v>
      </c>
      <c r="BH16" s="579">
        <f ca="1"/>
        <v>0</v>
      </c>
      <c r="BI16" s="579">
        <f ca="1"/>
        <v>0</v>
      </c>
      <c r="BJ16" s="581">
        <f ca="1"/>
        <v>0</v>
      </c>
      <c r="BK16" s="475" t="str">
        <f ca="1">IF('IRS Strip'!F23="","",'IRS Strip'!F23)</f>
        <v>1-month Term SOFR Swaps</v>
      </c>
      <c r="BL16" s="475" t="str">
        <f ca="1">IF('IRS Strip'!B23="","",'IRS Strip'!B23)</f>
        <v>USD</v>
      </c>
    </row>
    <row r="17" spans="2:64" ht="10.5" thickBot="1">
      <c r="B17" s="538" t="s">
        <v>637</v>
      </c>
      <c r="C17" s="539" t="s">
        <v>66</v>
      </c>
      <c r="D17" s="539" t="s">
        <v>55</v>
      </c>
      <c r="E17" s="539">
        <v>0.03</v>
      </c>
      <c r="F17" s="539">
        <v>0.06</v>
      </c>
      <c r="G17" s="539" t="s">
        <v>638</v>
      </c>
      <c r="H17" s="539">
        <v>100</v>
      </c>
      <c r="I17" s="540">
        <v>-6.1151900000000004E-3</v>
      </c>
      <c r="J17" s="545">
        <v>46376</v>
      </c>
      <c r="K17" s="608"/>
      <c r="L17" s="272"/>
      <c r="M17" s="598" t="s">
        <v>671</v>
      </c>
      <c r="N17" s="599">
        <v>3</v>
      </c>
      <c r="P17" s="273"/>
      <c r="Q17" s="273"/>
      <c r="R17" s="273"/>
      <c r="S17" s="273"/>
      <c r="T17" s="575">
        <f ca="1"/>
        <v>0.03</v>
      </c>
      <c r="U17" s="572">
        <f ca="1"/>
        <v>9</v>
      </c>
      <c r="V17" s="484">
        <f ca="1">IF('CDO Bespoke'!O18&lt;&gt;"",'CDO Bespoke'!O18,"")</f>
        <v>9.2555763673191196E-2</v>
      </c>
      <c r="W17" s="640">
        <f t="shared" ca="1" si="1"/>
        <v>0</v>
      </c>
      <c r="X17" s="640">
        <f t="shared" ca="1" si="0"/>
        <v>9.2555763673191196E-2</v>
      </c>
      <c r="Y17" s="488">
        <f t="shared" ca="1" si="2"/>
        <v>0</v>
      </c>
      <c r="Z17" s="484">
        <f ca="1">IF('CDO Bespoke'!O18&lt;&gt;"",'CDO Bespoke'!O18,"")</f>
        <v>9.2555763673191196E-2</v>
      </c>
      <c r="AA17" s="640">
        <f ca="1">IF(Z17&lt;&gt;"",ABS(MIN(-0.6*'CDO Bespoke'!K18+'CDO Bespoke'!T18*'CDO Bespoke'!K18,0)),"")</f>
        <v>9.811006068447603E-2</v>
      </c>
      <c r="AB17" s="640">
        <f t="shared" ca="1" si="3"/>
        <v>0</v>
      </c>
      <c r="AC17" s="488">
        <f t="shared" ca="1" si="4"/>
        <v>0</v>
      </c>
      <c r="AD17" s="272"/>
      <c r="AE17" s="493" t="str">
        <f ca="1">IF('CDO Bespoke'!C42&lt;&gt;"",'CDO Bespoke'!C42,"")</f>
        <v>ALSTOM</v>
      </c>
      <c r="AF17" s="495">
        <f ca="1"/>
        <v>-2.3895844603050165E-3</v>
      </c>
      <c r="AG17" s="583">
        <f ca="1"/>
        <v>-8.2308539400832714E-3</v>
      </c>
      <c r="AH17" s="583">
        <f ca="1"/>
        <v>-2.9153568339990166E-2</v>
      </c>
      <c r="AI17" s="583">
        <f ca="1"/>
        <v>1.0461912851000843</v>
      </c>
      <c r="AJ17" s="496">
        <f ca="1"/>
        <v>0</v>
      </c>
      <c r="AK17" s="618">
        <f ca="1"/>
        <v>0</v>
      </c>
      <c r="AL17" s="495">
        <f ca="1"/>
        <v>-3.3910275659514155E-4</v>
      </c>
      <c r="AM17" s="583">
        <f ca="1"/>
        <v>-1.5498390473940582E-3</v>
      </c>
      <c r="AN17" s="583">
        <f ca="1"/>
        <v>-8.2419686007941667E-3</v>
      </c>
      <c r="AO17" s="583">
        <f ca="1"/>
        <v>0.89353378170230713</v>
      </c>
      <c r="AP17" s="496">
        <f ca="1"/>
        <v>0</v>
      </c>
      <c r="AQ17" s="618">
        <f ca="1"/>
        <v>0</v>
      </c>
      <c r="AR17" s="495">
        <f ca="1"/>
        <v>4.7357137890722822E-3</v>
      </c>
      <c r="AS17" s="496">
        <f ca="1"/>
        <v>-3.9053540583463275E-2</v>
      </c>
      <c r="AT17" s="618">
        <f ca="1"/>
        <v>0</v>
      </c>
      <c r="AU17" s="495">
        <f ca="1"/>
        <v>-9.7357256580723195E-2</v>
      </c>
      <c r="AV17" s="496">
        <f ca="1"/>
        <v>4.5071193194682085E-2</v>
      </c>
      <c r="AW17" s="618">
        <f ca="1"/>
        <v>0</v>
      </c>
      <c r="AZ17" s="505"/>
      <c r="BA17" s="579"/>
      <c r="BB17" s="579"/>
      <c r="BC17" s="579"/>
      <c r="BD17" s="579"/>
      <c r="BE17" s="579"/>
      <c r="BF17" s="578"/>
      <c r="BG17" s="578"/>
      <c r="BH17" s="578"/>
      <c r="BI17" s="546"/>
      <c r="BK17" s="475" t="str">
        <f ca="1">IF('IRS Strip'!F24="","",'IRS Strip'!F24)</f>
        <v/>
      </c>
      <c r="BL17" s="475" t="str">
        <f ca="1">IF('IRS Strip'!B24="","",'IRS Strip'!B24)</f>
        <v/>
      </c>
    </row>
    <row r="18" spans="2:64" ht="10.5" thickBot="1">
      <c r="B18" s="516" t="s">
        <v>637</v>
      </c>
      <c r="C18" s="517" t="s">
        <v>66</v>
      </c>
      <c r="D18" s="517" t="s">
        <v>57</v>
      </c>
      <c r="E18" s="517">
        <v>0.03</v>
      </c>
      <c r="F18" s="517">
        <v>0.06</v>
      </c>
      <c r="G18" s="517" t="s">
        <v>638</v>
      </c>
      <c r="H18" s="517">
        <v>100</v>
      </c>
      <c r="I18" s="524">
        <v>3.497422E-2</v>
      </c>
      <c r="J18" s="522">
        <v>47107</v>
      </c>
      <c r="K18" s="606"/>
      <c r="L18" s="272"/>
      <c r="M18" s="594" t="s">
        <v>670</v>
      </c>
      <c r="N18" s="595">
        <v>4</v>
      </c>
      <c r="P18" s="273"/>
      <c r="Q18" s="273"/>
      <c r="R18" s="273"/>
      <c r="S18" s="273"/>
      <c r="T18" s="575">
        <f ca="1"/>
        <v>0.06</v>
      </c>
      <c r="U18" s="572">
        <f ca="1"/>
        <v>10</v>
      </c>
      <c r="V18" s="484">
        <f ca="1">IF('CDO Bespoke'!O19&lt;&gt;"",'CDO Bespoke'!O19,"")</f>
        <v>9.6406569561976199E-2</v>
      </c>
      <c r="W18" s="640">
        <f t="shared" ca="1" si="1"/>
        <v>0</v>
      </c>
      <c r="X18" s="640">
        <f t="shared" ca="1" si="0"/>
        <v>9.6406569561976199E-2</v>
      </c>
      <c r="Y18" s="488">
        <f t="shared" ca="1" si="2"/>
        <v>0</v>
      </c>
      <c r="Z18" s="484">
        <f ca="1">IF('CDO Bespoke'!O19&lt;&gt;"",'CDO Bespoke'!O19,"")</f>
        <v>9.6406569561976199E-2</v>
      </c>
      <c r="AA18" s="640">
        <f ca="1">IF(Z18&lt;&gt;"",ABS(MIN(-0.6*'CDO Bespoke'!K19+'CDO Bespoke'!T19*'CDO Bespoke'!K19,0)),"")</f>
        <v>9.5473634016306541E-2</v>
      </c>
      <c r="AB18" s="640">
        <f t="shared" ca="1" si="3"/>
        <v>9.3293554566965808E-4</v>
      </c>
      <c r="AC18" s="488">
        <f t="shared" ca="1" si="4"/>
        <v>0</v>
      </c>
      <c r="AD18" s="272"/>
      <c r="AE18" s="493" t="str">
        <f ca="1">IF('CDO Bespoke'!C43&lt;&gt;"",'CDO Bespoke'!C43,"")</f>
        <v>Anglo American plc</v>
      </c>
      <c r="AF18" s="495">
        <f ca="1"/>
        <v>-1.6703581701138503E-3</v>
      </c>
      <c r="AG18" s="583">
        <f ca="1"/>
        <v>-5.1593589300846787E-3</v>
      </c>
      <c r="AH18" s="583">
        <f ca="1"/>
        <v>-1.6420635219893676E-2</v>
      </c>
      <c r="AI18" s="583">
        <f ca="1"/>
        <v>0.95946618944020567</v>
      </c>
      <c r="AJ18" s="496">
        <f ca="1"/>
        <v>0</v>
      </c>
      <c r="AK18" s="618">
        <f ca="1"/>
        <v>0</v>
      </c>
      <c r="AL18" s="495">
        <f ca="1"/>
        <v>9.0411409901704903E-6</v>
      </c>
      <c r="AM18" s="583">
        <f ca="1"/>
        <v>1.1047682250031783E-4</v>
      </c>
      <c r="AN18" s="583">
        <f ca="1"/>
        <v>-2.223073020997E-4</v>
      </c>
      <c r="AO18" s="583">
        <f ca="1"/>
        <v>0.8511589255789096</v>
      </c>
      <c r="AP18" s="496">
        <f ca="1"/>
        <v>0</v>
      </c>
      <c r="AQ18" s="618">
        <f ca="1"/>
        <v>0</v>
      </c>
      <c r="AR18" s="495">
        <f ca="1"/>
        <v>-1.0675923153130595E-4</v>
      </c>
      <c r="AS18" s="496">
        <f ca="1"/>
        <v>-4.0029404046039663E-2</v>
      </c>
      <c r="AT18" s="618">
        <f ca="1"/>
        <v>0</v>
      </c>
      <c r="AU18" s="495">
        <f ca="1"/>
        <v>-0.10335303992263828</v>
      </c>
      <c r="AV18" s="496">
        <f ca="1"/>
        <v>2.4192458283186391E-2</v>
      </c>
      <c r="AW18" s="618">
        <f ca="1"/>
        <v>0</v>
      </c>
      <c r="AZ18" s="505"/>
      <c r="BA18" s="579"/>
      <c r="BB18" s="579"/>
      <c r="BC18" s="579"/>
      <c r="BD18" s="579"/>
      <c r="BE18" s="579"/>
      <c r="BF18" s="578"/>
      <c r="BG18" s="578"/>
      <c r="BH18" s="578"/>
      <c r="BI18" s="546"/>
      <c r="BK18" s="475" t="str">
        <f ca="1">IF('IRS Strip'!F25="","",'IRS Strip'!F25)</f>
        <v/>
      </c>
      <c r="BL18" s="475" t="str">
        <f ca="1">IF('IRS Strip'!B25="","",'IRS Strip'!B25)</f>
        <v/>
      </c>
    </row>
    <row r="19" spans="2:64" ht="10.5" thickBot="1">
      <c r="B19" s="533" t="s">
        <v>637</v>
      </c>
      <c r="C19" s="534" t="s">
        <v>66</v>
      </c>
      <c r="D19" s="534" t="s">
        <v>59</v>
      </c>
      <c r="E19" s="534">
        <v>0.03</v>
      </c>
      <c r="F19" s="534">
        <v>0.06</v>
      </c>
      <c r="G19" s="534" t="s">
        <v>638</v>
      </c>
      <c r="H19" s="534">
        <v>100</v>
      </c>
      <c r="I19" s="535">
        <v>0.10563547</v>
      </c>
      <c r="J19" s="544">
        <v>47837</v>
      </c>
      <c r="K19" s="607"/>
      <c r="L19" s="272"/>
      <c r="M19" s="585" t="s">
        <v>650</v>
      </c>
      <c r="N19" s="589">
        <v>4</v>
      </c>
      <c r="P19" s="273"/>
      <c r="Q19" s="273"/>
      <c r="R19" s="273"/>
      <c r="S19" s="273"/>
      <c r="T19" s="575">
        <f ca="1"/>
        <v>0.03</v>
      </c>
      <c r="U19" s="572">
        <f ca="1"/>
        <v>11</v>
      </c>
      <c r="V19" s="484">
        <f ca="1">IF('CDO Bespoke'!O20&lt;&gt;"",'CDO Bespoke'!O20,"")</f>
        <v>9.4869345967270202E-2</v>
      </c>
      <c r="W19" s="640">
        <f t="shared" ca="1" si="1"/>
        <v>0</v>
      </c>
      <c r="X19" s="640">
        <f t="shared" ca="1" si="0"/>
        <v>9.4869345967270202E-2</v>
      </c>
      <c r="Y19" s="488">
        <f t="shared" ca="1" si="2"/>
        <v>0</v>
      </c>
      <c r="Z19" s="484">
        <f ca="1">IF('CDO Bespoke'!O20&lt;&gt;"",'CDO Bespoke'!O20,"")</f>
        <v>9.4869345967270202E-2</v>
      </c>
      <c r="AA19" s="640">
        <f ca="1">IF(Z19&lt;&gt;"",ABS(MIN(-0.6*'CDO Bespoke'!K20+'CDO Bespoke'!T20*'CDO Bespoke'!K20,0)),"")</f>
        <v>9.827464462963087E-2</v>
      </c>
      <c r="AB19" s="640">
        <f t="shared" ca="1" si="3"/>
        <v>0</v>
      </c>
      <c r="AC19" s="488">
        <f t="shared" ca="1" si="4"/>
        <v>0</v>
      </c>
      <c r="AD19" s="272"/>
      <c r="AE19" s="493" t="str">
        <f ca="1">IF('CDO Bespoke'!C44&lt;&gt;"",'CDO Bespoke'!C44,"")</f>
        <v>ArcelorMittal</v>
      </c>
      <c r="AF19" s="495">
        <f ca="1"/>
        <v>-2.2998290499787188E-3</v>
      </c>
      <c r="AG19" s="583">
        <f ca="1"/>
        <v>-7.8601387998311623E-3</v>
      </c>
      <c r="AH19" s="583">
        <f ca="1"/>
        <v>-2.7787100880249938E-2</v>
      </c>
      <c r="AI19" s="583">
        <f ca="1"/>
        <v>1.0459580013899572</v>
      </c>
      <c r="AJ19" s="496">
        <f ca="1"/>
        <v>0</v>
      </c>
      <c r="AK19" s="618">
        <f ca="1"/>
        <v>0</v>
      </c>
      <c r="AL19" s="495">
        <f ca="1"/>
        <v>-2.8880427120105134E-4</v>
      </c>
      <c r="AM19" s="583">
        <f ca="1"/>
        <v>-1.3031202773967909E-3</v>
      </c>
      <c r="AN19" s="583">
        <f ca="1"/>
        <v>-7.0002589035948054E-3</v>
      </c>
      <c r="AO19" s="583">
        <f ca="1"/>
        <v>0.89751710543740049</v>
      </c>
      <c r="AP19" s="496">
        <f ca="1"/>
        <v>0</v>
      </c>
      <c r="AQ19" s="618">
        <f ca="1"/>
        <v>0</v>
      </c>
      <c r="AR19" s="495">
        <f ca="1"/>
        <v>4.3074876962078679E-3</v>
      </c>
      <c r="AS19" s="496">
        <f ca="1"/>
        <v>-3.9774471406747891E-2</v>
      </c>
      <c r="AT19" s="618">
        <f ca="1"/>
        <v>0</v>
      </c>
      <c r="AU19" s="495">
        <f ca="1"/>
        <v>-9.864266089620416E-2</v>
      </c>
      <c r="AV19" s="496">
        <f ca="1"/>
        <v>4.158346028749807E-2</v>
      </c>
      <c r="AW19" s="618">
        <f ca="1"/>
        <v>0</v>
      </c>
      <c r="AZ19" s="505"/>
      <c r="BA19" s="579"/>
      <c r="BB19" s="579"/>
      <c r="BC19" s="579"/>
      <c r="BD19" s="579"/>
      <c r="BE19" s="579"/>
      <c r="BF19" s="578"/>
      <c r="BG19" s="578"/>
      <c r="BH19" s="578"/>
      <c r="BI19" s="546"/>
      <c r="BK19" s="475" t="str">
        <f ca="1">IF('IRS Strip'!F26="","",'IRS Strip'!F26)</f>
        <v/>
      </c>
      <c r="BL19" s="475" t="str">
        <f ca="1">IF('IRS Strip'!B26="","",'IRS Strip'!B26)</f>
        <v/>
      </c>
    </row>
    <row r="20" spans="2:64" ht="10.5" thickBot="1">
      <c r="B20" s="516" t="s">
        <v>639</v>
      </c>
      <c r="C20" s="517" t="s">
        <v>66</v>
      </c>
      <c r="D20" s="517" t="s">
        <v>55</v>
      </c>
      <c r="E20" s="517">
        <v>0</v>
      </c>
      <c r="F20" s="517">
        <v>0.03</v>
      </c>
      <c r="G20" s="517" t="s">
        <v>638</v>
      </c>
      <c r="H20" s="517">
        <v>100</v>
      </c>
      <c r="I20" s="602">
        <v>0.1057844</v>
      </c>
      <c r="J20" s="522">
        <v>46376</v>
      </c>
      <c r="K20" s="606"/>
      <c r="L20" s="272"/>
      <c r="M20" s="585" t="s">
        <v>646</v>
      </c>
      <c r="N20" s="589">
        <v>4</v>
      </c>
      <c r="P20" s="273"/>
      <c r="Q20" s="273"/>
      <c r="R20" s="273"/>
      <c r="S20" s="273"/>
      <c r="T20" s="575">
        <f ca="1"/>
        <v>0.03</v>
      </c>
      <c r="U20" s="572">
        <f ca="1"/>
        <v>12</v>
      </c>
      <c r="V20" s="484">
        <f ca="1">IF('CDO Bespoke'!O21&lt;&gt;"",'CDO Bespoke'!O21,"")</f>
        <v>9.8162803020379205E-2</v>
      </c>
      <c r="W20" s="640">
        <f t="shared" ca="1" si="1"/>
        <v>0</v>
      </c>
      <c r="X20" s="640">
        <f t="shared" ca="1" si="0"/>
        <v>9.8162803020379205E-2</v>
      </c>
      <c r="Y20" s="488">
        <f t="shared" ca="1" si="2"/>
        <v>0</v>
      </c>
      <c r="Z20" s="484">
        <f ca="1">IF('CDO Bespoke'!O21&lt;&gt;"",'CDO Bespoke'!O21,"")</f>
        <v>9.8162803020379205E-2</v>
      </c>
      <c r="AA20" s="640">
        <f ca="1">IF(Z20&lt;&gt;"",ABS(MIN(-0.6*'CDO Bespoke'!K21+'CDO Bespoke'!T21*'CDO Bespoke'!K21,0)),"")</f>
        <v>8.2636063946548002E-2</v>
      </c>
      <c r="AB20" s="640">
        <f t="shared" ca="1" si="3"/>
        <v>1.5526739073831203E-2</v>
      </c>
      <c r="AC20" s="488">
        <f t="shared" ca="1" si="4"/>
        <v>0</v>
      </c>
      <c r="AD20" s="272"/>
      <c r="AE20" s="493" t="str">
        <f ca="1">IF('CDO Bespoke'!C45&lt;&gt;"",'CDO Bespoke'!C45,"")</f>
        <v>ASTRAZENECA PLC</v>
      </c>
      <c r="AF20" s="495">
        <f ca="1"/>
        <v>-2.896143502795212E-4</v>
      </c>
      <c r="AG20" s="583">
        <f ca="1"/>
        <v>3.5553224975171105E-4</v>
      </c>
      <c r="AH20" s="583">
        <f ca="1"/>
        <v>4.6564925998415774E-3</v>
      </c>
      <c r="AI20" s="583">
        <f ca="1"/>
        <v>0.58801342673997503</v>
      </c>
      <c r="AJ20" s="496">
        <f ca="1"/>
        <v>0</v>
      </c>
      <c r="AK20" s="618">
        <f ca="1"/>
        <v>0</v>
      </c>
      <c r="AL20" s="495">
        <f ca="1"/>
        <v>3.5156556859716054E-4</v>
      </c>
      <c r="AM20" s="583">
        <f ca="1"/>
        <v>1.7062526398974737E-3</v>
      </c>
      <c r="AN20" s="583">
        <f ca="1"/>
        <v>7.594607433400978E-3</v>
      </c>
      <c r="AO20" s="583">
        <f ca="1"/>
        <v>0.57565350603160093</v>
      </c>
      <c r="AP20" s="496">
        <f ca="1"/>
        <v>0</v>
      </c>
      <c r="AQ20" s="618">
        <f ca="1"/>
        <v>0</v>
      </c>
      <c r="AR20" s="495">
        <f ca="1"/>
        <v>-1.681518100092555E-2</v>
      </c>
      <c r="AS20" s="496">
        <f ca="1"/>
        <v>-2.8455234783159422E-2</v>
      </c>
      <c r="AT20" s="618">
        <f ca="1"/>
        <v>0</v>
      </c>
      <c r="AU20" s="495">
        <f ca="1"/>
        <v>-6.2940630429365249E-2</v>
      </c>
      <c r="AV20" s="496">
        <f ca="1"/>
        <v>6.6545506510693533E-3</v>
      </c>
      <c r="AW20" s="618">
        <f ca="1"/>
        <v>0</v>
      </c>
      <c r="AZ20" s="505"/>
      <c r="BA20" s="579"/>
      <c r="BB20" s="579"/>
      <c r="BC20" s="579"/>
      <c r="BD20" s="579"/>
      <c r="BE20" s="579"/>
      <c r="BF20" s="578"/>
      <c r="BG20" s="578"/>
      <c r="BH20" s="578"/>
      <c r="BI20" s="546"/>
      <c r="BK20" s="475" t="str">
        <f ca="1">IF('IRS Strip'!F27="","",'IRS Strip'!F27)</f>
        <v/>
      </c>
      <c r="BL20" s="475" t="str">
        <f ca="1">IF('IRS Strip'!B27="","",'IRS Strip'!B27)</f>
        <v/>
      </c>
    </row>
    <row r="21" spans="2:64" ht="10.5" thickBot="1">
      <c r="B21" s="516" t="s">
        <v>639</v>
      </c>
      <c r="C21" s="517" t="s">
        <v>66</v>
      </c>
      <c r="D21" s="517" t="s">
        <v>57</v>
      </c>
      <c r="E21" s="517">
        <v>0</v>
      </c>
      <c r="F21" s="517">
        <v>0.03</v>
      </c>
      <c r="G21" s="517" t="s">
        <v>638</v>
      </c>
      <c r="H21" s="517">
        <v>100</v>
      </c>
      <c r="I21" s="524">
        <v>0.25752876000000002</v>
      </c>
      <c r="J21" s="522">
        <v>47107</v>
      </c>
      <c r="K21" s="606" t="s">
        <v>75</v>
      </c>
      <c r="L21" s="564"/>
      <c r="M21" s="585" t="s">
        <v>680</v>
      </c>
      <c r="N21" s="589">
        <v>4</v>
      </c>
      <c r="P21" s="273"/>
      <c r="Q21" s="273"/>
      <c r="R21" s="273"/>
      <c r="S21" s="273"/>
      <c r="T21" s="575">
        <f ca="1"/>
        <v>0.06</v>
      </c>
      <c r="U21" s="572">
        <f ca="1"/>
        <v>13</v>
      </c>
      <c r="V21" s="484">
        <f ca="1">IF('CDO Bespoke'!O22&lt;&gt;"",'CDO Bespoke'!O22,"")</f>
        <v>9.82727263407982E-2</v>
      </c>
      <c r="W21" s="640">
        <f t="shared" ca="1" si="1"/>
        <v>0</v>
      </c>
      <c r="X21" s="640">
        <f t="shared" ca="1" si="0"/>
        <v>9.82727263407982E-2</v>
      </c>
      <c r="Y21" s="488">
        <f t="shared" ca="1" si="2"/>
        <v>0</v>
      </c>
      <c r="Z21" s="484">
        <f ca="1">IF('CDO Bespoke'!O22&lt;&gt;"",'CDO Bespoke'!O22,"")</f>
        <v>9.82727263407982E-2</v>
      </c>
      <c r="AA21" s="640">
        <f ca="1">IF(Z21&lt;&gt;"",ABS(MIN(-0.6*'CDO Bespoke'!K22+'CDO Bespoke'!T22*'CDO Bespoke'!K22,0)),"")</f>
        <v>8.085848551732748E-2</v>
      </c>
      <c r="AB21" s="640">
        <f t="shared" ca="1" si="3"/>
        <v>1.741424082347072E-2</v>
      </c>
      <c r="AC21" s="488">
        <f t="shared" ca="1" si="4"/>
        <v>0</v>
      </c>
      <c r="AD21" s="272"/>
      <c r="AE21" s="493" t="str">
        <f ca="1">IF('CDO Bespoke'!C46&lt;&gt;"",'CDO Bespoke'!C46,"")</f>
        <v>BAE SYSTEMS PLC</v>
      </c>
      <c r="AF21" s="495">
        <f ca="1"/>
        <v>-3.8217024989073423E-4</v>
      </c>
      <c r="AG21" s="583">
        <f ca="1"/>
        <v>-5.7590749946712094E-5</v>
      </c>
      <c r="AH21" s="583">
        <f ca="1"/>
        <v>3.0325870498115748E-3</v>
      </c>
      <c r="AI21" s="583">
        <f ca="1"/>
        <v>0.6167940168999575</v>
      </c>
      <c r="AJ21" s="496">
        <f ca="1"/>
        <v>0</v>
      </c>
      <c r="AK21" s="618">
        <f ca="1"/>
        <v>0</v>
      </c>
      <c r="AL21" s="495">
        <f ca="1"/>
        <v>3.5085971140155076E-4</v>
      </c>
      <c r="AM21" s="583">
        <f ca="1"/>
        <v>1.7042046021988402E-3</v>
      </c>
      <c r="AN21" s="583">
        <f ca="1"/>
        <v>7.5408537455979793E-3</v>
      </c>
      <c r="AO21" s="583">
        <f ca="1"/>
        <v>0.59900188200249971</v>
      </c>
      <c r="AP21" s="496">
        <f ca="1"/>
        <v>0</v>
      </c>
      <c r="AQ21" s="618">
        <f ca="1"/>
        <v>0</v>
      </c>
      <c r="AR21" s="495">
        <f ca="1"/>
        <v>-1.5618919602365389E-2</v>
      </c>
      <c r="AS21" s="496">
        <f ca="1"/>
        <v>-2.9609434799551582E-2</v>
      </c>
      <c r="AT21" s="618">
        <f ca="1"/>
        <v>0</v>
      </c>
      <c r="AU21" s="495">
        <f ca="1"/>
        <v>-0.11670404956053215</v>
      </c>
      <c r="AV21" s="496">
        <f ca="1"/>
        <v>-1.3505334571133377E-3</v>
      </c>
      <c r="AW21" s="618">
        <f ca="1"/>
        <v>0</v>
      </c>
      <c r="AZ21" s="505"/>
      <c r="BA21" s="579"/>
      <c r="BB21" s="579"/>
      <c r="BC21" s="579"/>
      <c r="BD21" s="579"/>
      <c r="BE21" s="579"/>
      <c r="BF21" s="578"/>
      <c r="BG21" s="578"/>
      <c r="BH21" s="578"/>
      <c r="BI21" s="546"/>
      <c r="BK21" s="475" t="str">
        <f ca="1">IF('IRS Strip'!F28="","",'IRS Strip'!F28)</f>
        <v/>
      </c>
      <c r="BL21" s="475" t="str">
        <f ca="1">IF('IRS Strip'!B28="","",'IRS Strip'!B28)</f>
        <v/>
      </c>
    </row>
    <row r="22" spans="2:64" ht="10.5" thickBot="1">
      <c r="B22" s="519" t="s">
        <v>639</v>
      </c>
      <c r="C22" s="520" t="s">
        <v>66</v>
      </c>
      <c r="D22" s="520" t="s">
        <v>59</v>
      </c>
      <c r="E22" s="520">
        <v>0</v>
      </c>
      <c r="F22" s="520">
        <v>0.03</v>
      </c>
      <c r="G22" s="520" t="s">
        <v>638</v>
      </c>
      <c r="H22" s="520">
        <v>100</v>
      </c>
      <c r="I22" s="525">
        <v>0.38828527000000002</v>
      </c>
      <c r="J22" s="523">
        <v>47837</v>
      </c>
      <c r="K22" s="609"/>
      <c r="L22" s="564"/>
      <c r="M22" s="585" t="s">
        <v>681</v>
      </c>
      <c r="N22" s="589">
        <v>4</v>
      </c>
      <c r="P22" s="273"/>
      <c r="Q22" s="273"/>
      <c r="R22" s="273"/>
      <c r="S22" s="273"/>
      <c r="T22" s="575">
        <f ca="1"/>
        <v>0.06</v>
      </c>
      <c r="U22" s="572">
        <f ca="1"/>
        <v>14</v>
      </c>
      <c r="V22" s="484">
        <f ca="1">IF('CDO Bespoke'!O23&lt;&gt;"",'CDO Bespoke'!O23,"")</f>
        <v>9.8146723110131201E-2</v>
      </c>
      <c r="W22" s="640">
        <f t="shared" ca="1" si="1"/>
        <v>0</v>
      </c>
      <c r="X22" s="640">
        <f t="shared" ca="1" si="0"/>
        <v>9.8146723110131201E-2</v>
      </c>
      <c r="Y22" s="488">
        <f t="shared" ca="1" si="2"/>
        <v>0</v>
      </c>
      <c r="Z22" s="484">
        <f ca="1">IF('CDO Bespoke'!O23&lt;&gt;"",'CDO Bespoke'!O23,"")</f>
        <v>9.8146723110131201E-2</v>
      </c>
      <c r="AA22" s="640">
        <f ca="1">IF(Z22&lt;&gt;"",ABS(MIN(-0.6*'CDO Bespoke'!K23+'CDO Bespoke'!T23*'CDO Bespoke'!K23,0)),"")</f>
        <v>8.2876875482198284E-2</v>
      </c>
      <c r="AB22" s="640">
        <f t="shared" ca="1" si="3"/>
        <v>1.5269847627932917E-2</v>
      </c>
      <c r="AC22" s="488">
        <f t="shared" ca="1" si="4"/>
        <v>0</v>
      </c>
      <c r="AD22" s="272"/>
      <c r="AE22" s="493" t="str">
        <f ca="1">IF('CDO Bespoke'!C47&lt;&gt;"",'CDO Bespoke'!C47,"")</f>
        <v>BASF SE</v>
      </c>
      <c r="AF22" s="495">
        <f ca="1"/>
        <v>-5.7523577012830174E-4</v>
      </c>
      <c r="AG22" s="583">
        <f ca="1"/>
        <v>-8.0217356979161991E-4</v>
      </c>
      <c r="AH22" s="583">
        <f ca="1"/>
        <v>3.4166993012618718E-4</v>
      </c>
      <c r="AI22" s="583">
        <f ca="1"/>
        <v>0.6853198379896952</v>
      </c>
      <c r="AJ22" s="496">
        <f ca="1"/>
        <v>0</v>
      </c>
      <c r="AK22" s="618">
        <f ca="1"/>
        <v>0</v>
      </c>
      <c r="AL22" s="495">
        <f ca="1"/>
        <v>3.3559915480277369E-4</v>
      </c>
      <c r="AM22" s="583">
        <f ca="1"/>
        <v>1.6370122113027949E-3</v>
      </c>
      <c r="AN22" s="583">
        <f ca="1"/>
        <v>7.1308247949009376E-3</v>
      </c>
      <c r="AO22" s="583">
        <f ca="1"/>
        <v>0.65424973184850099</v>
      </c>
      <c r="AP22" s="496">
        <f ca="1"/>
        <v>0</v>
      </c>
      <c r="AQ22" s="618">
        <f ca="1"/>
        <v>0</v>
      </c>
      <c r="AR22" s="495">
        <f ca="1"/>
        <v>-1.2603675356442912E-2</v>
      </c>
      <c r="AS22" s="496">
        <f ca="1"/>
        <v>-3.2306078757425083E-2</v>
      </c>
      <c r="AT22" s="618">
        <f ca="1"/>
        <v>0</v>
      </c>
      <c r="AU22" s="495">
        <f ca="1"/>
        <v>-0.11432623834113666</v>
      </c>
      <c r="AV22" s="496">
        <f ca="1"/>
        <v>1.2235204482125769E-3</v>
      </c>
      <c r="AW22" s="618">
        <f ca="1"/>
        <v>0</v>
      </c>
      <c r="AZ22" s="505"/>
      <c r="BA22" s="579"/>
      <c r="BB22" s="579"/>
      <c r="BC22" s="579"/>
      <c r="BD22" s="579"/>
      <c r="BE22" s="579"/>
      <c r="BF22" s="578"/>
      <c r="BG22" s="578"/>
      <c r="BH22" s="578"/>
      <c r="BI22" s="546"/>
      <c r="BK22" s="475" t="str">
        <f ca="1">IF('IRS Strip'!F29="","",'IRS Strip'!F29)</f>
        <v/>
      </c>
      <c r="BL22" s="475" t="str">
        <f ca="1">IF('IRS Strip'!B29="","",'IRS Strip'!B29)</f>
        <v/>
      </c>
    </row>
    <row r="23" spans="2:64" ht="10.5" thickBot="1">
      <c r="D23" s="272"/>
      <c r="E23" s="272"/>
      <c r="F23" s="272"/>
      <c r="G23" s="272"/>
      <c r="H23" s="272"/>
      <c r="I23" s="272"/>
      <c r="J23" s="272"/>
      <c r="K23" s="272"/>
      <c r="L23" s="272"/>
      <c r="M23" s="596" t="s">
        <v>682</v>
      </c>
      <c r="N23" s="597">
        <v>4</v>
      </c>
      <c r="P23" s="273"/>
      <c r="Q23" s="273"/>
      <c r="R23" s="273"/>
      <c r="S23" s="273"/>
      <c r="T23" s="575">
        <f ca="1"/>
        <v>0.06</v>
      </c>
      <c r="U23" s="572">
        <f ca="1"/>
        <v>15</v>
      </c>
      <c r="V23" s="484">
        <f ca="1">IF('CDO Bespoke'!O24&lt;&gt;"",'CDO Bespoke'!O24,"")</f>
        <v>9.4249253053478199E-2</v>
      </c>
      <c r="W23" s="640">
        <f t="shared" ca="1" si="1"/>
        <v>0</v>
      </c>
      <c r="X23" s="640">
        <f t="shared" ca="1" si="0"/>
        <v>9.4249253053478199E-2</v>
      </c>
      <c r="Y23" s="488">
        <f t="shared" ca="1" si="2"/>
        <v>0</v>
      </c>
      <c r="Z23" s="484">
        <f ca="1">IF('CDO Bespoke'!O24&lt;&gt;"",'CDO Bespoke'!O24,"")</f>
        <v>9.4249253053478199E-2</v>
      </c>
      <c r="AA23" s="640">
        <f ca="1">IF(Z23&lt;&gt;"",ABS(MIN(-0.6*'CDO Bespoke'!K24+'CDO Bespoke'!T24*'CDO Bespoke'!K24,0)),"")</f>
        <v>9.8601311801273558E-2</v>
      </c>
      <c r="AB23" s="640">
        <f t="shared" ca="1" si="3"/>
        <v>0</v>
      </c>
      <c r="AC23" s="488">
        <f t="shared" ca="1" si="4"/>
        <v>0</v>
      </c>
      <c r="AD23" s="272"/>
      <c r="AE23" s="493" t="str">
        <f ca="1">IF('CDO Bespoke'!C48&lt;&gt;"",'CDO Bespoke'!C48,"")</f>
        <v>Bayer Aktiengesellschaft</v>
      </c>
      <c r="AF23" s="495">
        <f ca="1"/>
        <v>-1.8749777003224111E-3</v>
      </c>
      <c r="AG23" s="583">
        <f ca="1"/>
        <v>-5.9469780300247521E-3</v>
      </c>
      <c r="AH23" s="583">
        <f ca="1"/>
        <v>-1.9325293220129325E-2</v>
      </c>
      <c r="AI23" s="583">
        <f ca="1"/>
        <v>0.985426287770097</v>
      </c>
      <c r="AJ23" s="496">
        <f ca="1"/>
        <v>0</v>
      </c>
      <c r="AK23" s="618">
        <f ca="1"/>
        <v>0</v>
      </c>
      <c r="AL23" s="495">
        <f ca="1"/>
        <v>-9.0315586901562606E-5</v>
      </c>
      <c r="AM23" s="583">
        <f ca="1"/>
        <v>-3.610230382006252E-4</v>
      </c>
      <c r="AN23" s="583">
        <f ca="1"/>
        <v>-2.499430838301224E-3</v>
      </c>
      <c r="AO23" s="583">
        <f ca="1"/>
        <v>0.86451824813760014</v>
      </c>
      <c r="AP23" s="496">
        <f ca="1"/>
        <v>0</v>
      </c>
      <c r="AQ23" s="618">
        <f ca="1"/>
        <v>0</v>
      </c>
      <c r="AR23" s="495">
        <f ca="1"/>
        <v>1.4993191711030196E-3</v>
      </c>
      <c r="AS23" s="496">
        <f ca="1"/>
        <v>-3.9894310132306043E-2</v>
      </c>
      <c r="AT23" s="618">
        <f ca="1"/>
        <v>0</v>
      </c>
      <c r="AU23" s="495">
        <f ca="1"/>
        <v>-5.4462550412571351E-2</v>
      </c>
      <c r="AV23" s="496">
        <f ca="1"/>
        <v>4.3278307963469154E-2</v>
      </c>
      <c r="AW23" s="618">
        <f ca="1"/>
        <v>0</v>
      </c>
      <c r="AZ23" s="506"/>
      <c r="BA23" s="507"/>
      <c r="BB23" s="507"/>
      <c r="BC23" s="507"/>
      <c r="BD23" s="507"/>
      <c r="BE23" s="507"/>
      <c r="BF23" s="582"/>
      <c r="BG23" s="582"/>
      <c r="BH23" s="582"/>
      <c r="BI23" s="584"/>
      <c r="BJ23" s="348"/>
      <c r="BK23" s="474" t="str">
        <f ca="1">IF('IRS Strip'!F30="","",'IRS Strip'!F30)</f>
        <v/>
      </c>
      <c r="BL23" s="474" t="str">
        <f ca="1">IF('IRS Strip'!B30="","",'IRS Strip'!B30)</f>
        <v/>
      </c>
    </row>
    <row r="24" spans="2:64" ht="10.5" thickBot="1">
      <c r="B24" s="468" t="s">
        <v>640</v>
      </c>
      <c r="C24" s="468" t="s">
        <v>82</v>
      </c>
      <c r="D24" s="468" t="s">
        <v>432</v>
      </c>
      <c r="E24" s="468" t="s">
        <v>641</v>
      </c>
      <c r="F24" s="468" t="s">
        <v>642</v>
      </c>
      <c r="G24" s="468" t="s">
        <v>643</v>
      </c>
      <c r="H24" s="468" t="s">
        <v>644</v>
      </c>
      <c r="I24" s="468" t="s">
        <v>85</v>
      </c>
      <c r="J24" s="468" t="s">
        <v>689</v>
      </c>
      <c r="K24" s="476" t="s">
        <v>653</v>
      </c>
      <c r="L24" s="272"/>
      <c r="M24" s="594" t="s">
        <v>668</v>
      </c>
      <c r="N24" s="595">
        <v>5</v>
      </c>
      <c r="P24" s="273"/>
      <c r="Q24" s="273"/>
      <c r="R24" s="273"/>
      <c r="S24" s="273"/>
      <c r="T24" s="575">
        <f ca="1"/>
        <v>0.06</v>
      </c>
      <c r="U24" s="572">
        <f ca="1"/>
        <v>16</v>
      </c>
      <c r="V24" s="484">
        <f ca="1">IF('CDO Bespoke'!O25&lt;&gt;"",'CDO Bespoke'!O25,"")</f>
        <v>9.7754055400969195E-2</v>
      </c>
      <c r="W24" s="640">
        <f t="shared" ca="1" si="1"/>
        <v>0</v>
      </c>
      <c r="X24" s="640">
        <f t="shared" ca="1" si="0"/>
        <v>9.7754055400969195E-2</v>
      </c>
      <c r="Y24" s="488">
        <f t="shared" ca="1" si="2"/>
        <v>0</v>
      </c>
      <c r="Z24" s="484">
        <f ca="1">IF('CDO Bespoke'!O25&lt;&gt;"",'CDO Bespoke'!O25,"")</f>
        <v>9.7754055400969195E-2</v>
      </c>
      <c r="AA24" s="640">
        <f ca="1">IF(Z24&lt;&gt;"",ABS(MIN(-0.6*'CDO Bespoke'!K25+'CDO Bespoke'!T25*'CDO Bespoke'!K25,0)),"")</f>
        <v>8.7619287859779973E-2</v>
      </c>
      <c r="AB24" s="640">
        <f t="shared" ca="1" si="3"/>
        <v>1.0134767541189221E-2</v>
      </c>
      <c r="AC24" s="488">
        <f t="shared" ca="1" si="4"/>
        <v>0</v>
      </c>
      <c r="AD24" s="272"/>
      <c r="AE24" s="493" t="str">
        <f ca="1">IF('CDO Bespoke'!C49&lt;&gt;"",'CDO Bespoke'!C49,"")</f>
        <v>Bayerische Motoren Werke Aktiengesellschaft</v>
      </c>
      <c r="AF24" s="495">
        <f ca="1"/>
        <v>-7.176653499252339E-4</v>
      </c>
      <c r="AG24" s="583">
        <f ca="1"/>
        <v>-1.2846867197824352E-3</v>
      </c>
      <c r="AH24" s="583">
        <f ca="1"/>
        <v>-1.2800340798424514E-3</v>
      </c>
      <c r="AI24" s="583">
        <f ca="1"/>
        <v>0.73661288796988966</v>
      </c>
      <c r="AJ24" s="496">
        <f ca="1"/>
        <v>0</v>
      </c>
      <c r="AK24" s="618">
        <f ca="1"/>
        <v>0</v>
      </c>
      <c r="AL24" s="495">
        <f ca="1"/>
        <v>3.095200013999988E-4</v>
      </c>
      <c r="AM24" s="583">
        <f ca="1"/>
        <v>1.5186505247007792E-3</v>
      </c>
      <c r="AN24" s="583">
        <f ca="1"/>
        <v>6.5078552423034064E-3</v>
      </c>
      <c r="AO24" s="583">
        <f ca="1"/>
        <v>0.69465408897380254</v>
      </c>
      <c r="AP24" s="496">
        <f ca="1"/>
        <v>0</v>
      </c>
      <c r="AQ24" s="618">
        <f ca="1"/>
        <v>0</v>
      </c>
      <c r="AR24" s="495">
        <f ca="1"/>
        <v>-1.0245009369197033E-2</v>
      </c>
      <c r="AS24" s="496">
        <f ca="1"/>
        <v>-3.4213492955352975E-2</v>
      </c>
      <c r="AT24" s="618">
        <f ca="1"/>
        <v>0</v>
      </c>
      <c r="AU24" s="495">
        <f ca="1"/>
        <v>-0.11232552253158561</v>
      </c>
      <c r="AV24" s="496">
        <f ca="1"/>
        <v>3.8940566746476987E-3</v>
      </c>
      <c r="AW24" s="618">
        <f ca="1"/>
        <v>0</v>
      </c>
      <c r="AX24" s="579"/>
      <c r="AY24" s="579"/>
      <c r="AZ24" s="578"/>
      <c r="BA24" s="578"/>
      <c r="BB24" s="578"/>
    </row>
    <row r="25" spans="2:64">
      <c r="B25" s="528" t="s">
        <v>510</v>
      </c>
      <c r="C25" s="529" t="s">
        <v>66</v>
      </c>
      <c r="D25" s="529" t="s">
        <v>55</v>
      </c>
      <c r="E25" s="529" t="s">
        <v>645</v>
      </c>
      <c r="F25" s="529" t="s">
        <v>646</v>
      </c>
      <c r="G25" s="530">
        <v>0.01</v>
      </c>
      <c r="H25" s="530">
        <v>3.0899999999999999E-3</v>
      </c>
      <c r="I25" s="531">
        <v>0.4</v>
      </c>
      <c r="J25" s="591">
        <v>4</v>
      </c>
      <c r="K25" s="532">
        <v>1</v>
      </c>
      <c r="L25" s="272"/>
      <c r="M25" s="585" t="s">
        <v>684</v>
      </c>
      <c r="N25" s="589">
        <v>5</v>
      </c>
      <c r="P25" s="273"/>
      <c r="Q25" s="273"/>
      <c r="R25" s="273"/>
      <c r="S25" s="273"/>
      <c r="T25" s="575">
        <f ca="1"/>
        <v>0.03</v>
      </c>
      <c r="U25" s="572">
        <f ca="1"/>
        <v>17</v>
      </c>
      <c r="V25" s="484">
        <f ca="1">IF('CDO Bespoke'!O26&lt;&gt;"",'CDO Bespoke'!O26,"")</f>
        <v>9.8158478667914204E-2</v>
      </c>
      <c r="W25" s="640">
        <f t="shared" ca="1" si="1"/>
        <v>0</v>
      </c>
      <c r="X25" s="640">
        <f t="shared" ca="1" si="0"/>
        <v>9.8158478667914204E-2</v>
      </c>
      <c r="Y25" s="488">
        <f t="shared" ca="1" si="2"/>
        <v>0</v>
      </c>
      <c r="Z25" s="484">
        <f ca="1">IF('CDO Bespoke'!O26&lt;&gt;"",'CDO Bespoke'!O26,"")</f>
        <v>9.8158478667914204E-2</v>
      </c>
      <c r="AA25" s="640">
        <f ca="1">IF(Z25&lt;&gt;"",ABS(MIN(-0.6*'CDO Bespoke'!K26+'CDO Bespoke'!T26*'CDO Bespoke'!K26,0)),"")</f>
        <v>8.2701273062085093E-2</v>
      </c>
      <c r="AB25" s="640">
        <f t="shared" ca="1" si="3"/>
        <v>1.5457205605829111E-2</v>
      </c>
      <c r="AC25" s="488">
        <f t="shared" ca="1" si="4"/>
        <v>0</v>
      </c>
      <c r="AD25" s="272"/>
      <c r="AE25" s="493" t="str">
        <f ca="1">IF('CDO Bespoke'!C50&lt;&gt;"",'CDO Bespoke'!C50,"")</f>
        <v>BOUYGUES</v>
      </c>
      <c r="AF25" s="495">
        <f ca="1"/>
        <v>-3.5409215004555961E-4</v>
      </c>
      <c r="AG25" s="583">
        <f ca="1"/>
        <v>9.6388970138860941E-5</v>
      </c>
      <c r="AH25" s="583">
        <f ca="1"/>
        <v>3.7052172097151725E-3</v>
      </c>
      <c r="AI25" s="583">
        <f ca="1"/>
        <v>0.61110782818007969</v>
      </c>
      <c r="AJ25" s="496">
        <f ca="1"/>
        <v>0</v>
      </c>
      <c r="AK25" s="618">
        <f ca="1"/>
        <v>0</v>
      </c>
      <c r="AL25" s="495">
        <f ca="1"/>
        <v>3.5058291159885402E-4</v>
      </c>
      <c r="AM25" s="583">
        <f ca="1"/>
        <v>1.7031141783972401E-3</v>
      </c>
      <c r="AN25" s="583">
        <f ca="1"/>
        <v>7.5501354394012787E-3</v>
      </c>
      <c r="AO25" s="583">
        <f ca="1"/>
        <v>0.5946470950291991</v>
      </c>
      <c r="AP25" s="496">
        <f ca="1"/>
        <v>0</v>
      </c>
      <c r="AQ25" s="618">
        <f ca="1"/>
        <v>0</v>
      </c>
      <c r="AR25" s="495">
        <f ca="1"/>
        <v>-1.5814006893643595E-2</v>
      </c>
      <c r="AS25" s="496">
        <f ca="1"/>
        <v>-2.9398602251406392E-2</v>
      </c>
      <c r="AT25" s="618">
        <f ca="1"/>
        <v>0</v>
      </c>
      <c r="AU25" s="495">
        <f ca="1"/>
        <v>-0.116810722251454</v>
      </c>
      <c r="AV25" s="496">
        <f ca="1"/>
        <v>-1.4586031633200928E-3</v>
      </c>
      <c r="AW25" s="618">
        <f ca="1"/>
        <v>0</v>
      </c>
      <c r="AX25" s="579"/>
      <c r="AY25" s="579"/>
      <c r="AZ25" s="578"/>
      <c r="BA25" s="578"/>
      <c r="BB25" s="578"/>
    </row>
    <row r="26" spans="2:64">
      <c r="B26" s="516" t="s">
        <v>510</v>
      </c>
      <c r="C26" s="517" t="s">
        <v>66</v>
      </c>
      <c r="D26" s="517" t="s">
        <v>57</v>
      </c>
      <c r="E26" s="517" t="s">
        <v>645</v>
      </c>
      <c r="F26" s="517" t="s">
        <v>646</v>
      </c>
      <c r="G26" s="524">
        <v>0.01</v>
      </c>
      <c r="H26" s="524">
        <v>4.5950000000000001E-3</v>
      </c>
      <c r="I26" s="526">
        <v>0.4</v>
      </c>
      <c r="J26" s="592">
        <v>4</v>
      </c>
      <c r="K26" s="518">
        <v>1</v>
      </c>
      <c r="L26" s="272"/>
      <c r="M26" s="596" t="s">
        <v>683</v>
      </c>
      <c r="N26" s="597">
        <v>5</v>
      </c>
      <c r="P26" s="273"/>
      <c r="Q26" s="273"/>
      <c r="R26" s="273"/>
      <c r="S26" s="273"/>
      <c r="T26" s="575">
        <f ca="1"/>
        <v>0.06</v>
      </c>
      <c r="U26" s="572">
        <f ca="1"/>
        <v>18</v>
      </c>
      <c r="V26" s="484">
        <f ca="1">IF('CDO Bespoke'!O27&lt;&gt;"",'CDO Bespoke'!O27,"")</f>
        <v>9.5954296935692199E-2</v>
      </c>
      <c r="W26" s="640">
        <f t="shared" ca="1" si="1"/>
        <v>0</v>
      </c>
      <c r="X26" s="640">
        <f t="shared" ca="1" si="0"/>
        <v>9.5954296935692199E-2</v>
      </c>
      <c r="Y26" s="488">
        <f t="shared" ca="1" si="2"/>
        <v>0</v>
      </c>
      <c r="Z26" s="484">
        <f ca="1">IF('CDO Bespoke'!O27&lt;&gt;"",'CDO Bespoke'!O27,"")</f>
        <v>9.5954296935692199E-2</v>
      </c>
      <c r="AA26" s="640">
        <f ca="1">IF(Z26&lt;&gt;"",ABS(MIN(-0.6*'CDO Bespoke'!K27+'CDO Bespoke'!T27*'CDO Bespoke'!K27,0)),"")</f>
        <v>9.6708277757939484E-2</v>
      </c>
      <c r="AB26" s="640">
        <f t="shared" ca="1" si="3"/>
        <v>0</v>
      </c>
      <c r="AC26" s="488">
        <f t="shared" ca="1" si="4"/>
        <v>0</v>
      </c>
      <c r="AD26" s="272"/>
      <c r="AE26" s="493" t="str">
        <f ca="1">IF('CDO Bespoke'!C51&lt;&gt;"",'CDO Bespoke'!C51,"")</f>
        <v>CNH Industrial N.V</v>
      </c>
      <c r="AF26" s="495">
        <f ca="1"/>
        <v>-1.4330722702959875E-3</v>
      </c>
      <c r="AG26" s="583">
        <f ca="1"/>
        <v>-4.0887989399829294E-3</v>
      </c>
      <c r="AH26" s="583">
        <f ca="1"/>
        <v>-1.2134150860210191E-2</v>
      </c>
      <c r="AI26" s="583">
        <f ca="1"/>
        <v>0.91464592763990105</v>
      </c>
      <c r="AJ26" s="496">
        <f ca="1"/>
        <v>0</v>
      </c>
      <c r="AK26" s="618">
        <f ca="1"/>
        <v>0</v>
      </c>
      <c r="AL26" s="495">
        <f ca="1"/>
        <v>9.5341214199776494E-5</v>
      </c>
      <c r="AM26" s="583">
        <f ca="1"/>
        <v>5.1823835809945012E-4</v>
      </c>
      <c r="AN26" s="583">
        <f ca="1"/>
        <v>1.4364359688994952E-3</v>
      </c>
      <c r="AO26" s="583">
        <f ca="1"/>
        <v>0.82160170106459041</v>
      </c>
      <c r="AP26" s="496">
        <f ca="1"/>
        <v>0</v>
      </c>
      <c r="AQ26" s="618">
        <f ca="1"/>
        <v>0</v>
      </c>
      <c r="AR26" s="495">
        <f ca="1"/>
        <v>-2.0397075385473751E-3</v>
      </c>
      <c r="AS26" s="496">
        <f ca="1"/>
        <v>-3.924194816574661E-2</v>
      </c>
      <c r="AT26" s="618">
        <f ca="1"/>
        <v>0</v>
      </c>
      <c r="AU26" s="495">
        <f ca="1"/>
        <v>-0.10491433238807733</v>
      </c>
      <c r="AV26" s="496">
        <f ca="1"/>
        <v>1.9049627551355027E-2</v>
      </c>
      <c r="AW26" s="618">
        <f ca="1"/>
        <v>0</v>
      </c>
    </row>
    <row r="27" spans="2:64">
      <c r="B27" s="533" t="s">
        <v>510</v>
      </c>
      <c r="C27" s="534" t="s">
        <v>66</v>
      </c>
      <c r="D27" s="534" t="s">
        <v>59</v>
      </c>
      <c r="E27" s="534" t="s">
        <v>645</v>
      </c>
      <c r="F27" s="534" t="s">
        <v>646</v>
      </c>
      <c r="G27" s="535">
        <v>0.01</v>
      </c>
      <c r="H27" s="535">
        <v>6.3160000000000004E-3</v>
      </c>
      <c r="I27" s="536">
        <v>0.4</v>
      </c>
      <c r="J27" s="593">
        <v>4</v>
      </c>
      <c r="K27" s="537">
        <v>1</v>
      </c>
      <c r="L27" s="272"/>
      <c r="M27" s="594" t="s">
        <v>652</v>
      </c>
      <c r="N27" s="595">
        <v>6</v>
      </c>
      <c r="P27" s="273"/>
      <c r="Q27" s="273"/>
      <c r="R27" s="273"/>
      <c r="S27" s="273"/>
      <c r="T27" s="575">
        <f ca="1"/>
        <v>0.06</v>
      </c>
      <c r="U27" s="572">
        <f ca="1"/>
        <v>19</v>
      </c>
      <c r="V27" s="484">
        <f ca="1">IF('CDO Bespoke'!O28&lt;&gt;"",'CDO Bespoke'!O28,"")</f>
        <v>9.7708544273725204E-2</v>
      </c>
      <c r="W27" s="640">
        <f t="shared" ca="1" si="1"/>
        <v>0</v>
      </c>
      <c r="X27" s="640">
        <f t="shared" ca="1" si="0"/>
        <v>9.7708544273725204E-2</v>
      </c>
      <c r="Y27" s="488">
        <f t="shared" ca="1" si="2"/>
        <v>0</v>
      </c>
      <c r="Z27" s="484">
        <f ca="1">IF('CDO Bespoke'!O28&lt;&gt;"",'CDO Bespoke'!O28,"")</f>
        <v>9.7708544273725204E-2</v>
      </c>
      <c r="AA27" s="640">
        <f ca="1">IF(Z27&lt;&gt;"",ABS(MIN(-0.6*'CDO Bespoke'!K28+'CDO Bespoke'!T28*'CDO Bespoke'!K28,0)),"")</f>
        <v>8.805716255254524E-2</v>
      </c>
      <c r="AB27" s="640">
        <f t="shared" ca="1" si="3"/>
        <v>9.6513817211799635E-3</v>
      </c>
      <c r="AC27" s="488">
        <f t="shared" ca="1" si="4"/>
        <v>0</v>
      </c>
      <c r="AD27" s="272"/>
      <c r="AE27" s="493" t="str">
        <f ca="1">IF('CDO Bespoke'!C52&lt;&gt;"",'CDO Bespoke'!C52,"")</f>
        <v>COMPAGNIE DE SAINT-GOBAIN</v>
      </c>
      <c r="AF27" s="495">
        <f ca="1"/>
        <v>-5.6634706002700597E-3</v>
      </c>
      <c r="AG27" s="583">
        <f ca="1"/>
        <v>-2.3878521470122038E-2</v>
      </c>
      <c r="AH27" s="583">
        <f ca="1"/>
        <v>-9.6450366670053356E-2</v>
      </c>
      <c r="AI27" s="583">
        <f ca="1"/>
        <v>0.99924367175985296</v>
      </c>
      <c r="AJ27" s="496">
        <f ca="1"/>
        <v>0</v>
      </c>
      <c r="AK27" s="618">
        <f ca="1"/>
        <v>0</v>
      </c>
      <c r="AL27" s="495">
        <f ca="1"/>
        <v>-2.4215933679821999E-3</v>
      </c>
      <c r="AM27" s="583">
        <f ca="1"/>
        <v>-1.1401919696001073E-2</v>
      </c>
      <c r="AN27" s="583">
        <f ca="1"/>
        <v>-5.1410538702972852E-2</v>
      </c>
      <c r="AO27" s="583">
        <f ca="1"/>
        <v>0.70807563752602742</v>
      </c>
      <c r="AP27" s="496">
        <f ca="1"/>
        <v>0</v>
      </c>
      <c r="AQ27" s="618">
        <f ca="1"/>
        <v>0</v>
      </c>
      <c r="AR27" s="495">
        <f ca="1"/>
        <v>1.2437532018699404E-2</v>
      </c>
      <c r="AS27" s="496">
        <f ca="1"/>
        <v>2.7335214695776155E-3</v>
      </c>
      <c r="AT27" s="618">
        <f ca="1"/>
        <v>0</v>
      </c>
      <c r="AU27" s="495">
        <f ca="1"/>
        <v>-8.2975868461193869E-2</v>
      </c>
      <c r="AV27" s="496">
        <f ca="1"/>
        <v>0.11584197960207468</v>
      </c>
      <c r="AW27" s="618">
        <f ca="1"/>
        <v>0</v>
      </c>
    </row>
    <row r="28" spans="2:64">
      <c r="B28" s="538" t="s">
        <v>511</v>
      </c>
      <c r="C28" s="539" t="s">
        <v>66</v>
      </c>
      <c r="D28" s="539" t="s">
        <v>55</v>
      </c>
      <c r="E28" s="539" t="s">
        <v>645</v>
      </c>
      <c r="F28" s="539" t="s">
        <v>646</v>
      </c>
      <c r="G28" s="540">
        <v>0.01</v>
      </c>
      <c r="H28" s="540">
        <v>2.9420000000000002E-3</v>
      </c>
      <c r="I28" s="541">
        <v>0.4</v>
      </c>
      <c r="J28" s="600">
        <v>4</v>
      </c>
      <c r="K28" s="542">
        <v>2</v>
      </c>
      <c r="L28" s="272"/>
      <c r="M28" s="596" t="s">
        <v>672</v>
      </c>
      <c r="N28" s="597">
        <v>6</v>
      </c>
      <c r="P28" s="273"/>
      <c r="Q28" s="273"/>
      <c r="R28" s="273"/>
      <c r="S28" s="273"/>
      <c r="T28" s="575">
        <f ca="1"/>
        <v>5.0000000000000001E-3</v>
      </c>
      <c r="U28" s="572">
        <f ca="1"/>
        <v>20</v>
      </c>
      <c r="V28" s="484">
        <f ca="1">IF('CDO Bespoke'!O29&lt;&gt;"",'CDO Bespoke'!O29,"")</f>
        <v>9.6120689647122198E-2</v>
      </c>
      <c r="W28" s="640">
        <f t="shared" ca="1" si="1"/>
        <v>0</v>
      </c>
      <c r="X28" s="640">
        <f t="shared" ca="1" si="0"/>
        <v>9.6120689647122198E-2</v>
      </c>
      <c r="Y28" s="488">
        <f t="shared" ca="1" si="2"/>
        <v>0</v>
      </c>
      <c r="Z28" s="484">
        <f ca="1">IF('CDO Bespoke'!O29&lt;&gt;"",'CDO Bespoke'!O29,"")</f>
        <v>9.6120689647122198E-2</v>
      </c>
      <c r="AA28" s="640">
        <f ca="1">IF(Z28&lt;&gt;"",ABS(MIN(-0.6*'CDO Bespoke'!K29+'CDO Bespoke'!T29*'CDO Bespoke'!K29,0)),"")</f>
        <v>9.6304755248042467E-2</v>
      </c>
      <c r="AB28" s="640">
        <f t="shared" ca="1" si="3"/>
        <v>0</v>
      </c>
      <c r="AC28" s="488">
        <f t="shared" ca="1" si="4"/>
        <v>0</v>
      </c>
      <c r="AD28" s="272"/>
      <c r="AE28" s="493" t="str">
        <f ca="1">IF('CDO Bespoke'!C53&lt;&gt;"",'CDO Bespoke'!C53,"")</f>
        <v>Continental Aktiengesellschaft</v>
      </c>
      <c r="AF28" s="495">
        <f ca="1"/>
        <v>-1.6071587599642001E-3</v>
      </c>
      <c r="AG28" s="583">
        <f ca="1"/>
        <v>-4.8590206502829858E-3</v>
      </c>
      <c r="AH28" s="583">
        <f ca="1"/>
        <v>-1.5080644780174346E-2</v>
      </c>
      <c r="AI28" s="583">
        <f ca="1"/>
        <v>0.94759325306004172</v>
      </c>
      <c r="AJ28" s="496">
        <f ca="1"/>
        <v>0</v>
      </c>
      <c r="AK28" s="618">
        <f ca="1"/>
        <v>0</v>
      </c>
      <c r="AL28" s="495">
        <f ca="1"/>
        <v>3.1393415399812857E-5</v>
      </c>
      <c r="AM28" s="583">
        <f ca="1"/>
        <v>2.1615378599997926E-4</v>
      </c>
      <c r="AN28" s="583">
        <f ca="1"/>
        <v>2.8790654071003197E-4</v>
      </c>
      <c r="AO28" s="583">
        <f ca="1"/>
        <v>0.84353352197819986</v>
      </c>
      <c r="AP28" s="496">
        <f ca="1"/>
        <v>0</v>
      </c>
      <c r="AQ28" s="618">
        <f ca="1"/>
        <v>0</v>
      </c>
      <c r="AR28" s="495">
        <f ca="1"/>
        <v>-5.8451759918598523E-4</v>
      </c>
      <c r="AS28" s="496">
        <f ca="1"/>
        <v>-3.9827519266000977E-2</v>
      </c>
      <c r="AT28" s="618">
        <f ca="1"/>
        <v>0</v>
      </c>
      <c r="AU28" s="495">
        <f ca="1"/>
        <v>-0.10367522856946609</v>
      </c>
      <c r="AV28" s="496">
        <f ca="1"/>
        <v>2.2904064279144012E-2</v>
      </c>
      <c r="AW28" s="618">
        <f ca="1"/>
        <v>0</v>
      </c>
      <c r="BC28" s="577"/>
    </row>
    <row r="29" spans="2:64">
      <c r="B29" s="516" t="s">
        <v>511</v>
      </c>
      <c r="C29" s="517" t="s">
        <v>66</v>
      </c>
      <c r="D29" s="517" t="s">
        <v>57</v>
      </c>
      <c r="E29" s="517" t="s">
        <v>645</v>
      </c>
      <c r="F29" s="517" t="s">
        <v>646</v>
      </c>
      <c r="G29" s="524">
        <v>0.01</v>
      </c>
      <c r="H29" s="524">
        <v>4.9529999999999999E-3</v>
      </c>
      <c r="I29" s="526">
        <v>0.4</v>
      </c>
      <c r="J29" s="592">
        <v>4</v>
      </c>
      <c r="K29" s="518">
        <v>2</v>
      </c>
      <c r="L29" s="272"/>
      <c r="M29" s="594" t="s">
        <v>669</v>
      </c>
      <c r="N29" s="595">
        <v>7</v>
      </c>
      <c r="P29" s="273"/>
      <c r="Q29" s="273"/>
      <c r="R29" s="273"/>
      <c r="S29" s="273"/>
      <c r="T29" s="575">
        <f ca="1"/>
        <v>0.03</v>
      </c>
      <c r="U29" s="572">
        <f ca="1"/>
        <v>21</v>
      </c>
      <c r="V29" s="484">
        <f ca="1">IF('CDO Bespoke'!O30&lt;&gt;"",'CDO Bespoke'!O30,"")</f>
        <v>9.6148690913948204E-2</v>
      </c>
      <c r="W29" s="640">
        <f t="shared" ca="1" si="1"/>
        <v>0</v>
      </c>
      <c r="X29" s="640">
        <f t="shared" ca="1" si="0"/>
        <v>9.6148690913948204E-2</v>
      </c>
      <c r="Y29" s="488">
        <f t="shared" ca="1" si="2"/>
        <v>0</v>
      </c>
      <c r="Z29" s="484">
        <f ca="1">IF('CDO Bespoke'!O30&lt;&gt;"",'CDO Bespoke'!O30,"")</f>
        <v>9.6148690913948204E-2</v>
      </c>
      <c r="AA29" s="640">
        <f ca="1">IF(Z29&lt;&gt;"",ABS(MIN(-0.6*'CDO Bespoke'!K30+'CDO Bespoke'!T30*'CDO Bespoke'!K30,0)),"")</f>
        <v>9.6231382316633501E-2</v>
      </c>
      <c r="AB29" s="640">
        <f t="shared" ca="1" si="3"/>
        <v>0</v>
      </c>
      <c r="AC29" s="488">
        <f t="shared" ca="1" si="4"/>
        <v>0</v>
      </c>
      <c r="AD29" s="272"/>
      <c r="AE29" s="493" t="str">
        <f ca="1">IF('CDO Bespoke'!C54&lt;&gt;"",'CDO Bespoke'!C54,"")</f>
        <v>Glencore International AG</v>
      </c>
      <c r="AF29" s="495">
        <f ca="1"/>
        <v>-1.8038957699806346E-3</v>
      </c>
      <c r="AG29" s="583">
        <f ca="1"/>
        <v>-5.7237454598180193E-3</v>
      </c>
      <c r="AH29" s="583">
        <f ca="1"/>
        <v>-1.8759794550016196E-2</v>
      </c>
      <c r="AI29" s="583">
        <f ca="1"/>
        <v>0.98136361114997683</v>
      </c>
      <c r="AJ29" s="496">
        <f ca="1"/>
        <v>0</v>
      </c>
      <c r="AK29" s="618">
        <f ca="1"/>
        <v>0</v>
      </c>
      <c r="AL29" s="495">
        <f ca="1"/>
        <v>-4.9061195099998206E-5</v>
      </c>
      <c r="AM29" s="583">
        <f ca="1"/>
        <v>-1.6420835590152255E-4</v>
      </c>
      <c r="AN29" s="583">
        <f ca="1"/>
        <v>-1.5423849237020636E-3</v>
      </c>
      <c r="AO29" s="583">
        <f ca="1"/>
        <v>0.8642333315045988</v>
      </c>
      <c r="AP29" s="496">
        <f ca="1"/>
        <v>0</v>
      </c>
      <c r="AQ29" s="618">
        <f ca="1"/>
        <v>0</v>
      </c>
      <c r="AR29" s="495">
        <f ca="1"/>
        <v>9.5295692324409709E-4</v>
      </c>
      <c r="AS29" s="496">
        <f ca="1"/>
        <v>-4.021951287818909E-2</v>
      </c>
      <c r="AT29" s="618">
        <f ca="1"/>
        <v>0</v>
      </c>
      <c r="AU29" s="495">
        <f ca="1"/>
        <v>-0.10230132142767516</v>
      </c>
      <c r="AV29" s="496">
        <f ca="1"/>
        <v>2.7629018432864843E-2</v>
      </c>
      <c r="AW29" s="618">
        <f ca="1"/>
        <v>0</v>
      </c>
    </row>
    <row r="30" spans="2:64">
      <c r="B30" s="533" t="s">
        <v>511</v>
      </c>
      <c r="C30" s="534" t="s">
        <v>66</v>
      </c>
      <c r="D30" s="534" t="s">
        <v>59</v>
      </c>
      <c r="E30" s="534" t="s">
        <v>645</v>
      </c>
      <c r="F30" s="534" t="s">
        <v>646</v>
      </c>
      <c r="G30" s="535">
        <v>0.01</v>
      </c>
      <c r="H30" s="535">
        <v>7.0489999999999997E-3</v>
      </c>
      <c r="I30" s="536">
        <v>0.4</v>
      </c>
      <c r="J30" s="593">
        <v>4</v>
      </c>
      <c r="K30" s="537">
        <v>2</v>
      </c>
      <c r="L30" s="272"/>
      <c r="M30" s="585" t="s">
        <v>651</v>
      </c>
      <c r="N30" s="589">
        <v>7</v>
      </c>
      <c r="P30" s="273"/>
      <c r="Q30" s="273"/>
      <c r="R30" s="273"/>
      <c r="S30" s="273"/>
      <c r="T30" s="575">
        <f ca="1"/>
        <v>0.06</v>
      </c>
      <c r="U30" s="572">
        <f ca="1"/>
        <v>22</v>
      </c>
      <c r="V30" s="484">
        <f ca="1">IF('CDO Bespoke'!O31&lt;&gt;"",'CDO Bespoke'!O31,"")</f>
        <v>9.8557263932573205E-2</v>
      </c>
      <c r="W30" s="640">
        <f t="shared" ca="1" si="1"/>
        <v>0</v>
      </c>
      <c r="X30" s="640">
        <f t="shared" ca="1" si="0"/>
        <v>9.8557263932573205E-2</v>
      </c>
      <c r="Y30" s="488">
        <f t="shared" ca="1" si="2"/>
        <v>0</v>
      </c>
      <c r="Z30" s="484">
        <f ca="1">IF('CDO Bespoke'!O31&lt;&gt;"",'CDO Bespoke'!O31,"")</f>
        <v>9.8557263932573205E-2</v>
      </c>
      <c r="AA30" s="640">
        <f ca="1">IF(Z30&lt;&gt;"",ABS(MIN(-0.6*'CDO Bespoke'!K31+'CDO Bespoke'!T31*'CDO Bespoke'!K31,0)),"")</f>
        <v>7.4812520087066889E-2</v>
      </c>
      <c r="AB30" s="640">
        <f t="shared" ca="1" si="3"/>
        <v>2.3744743845506316E-2</v>
      </c>
      <c r="AC30" s="488">
        <f t="shared" ca="1" si="4"/>
        <v>0</v>
      </c>
      <c r="AD30" s="272"/>
      <c r="AE30" s="493" t="str">
        <f ca="1">IF('CDO Bespoke'!C55&lt;&gt;"",'CDO Bespoke'!C55,"")</f>
        <v>GSK PLC</v>
      </c>
      <c r="AF30" s="495">
        <f ca="1"/>
        <v>-1.8147845004534702E-4</v>
      </c>
      <c r="AG30" s="583">
        <f ca="1"/>
        <v>6.2241246989724885E-4</v>
      </c>
      <c r="AH30" s="583">
        <f ca="1"/>
        <v>5.1722438998424991E-3</v>
      </c>
      <c r="AI30" s="583">
        <f ca="1"/>
        <v>0.52693488737987071</v>
      </c>
      <c r="AJ30" s="496">
        <f ca="1"/>
        <v>0</v>
      </c>
      <c r="AK30" s="618">
        <f ca="1"/>
        <v>0</v>
      </c>
      <c r="AL30" s="495">
        <f ca="1"/>
        <v>3.4863217470045005E-4</v>
      </c>
      <c r="AM30" s="583">
        <f ca="1"/>
        <v>1.6863168086998087E-3</v>
      </c>
      <c r="AN30" s="583">
        <f ca="1"/>
        <v>7.5500503763986301E-3</v>
      </c>
      <c r="AO30" s="583">
        <f ca="1"/>
        <v>0.5230713123647972</v>
      </c>
      <c r="AP30" s="496">
        <f ca="1"/>
        <v>0</v>
      </c>
      <c r="AQ30" s="618">
        <f ca="1"/>
        <v>0</v>
      </c>
      <c r="AR30" s="495">
        <f ca="1"/>
        <v>-1.9668005682900724E-2</v>
      </c>
      <c r="AS30" s="496">
        <f ca="1"/>
        <v>-2.5797275414914222E-2</v>
      </c>
      <c r="AT30" s="618">
        <f ca="1"/>
        <v>0</v>
      </c>
      <c r="AU30" s="495">
        <f ca="1"/>
        <v>-6.4117675958613951E-2</v>
      </c>
      <c r="AV30" s="496">
        <f ca="1"/>
        <v>4.2403775956172604E-3</v>
      </c>
      <c r="AW30" s="618">
        <f ca="1"/>
        <v>0</v>
      </c>
    </row>
    <row r="31" spans="2:64">
      <c r="B31" s="538" t="s">
        <v>529</v>
      </c>
      <c r="C31" s="539" t="s">
        <v>66</v>
      </c>
      <c r="D31" s="539" t="s">
        <v>55</v>
      </c>
      <c r="E31" s="539" t="s">
        <v>647</v>
      </c>
      <c r="F31" s="539" t="s">
        <v>670</v>
      </c>
      <c r="G31" s="540">
        <v>0.01</v>
      </c>
      <c r="H31" s="540">
        <v>3.0409999999999999E-3</v>
      </c>
      <c r="I31" s="541">
        <v>0.4</v>
      </c>
      <c r="J31" s="600">
        <v>4</v>
      </c>
      <c r="K31" s="542">
        <v>3</v>
      </c>
      <c r="L31" s="272"/>
      <c r="M31" s="596" t="s">
        <v>685</v>
      </c>
      <c r="N31" s="597">
        <v>7</v>
      </c>
      <c r="P31" s="273"/>
      <c r="Q31" s="273"/>
      <c r="R31" s="273"/>
      <c r="S31" s="273"/>
      <c r="T31" s="575">
        <f ca="1"/>
        <v>0.06</v>
      </c>
      <c r="U31" s="572">
        <f ca="1"/>
        <v>23</v>
      </c>
      <c r="V31" s="484">
        <f ca="1">IF('CDO Bespoke'!O32&lt;&gt;"",'CDO Bespoke'!O32,"")</f>
        <v>9.6181075585619197E-2</v>
      </c>
      <c r="W31" s="640">
        <f t="shared" ca="1" si="1"/>
        <v>0</v>
      </c>
      <c r="X31" s="640">
        <f t="shared" ca="1" si="0"/>
        <v>9.6181075585619197E-2</v>
      </c>
      <c r="Y31" s="488">
        <f t="shared" ca="1" si="2"/>
        <v>0</v>
      </c>
      <c r="Z31" s="484">
        <f ca="1">IF('CDO Bespoke'!O32&lt;&gt;"",'CDO Bespoke'!O32,"")</f>
        <v>9.6181075585619197E-2</v>
      </c>
      <c r="AA31" s="640">
        <f ca="1">IF(Z31&lt;&gt;"",ABS(MIN(-0.6*'CDO Bespoke'!K32+'CDO Bespoke'!T32*'CDO Bespoke'!K32,0)),"")</f>
        <v>9.6144459158568465E-2</v>
      </c>
      <c r="AB31" s="640">
        <f t="shared" ca="1" si="3"/>
        <v>3.6616427050731315E-5</v>
      </c>
      <c r="AC31" s="488">
        <f t="shared" ca="1" si="4"/>
        <v>0</v>
      </c>
      <c r="AD31" s="272"/>
      <c r="AE31" s="493" t="str">
        <f ca="1">IF('CDO Bespoke'!C56&lt;&gt;"",'CDO Bespoke'!C56,"")</f>
        <v>Heidelberg Materials AG</v>
      </c>
      <c r="AF31" s="495">
        <f ca="1"/>
        <v>-1.4394244701732006E-3</v>
      </c>
      <c r="AG31" s="583">
        <f ca="1"/>
        <v>-4.1338955197867122E-3</v>
      </c>
      <c r="AH31" s="583">
        <f ca="1"/>
        <v>-1.240609213026822E-2</v>
      </c>
      <c r="AI31" s="583">
        <f ca="1"/>
        <v>0.91654142725994259</v>
      </c>
      <c r="AJ31" s="496">
        <f ca="1"/>
        <v>0</v>
      </c>
      <c r="AK31" s="618">
        <f ca="1"/>
        <v>0</v>
      </c>
      <c r="AL31" s="495">
        <f ca="1"/>
        <v>9.4902942200788751E-5</v>
      </c>
      <c r="AM31" s="583">
        <f ca="1"/>
        <v>5.1600102631043157E-4</v>
      </c>
      <c r="AN31" s="583">
        <f ca="1"/>
        <v>1.410814196810533E-3</v>
      </c>
      <c r="AO31" s="583">
        <f ca="1"/>
        <v>0.82297256146370013</v>
      </c>
      <c r="AP31" s="496">
        <f ca="1"/>
        <v>0</v>
      </c>
      <c r="AQ31" s="618">
        <f ca="1"/>
        <v>0</v>
      </c>
      <c r="AR31" s="495">
        <f ca="1"/>
        <v>-2.0027129030402713E-3</v>
      </c>
      <c r="AS31" s="496">
        <f ca="1"/>
        <v>-3.9304967542145741E-2</v>
      </c>
      <c r="AT31" s="618">
        <f ca="1"/>
        <v>0</v>
      </c>
      <c r="AU31" s="495">
        <f ca="1"/>
        <v>-0.10496445358435763</v>
      </c>
      <c r="AV31" s="496">
        <f ca="1"/>
        <v>1.9053900442141745E-2</v>
      </c>
      <c r="AW31" s="618">
        <f ca="1"/>
        <v>0</v>
      </c>
    </row>
    <row r="32" spans="2:64">
      <c r="B32" s="516" t="s">
        <v>529</v>
      </c>
      <c r="C32" s="517" t="s">
        <v>66</v>
      </c>
      <c r="D32" s="517" t="s">
        <v>57</v>
      </c>
      <c r="E32" s="517" t="s">
        <v>647</v>
      </c>
      <c r="F32" s="517" t="s">
        <v>670</v>
      </c>
      <c r="G32" s="524">
        <v>0.01</v>
      </c>
      <c r="H32" s="524">
        <v>5.1590000000000004E-3</v>
      </c>
      <c r="I32" s="526">
        <v>0.4</v>
      </c>
      <c r="J32" s="592">
        <v>4</v>
      </c>
      <c r="K32" s="518">
        <v>3</v>
      </c>
      <c r="L32" s="272"/>
      <c r="M32" s="598" t="s">
        <v>686</v>
      </c>
      <c r="N32" s="599">
        <v>8</v>
      </c>
      <c r="P32" s="273"/>
      <c r="Q32" s="273"/>
      <c r="R32" s="273"/>
      <c r="S32" s="273"/>
      <c r="T32" s="575">
        <f ca="1"/>
        <v>0.03</v>
      </c>
      <c r="U32" s="572">
        <f ca="1"/>
        <v>24</v>
      </c>
      <c r="V32" s="484">
        <f ca="1">IF('CDO Bespoke'!O33&lt;&gt;"",'CDO Bespoke'!O33,"")</f>
        <v>9.6917851098553207E-2</v>
      </c>
      <c r="W32" s="640">
        <f t="shared" ca="1" si="1"/>
        <v>0</v>
      </c>
      <c r="X32" s="640">
        <f t="shared" ca="1" si="0"/>
        <v>9.6917851098553207E-2</v>
      </c>
      <c r="Y32" s="488">
        <f t="shared" ca="1" si="2"/>
        <v>0</v>
      </c>
      <c r="Z32" s="484">
        <f ca="1">IF('CDO Bespoke'!O33&lt;&gt;"",'CDO Bespoke'!O33,"")</f>
        <v>9.6917851098553207E-2</v>
      </c>
      <c r="AA32" s="640">
        <f ca="1">IF(Z32&lt;&gt;"",ABS(MIN(-0.6*'CDO Bespoke'!K33+'CDO Bespoke'!T33*'CDO Bespoke'!K33,0)),"")</f>
        <v>9.3436778595996028E-2</v>
      </c>
      <c r="AB32" s="640">
        <f t="shared" ca="1" si="3"/>
        <v>3.4810725025571781E-3</v>
      </c>
      <c r="AC32" s="488">
        <f t="shared" ca="1" si="4"/>
        <v>0</v>
      </c>
      <c r="AD32" s="272"/>
      <c r="AE32" s="493" t="str">
        <f ca="1">IF('CDO Bespoke'!C57&lt;&gt;"",'CDO Bespoke'!C57,"")</f>
        <v>Holcim AG</v>
      </c>
      <c r="AF32" s="495">
        <f ca="1"/>
        <v>-1.1331559701677207E-3</v>
      </c>
      <c r="AG32" s="583">
        <f ca="1"/>
        <v>-2.892414189825665E-3</v>
      </c>
      <c r="AH32" s="583">
        <f ca="1"/>
        <v>-7.405118609971062E-3</v>
      </c>
      <c r="AI32" s="583">
        <f ca="1"/>
        <v>0.85077434415992137</v>
      </c>
      <c r="AJ32" s="496">
        <f ca="1"/>
        <v>0</v>
      </c>
      <c r="AK32" s="618">
        <f ca="1"/>
        <v>0</v>
      </c>
      <c r="AL32" s="495">
        <f ca="1"/>
        <v>2.0212344600117893E-4</v>
      </c>
      <c r="AM32" s="583">
        <f ca="1"/>
        <v>1.0195044308010555E-3</v>
      </c>
      <c r="AN32" s="583">
        <f ca="1"/>
        <v>3.9488969872996868E-3</v>
      </c>
      <c r="AO32" s="583">
        <f ca="1"/>
        <v>0.77849729368360032</v>
      </c>
      <c r="AP32" s="496">
        <f ca="1"/>
        <v>0</v>
      </c>
      <c r="AQ32" s="618">
        <f ca="1"/>
        <v>0</v>
      </c>
      <c r="AR32" s="495">
        <f ca="1"/>
        <v>-5.0623852655941604E-3</v>
      </c>
      <c r="AS32" s="496">
        <f ca="1"/>
        <v>-3.7812334627846833E-2</v>
      </c>
      <c r="AT32" s="618">
        <f ca="1"/>
        <v>0</v>
      </c>
      <c r="AU32" s="495">
        <f ca="1"/>
        <v>-0.10782725948377793</v>
      </c>
      <c r="AV32" s="496">
        <f ca="1"/>
        <v>1.2103809023835635E-2</v>
      </c>
      <c r="AW32" s="618">
        <f ca="1"/>
        <v>0</v>
      </c>
    </row>
    <row r="33" spans="2:49" ht="10.5" thickBot="1">
      <c r="B33" s="533" t="s">
        <v>529</v>
      </c>
      <c r="C33" s="534" t="s">
        <v>66</v>
      </c>
      <c r="D33" s="534" t="s">
        <v>59</v>
      </c>
      <c r="E33" s="534" t="s">
        <v>647</v>
      </c>
      <c r="F33" s="534" t="s">
        <v>670</v>
      </c>
      <c r="G33" s="535">
        <v>0.01</v>
      </c>
      <c r="H33" s="535">
        <v>6.8450000000000004E-3</v>
      </c>
      <c r="I33" s="536">
        <v>0.4</v>
      </c>
      <c r="J33" s="593">
        <v>4</v>
      </c>
      <c r="K33" s="537">
        <v>3</v>
      </c>
      <c r="L33" s="272"/>
      <c r="M33" s="587" t="s">
        <v>688</v>
      </c>
      <c r="N33" s="590">
        <v>16</v>
      </c>
      <c r="P33" s="273"/>
      <c r="Q33" s="273"/>
      <c r="R33" s="273"/>
      <c r="S33" s="273"/>
      <c r="T33" s="575">
        <f ca="1"/>
        <v>0.06</v>
      </c>
      <c r="U33" s="572">
        <f ca="1"/>
        <v>25</v>
      </c>
      <c r="V33" s="484">
        <f ca="1">IF('CDO Bespoke'!O34&lt;&gt;"",'CDO Bespoke'!O34,"")</f>
        <v>9.8738081168498207E-2</v>
      </c>
      <c r="W33" s="640">
        <f t="shared" ca="1" si="1"/>
        <v>0</v>
      </c>
      <c r="X33" s="640">
        <f t="shared" ca="1" si="0"/>
        <v>9.8738081168498207E-2</v>
      </c>
      <c r="Y33" s="488">
        <f t="shared" ca="1" si="2"/>
        <v>0</v>
      </c>
      <c r="Z33" s="484">
        <f ca="1">IF('CDO Bespoke'!O34&lt;&gt;"",'CDO Bespoke'!O34,"")</f>
        <v>9.8738081168498207E-2</v>
      </c>
      <c r="AA33" s="640">
        <f ca="1">IF(Z33&lt;&gt;"",ABS(MIN(-0.6*'CDO Bespoke'!K34+'CDO Bespoke'!T34*'CDO Bespoke'!K34,0)),"")</f>
        <v>6.9178741480196107E-2</v>
      </c>
      <c r="AB33" s="640">
        <f t="shared" ca="1" si="3"/>
        <v>2.95593396883021E-2</v>
      </c>
      <c r="AC33" s="488">
        <f t="shared" ca="1" si="4"/>
        <v>0</v>
      </c>
      <c r="AD33" s="272"/>
      <c r="AE33" s="493" t="str">
        <f ca="1">IF('CDO Bespoke'!C58&lt;&gt;"",'CDO Bespoke'!C58,"")</f>
        <v>DSM B.V</v>
      </c>
      <c r="AF33" s="495">
        <f ca="1"/>
        <v>-5.6633889800039583E-5</v>
      </c>
      <c r="AG33" s="583">
        <f ca="1"/>
        <v>1.0042323000947206E-3</v>
      </c>
      <c r="AH33" s="583">
        <f ca="1"/>
        <v>6.2063329397954448E-3</v>
      </c>
      <c r="AI33" s="583">
        <f ca="1"/>
        <v>0.45830749784980807</v>
      </c>
      <c r="AJ33" s="496">
        <f ca="1"/>
        <v>0</v>
      </c>
      <c r="AK33" s="618">
        <f ca="1"/>
        <v>0</v>
      </c>
      <c r="AL33" s="495">
        <f ca="1"/>
        <v>3.319642866020725E-4</v>
      </c>
      <c r="AM33" s="583">
        <f ca="1"/>
        <v>1.6019686356009283E-3</v>
      </c>
      <c r="AN33" s="583">
        <f ca="1"/>
        <v>7.2138927423000612E-3</v>
      </c>
      <c r="AO33" s="583">
        <f ca="1"/>
        <v>0.4626496773494021</v>
      </c>
      <c r="AP33" s="496">
        <f ca="1"/>
        <v>0</v>
      </c>
      <c r="AQ33" s="618">
        <f ca="1"/>
        <v>0</v>
      </c>
      <c r="AR33" s="495">
        <f ca="1"/>
        <v>-2.2791873387893069E-2</v>
      </c>
      <c r="AS33" s="496">
        <f ca="1"/>
        <v>-2.2729631465761901E-2</v>
      </c>
      <c r="AT33" s="618">
        <f ca="1"/>
        <v>0</v>
      </c>
      <c r="AU33" s="495">
        <f ca="1"/>
        <v>-0.12228910593859815</v>
      </c>
      <c r="AV33" s="496">
        <f ca="1"/>
        <v>-4.8831002180476542E-3</v>
      </c>
      <c r="AW33" s="618">
        <f ca="1"/>
        <v>0</v>
      </c>
    </row>
    <row r="34" spans="2:49">
      <c r="B34" s="538" t="s">
        <v>609</v>
      </c>
      <c r="C34" s="539" t="s">
        <v>66</v>
      </c>
      <c r="D34" s="539" t="s">
        <v>55</v>
      </c>
      <c r="E34" s="539" t="s">
        <v>647</v>
      </c>
      <c r="F34" s="539" t="s">
        <v>646</v>
      </c>
      <c r="G34" s="540">
        <v>0.01</v>
      </c>
      <c r="H34" s="540">
        <v>9.8239999999999994E-3</v>
      </c>
      <c r="I34" s="541">
        <v>0.4</v>
      </c>
      <c r="J34" s="600">
        <v>4</v>
      </c>
      <c r="K34" s="542">
        <v>4</v>
      </c>
      <c r="L34" s="272"/>
      <c r="M34" s="272" t="s">
        <v>75</v>
      </c>
      <c r="P34" s="273"/>
      <c r="Q34" s="273"/>
      <c r="R34" s="273"/>
      <c r="S34" s="273"/>
      <c r="T34" s="575">
        <f ca="1"/>
        <v>0.06</v>
      </c>
      <c r="U34" s="572">
        <f ca="1"/>
        <v>26</v>
      </c>
      <c r="V34" s="484">
        <f ca="1">IF('CDO Bespoke'!O35&lt;&gt;"",'CDO Bespoke'!O35,"")</f>
        <v>9.8730833053549197E-2</v>
      </c>
      <c r="W34" s="640">
        <f t="shared" ca="1" si="1"/>
        <v>0</v>
      </c>
      <c r="X34" s="640">
        <f t="shared" ca="1" si="0"/>
        <v>9.8730833053549197E-2</v>
      </c>
      <c r="Y34" s="488">
        <f t="shared" ca="1" si="2"/>
        <v>0</v>
      </c>
      <c r="Z34" s="484">
        <f ca="1">IF('CDO Bespoke'!O35&lt;&gt;"",'CDO Bespoke'!O35,"")</f>
        <v>9.8730833053549197E-2</v>
      </c>
      <c r="AA34" s="640">
        <f ca="1">IF(Z34&lt;&gt;"",ABS(MIN(-0.6*'CDO Bespoke'!K35+'CDO Bespoke'!T35*'CDO Bespoke'!K35,0)),"")</f>
        <v>6.944640307722387E-2</v>
      </c>
      <c r="AB34" s="640">
        <f t="shared" ca="1" si="3"/>
        <v>2.9284429976325327E-2</v>
      </c>
      <c r="AC34" s="488">
        <f t="shared" ca="1" si="4"/>
        <v>0</v>
      </c>
      <c r="AD34" s="272"/>
      <c r="AE34" s="493" t="str">
        <f ca="1">IF('CDO Bespoke'!C59&lt;&gt;"",'CDO Bespoke'!C59,"")</f>
        <v>L'AIR LIQUIDE SOCIETE ANONYME POUR L'ETUDE ET L'EXPLOITATION DES PROCEDES GEORGES CLAUDE</v>
      </c>
      <c r="AF34" s="495">
        <f ca="1"/>
        <v>-7.5093870011144759E-5</v>
      </c>
      <c r="AG34" s="583">
        <f ca="1"/>
        <v>9.3680962987008343E-4</v>
      </c>
      <c r="AH34" s="583">
        <f ca="1"/>
        <v>5.9930718698808505E-3</v>
      </c>
      <c r="AI34" s="583">
        <f ca="1"/>
        <v>0.46685555663006362</v>
      </c>
      <c r="AJ34" s="496">
        <f ca="1"/>
        <v>0</v>
      </c>
      <c r="AK34" s="618">
        <f ca="1"/>
        <v>0</v>
      </c>
      <c r="AL34" s="495">
        <f ca="1"/>
        <v>3.3469677609716114E-4</v>
      </c>
      <c r="AM34" s="583">
        <f ca="1"/>
        <v>1.6154992592970485E-3</v>
      </c>
      <c r="AN34" s="583">
        <f ca="1"/>
        <v>7.269598846998751E-3</v>
      </c>
      <c r="AO34" s="583">
        <f ca="1"/>
        <v>0.47019947367229942</v>
      </c>
      <c r="AP34" s="496">
        <f ca="1"/>
        <v>0</v>
      </c>
      <c r="AQ34" s="618">
        <f ca="1"/>
        <v>0</v>
      </c>
      <c r="AR34" s="495">
        <f ca="1"/>
        <v>-2.2411487028448807E-2</v>
      </c>
      <c r="AS34" s="496">
        <f ca="1"/>
        <v>-2.3111803508267192E-2</v>
      </c>
      <c r="AT34" s="618">
        <f ca="1"/>
        <v>0</v>
      </c>
      <c r="AU34" s="495">
        <f ca="1"/>
        <v>-0.12200301913838814</v>
      </c>
      <c r="AV34" s="496">
        <f ca="1"/>
        <v>-4.778177802944367E-3</v>
      </c>
      <c r="AW34" s="618">
        <f ca="1"/>
        <v>0</v>
      </c>
    </row>
    <row r="35" spans="2:49">
      <c r="B35" s="516" t="s">
        <v>609</v>
      </c>
      <c r="C35" s="517" t="s">
        <v>66</v>
      </c>
      <c r="D35" s="517" t="s">
        <v>57</v>
      </c>
      <c r="E35" s="517" t="s">
        <v>647</v>
      </c>
      <c r="F35" s="517" t="s">
        <v>646</v>
      </c>
      <c r="G35" s="524">
        <v>0.01</v>
      </c>
      <c r="H35" s="524">
        <v>1.4659E-2</v>
      </c>
      <c r="I35" s="526">
        <v>0.4</v>
      </c>
      <c r="J35" s="592">
        <v>4</v>
      </c>
      <c r="K35" s="518">
        <v>4</v>
      </c>
      <c r="L35" s="272"/>
      <c r="M35" s="272"/>
      <c r="P35" s="273"/>
      <c r="Q35" s="273"/>
      <c r="R35" s="273"/>
      <c r="S35" s="273"/>
      <c r="T35" s="575">
        <f ca="1"/>
        <v>0.02</v>
      </c>
      <c r="U35" s="572">
        <f ca="1"/>
        <v>27</v>
      </c>
      <c r="V35" s="484">
        <f ca="1">IF('CDO Bespoke'!O36&lt;&gt;"",'CDO Bespoke'!O36,"")</f>
        <v>9.1215160684035193E-2</v>
      </c>
      <c r="W35" s="640">
        <f t="shared" ca="1" si="1"/>
        <v>0</v>
      </c>
      <c r="X35" s="640">
        <f t="shared" ca="1" si="0"/>
        <v>9.1215160684035193E-2</v>
      </c>
      <c r="Y35" s="488">
        <f t="shared" ca="1" si="2"/>
        <v>0</v>
      </c>
      <c r="Z35" s="484">
        <f ca="1">IF('CDO Bespoke'!O36&lt;&gt;"",'CDO Bespoke'!O36,"")</f>
        <v>9.1215160684035193E-2</v>
      </c>
      <c r="AA35" s="640">
        <f ca="1">IF(Z35&lt;&gt;"",ABS(MIN(-0.6*'CDO Bespoke'!K36+'CDO Bespoke'!T36*'CDO Bespoke'!K36,0)),"")</f>
        <v>9.68548029277643E-2</v>
      </c>
      <c r="AB35" s="640">
        <f t="shared" ca="1" si="3"/>
        <v>0</v>
      </c>
      <c r="AC35" s="488">
        <f t="shared" ca="1" si="4"/>
        <v>0</v>
      </c>
      <c r="AD35" s="272"/>
      <c r="AE35" s="493" t="str">
        <f ca="1">IF('CDO Bespoke'!C60&lt;&gt;"",'CDO Bespoke'!C60,"")</f>
        <v>LANXESS Aktiengesellschaft</v>
      </c>
      <c r="AF35" s="495">
        <f ca="1"/>
        <v>-2.7692935800072149E-3</v>
      </c>
      <c r="AG35" s="583">
        <f ca="1"/>
        <v>-9.97049032003261E-3</v>
      </c>
      <c r="AH35" s="583">
        <f ca="1"/>
        <v>-3.6884155870109403E-2</v>
      </c>
      <c r="AI35" s="583">
        <f ca="1"/>
        <v>1.0769021938800138</v>
      </c>
      <c r="AJ35" s="496">
        <f ca="1"/>
        <v>0</v>
      </c>
      <c r="AK35" s="618">
        <f ca="1"/>
        <v>0</v>
      </c>
      <c r="AL35" s="495">
        <f ca="1"/>
        <v>-5.4232018719541086E-4</v>
      </c>
      <c r="AM35" s="583">
        <f ca="1"/>
        <v>-2.5281650303972392E-3</v>
      </c>
      <c r="AN35" s="583">
        <f ca="1"/>
        <v>-1.2966467499092929E-2</v>
      </c>
      <c r="AO35" s="583">
        <f ca="1"/>
        <v>0.90223537844160218</v>
      </c>
      <c r="AP35" s="496">
        <f ca="1"/>
        <v>0</v>
      </c>
      <c r="AQ35" s="618">
        <f ca="1"/>
        <v>0</v>
      </c>
      <c r="AR35" s="495">
        <f ca="1"/>
        <v>6.6442470845612389E-3</v>
      </c>
      <c r="AS35" s="496">
        <f ca="1"/>
        <v>-3.7360224482103244E-2</v>
      </c>
      <c r="AT35" s="618">
        <f ca="1"/>
        <v>0</v>
      </c>
      <c r="AU35" s="495">
        <f ca="1"/>
        <v>-9.4818515167838013E-2</v>
      </c>
      <c r="AV35" s="496">
        <f ca="1"/>
        <v>5.7246536173367696E-2</v>
      </c>
      <c r="AW35" s="618">
        <f ca="1"/>
        <v>0</v>
      </c>
    </row>
    <row r="36" spans="2:49">
      <c r="B36" s="533" t="s">
        <v>609</v>
      </c>
      <c r="C36" s="534" t="s">
        <v>66</v>
      </c>
      <c r="D36" s="534" t="s">
        <v>59</v>
      </c>
      <c r="E36" s="534" t="s">
        <v>647</v>
      </c>
      <c r="F36" s="534" t="s">
        <v>646</v>
      </c>
      <c r="G36" s="535">
        <v>0.01</v>
      </c>
      <c r="H36" s="535">
        <v>1.8731999999999999E-2</v>
      </c>
      <c r="I36" s="536">
        <v>0.4</v>
      </c>
      <c r="J36" s="593">
        <v>4</v>
      </c>
      <c r="K36" s="537">
        <v>4</v>
      </c>
      <c r="L36" s="272"/>
      <c r="M36" s="272"/>
      <c r="P36" s="273"/>
      <c r="Q36" s="273"/>
      <c r="R36" s="273"/>
      <c r="S36" s="273"/>
      <c r="T36" s="575">
        <f ca="1"/>
        <v>0.02</v>
      </c>
      <c r="U36" s="572">
        <f ca="1"/>
        <v>28</v>
      </c>
      <c r="V36" s="484">
        <f ca="1">IF('CDO Bespoke'!O37&lt;&gt;"",'CDO Bespoke'!O37,"")</f>
        <v>9.7308607932091201E-2</v>
      </c>
      <c r="W36" s="640">
        <f t="shared" ca="1" si="1"/>
        <v>0</v>
      </c>
      <c r="X36" s="640">
        <f t="shared" ca="1" si="0"/>
        <v>9.7308607932091201E-2</v>
      </c>
      <c r="Y36" s="488">
        <f t="shared" ca="1" si="2"/>
        <v>0</v>
      </c>
      <c r="Z36" s="484">
        <f ca="1">IF('CDO Bespoke'!O37&lt;&gt;"",'CDO Bespoke'!O37,"")</f>
        <v>9.7308607932091201E-2</v>
      </c>
      <c r="AA36" s="640">
        <f ca="1">IF(Z36&lt;&gt;"",ABS(MIN(-0.6*'CDO Bespoke'!K37+'CDO Bespoke'!T37*'CDO Bespoke'!K37,0)),"")</f>
        <v>9.1220959329415402E-2</v>
      </c>
      <c r="AB36" s="640">
        <f t="shared" ca="1" si="3"/>
        <v>6.0876486026757992E-3</v>
      </c>
      <c r="AC36" s="488">
        <f t="shared" ca="1" si="4"/>
        <v>0</v>
      </c>
      <c r="AD36" s="272"/>
      <c r="AE36" s="493" t="str">
        <f ca="1">IF('CDO Bespoke'!C61&lt;&gt;"",'CDO Bespoke'!C61,"")</f>
        <v>LEONARDO SOCIETA' PER AZIONI</v>
      </c>
      <c r="AF36" s="495">
        <f ca="1"/>
        <v>-1.053754170032839E-3</v>
      </c>
      <c r="AG36" s="583">
        <f ca="1"/>
        <v>-2.6108251599543664E-3</v>
      </c>
      <c r="AH36" s="583">
        <f ca="1"/>
        <v>-6.4010067801767434E-3</v>
      </c>
      <c r="AI36" s="583">
        <f ca="1"/>
        <v>0.83067392021018982</v>
      </c>
      <c r="AJ36" s="496">
        <f ca="1"/>
        <v>0</v>
      </c>
      <c r="AK36" s="618">
        <f ca="1"/>
        <v>0</v>
      </c>
      <c r="AL36" s="495">
        <f ca="1"/>
        <v>2.2955912600073486E-4</v>
      </c>
      <c r="AM36" s="583">
        <f ca="1"/>
        <v>1.1473175168990116E-3</v>
      </c>
      <c r="AN36" s="583">
        <f ca="1"/>
        <v>4.5831664981016082E-3</v>
      </c>
      <c r="AO36" s="583">
        <f ca="1"/>
        <v>0.76419525724370163</v>
      </c>
      <c r="AP36" s="496">
        <f ca="1"/>
        <v>0</v>
      </c>
      <c r="AQ36" s="618">
        <f ca="1"/>
        <v>0</v>
      </c>
      <c r="AR36" s="495">
        <f ca="1"/>
        <v>-6.0396385082266968E-3</v>
      </c>
      <c r="AS36" s="496">
        <f ca="1"/>
        <v>-3.7261954217969295E-2</v>
      </c>
      <c r="AT36" s="618">
        <f ca="1"/>
        <v>0</v>
      </c>
      <c r="AU36" s="495">
        <f ca="1"/>
        <v>-0.10877894055665151</v>
      </c>
      <c r="AV36" s="496">
        <f ca="1"/>
        <v>1.019644834674201E-2</v>
      </c>
      <c r="AW36" s="618">
        <f ca="1"/>
        <v>0</v>
      </c>
    </row>
    <row r="37" spans="2:49">
      <c r="B37" s="538" t="s">
        <v>512</v>
      </c>
      <c r="C37" s="539" t="s">
        <v>66</v>
      </c>
      <c r="D37" s="539" t="s">
        <v>55</v>
      </c>
      <c r="E37" s="539" t="s">
        <v>647</v>
      </c>
      <c r="F37" s="539" t="s">
        <v>670</v>
      </c>
      <c r="G37" s="540">
        <v>0.01</v>
      </c>
      <c r="H37" s="540">
        <v>4.7670000000000004E-3</v>
      </c>
      <c r="I37" s="541">
        <v>0.4</v>
      </c>
      <c r="J37" s="600">
        <v>4</v>
      </c>
      <c r="K37" s="542">
        <v>5</v>
      </c>
      <c r="L37" s="272"/>
      <c r="M37" s="272"/>
      <c r="P37" s="273"/>
      <c r="Q37" s="273"/>
      <c r="R37" s="273"/>
      <c r="S37" s="273"/>
      <c r="T37" s="575">
        <f ca="1"/>
        <v>0.06</v>
      </c>
      <c r="U37" s="572">
        <f ca="1"/>
        <v>29</v>
      </c>
      <c r="V37" s="484">
        <f ca="1">IF('CDO Bespoke'!O38&lt;&gt;"",'CDO Bespoke'!O38,"")</f>
        <v>9.7803886877492197E-2</v>
      </c>
      <c r="W37" s="640">
        <f t="shared" ca="1" si="1"/>
        <v>0</v>
      </c>
      <c r="X37" s="640">
        <f t="shared" ca="1" si="0"/>
        <v>9.7803886877492197E-2</v>
      </c>
      <c r="Y37" s="488">
        <f t="shared" ca="1" si="2"/>
        <v>0</v>
      </c>
      <c r="Z37" s="484">
        <f ca="1">IF('CDO Bespoke'!O38&lt;&gt;"",'CDO Bespoke'!O38,"")</f>
        <v>9.7803886877492197E-2</v>
      </c>
      <c r="AA37" s="640">
        <f ca="1">IF(Z37&lt;&gt;"",ABS(MIN(-0.6*'CDO Bespoke'!K38+'CDO Bespoke'!T38*'CDO Bespoke'!K38,0)),"")</f>
        <v>8.7117523896213328E-2</v>
      </c>
      <c r="AB37" s="640">
        <f t="shared" ca="1" si="3"/>
        <v>1.0686362981278869E-2</v>
      </c>
      <c r="AC37" s="488">
        <f t="shared" ca="1" si="4"/>
        <v>0</v>
      </c>
      <c r="AD37" s="272"/>
      <c r="AE37" s="493" t="str">
        <f ca="1">IF('CDO Bespoke'!C62&lt;&gt;"",'CDO Bespoke'!C62,"")</f>
        <v>Mercedes-Benz Group AG</v>
      </c>
      <c r="AF37" s="495">
        <f ca="1"/>
        <v>-6.7159623029500182E-4</v>
      </c>
      <c r="AG37" s="583">
        <f ca="1"/>
        <v>-1.1050808002011081E-3</v>
      </c>
      <c r="AH37" s="583">
        <f ca="1"/>
        <v>-6.0559979031538091E-4</v>
      </c>
      <c r="AI37" s="583">
        <f ca="1"/>
        <v>0.72225925514979306</v>
      </c>
      <c r="AJ37" s="496">
        <f ca="1"/>
        <v>0</v>
      </c>
      <c r="AK37" s="618">
        <f ca="1"/>
        <v>0</v>
      </c>
      <c r="AL37" s="495">
        <f ca="1"/>
        <v>3.1748618959954317E-4</v>
      </c>
      <c r="AM37" s="583">
        <f ca="1"/>
        <v>1.5552537957963172E-3</v>
      </c>
      <c r="AN37" s="583">
        <f ca="1"/>
        <v>6.7034103254978022E-3</v>
      </c>
      <c r="AO37" s="583">
        <f ca="1"/>
        <v>0.68358117858189915</v>
      </c>
      <c r="AP37" s="496">
        <f ca="1"/>
        <v>0</v>
      </c>
      <c r="AQ37" s="618">
        <f ca="1"/>
        <v>0</v>
      </c>
      <c r="AR37" s="495">
        <f ca="1"/>
        <v>-1.0881104083945936E-2</v>
      </c>
      <c r="AS37" s="496">
        <f ca="1"/>
        <v>-3.369974662892905E-2</v>
      </c>
      <c r="AT37" s="618">
        <f ca="1"/>
        <v>0</v>
      </c>
      <c r="AU37" s="495">
        <f ca="1"/>
        <v>-0.1128473051450634</v>
      </c>
      <c r="AV37" s="496">
        <f ca="1"/>
        <v>3.1323784915127141E-3</v>
      </c>
      <c r="AW37" s="618">
        <f ca="1"/>
        <v>0</v>
      </c>
    </row>
    <row r="38" spans="2:49">
      <c r="B38" s="516" t="s">
        <v>512</v>
      </c>
      <c r="C38" s="517" t="s">
        <v>66</v>
      </c>
      <c r="D38" s="517" t="s">
        <v>57</v>
      </c>
      <c r="E38" s="517" t="s">
        <v>647</v>
      </c>
      <c r="F38" s="517" t="s">
        <v>670</v>
      </c>
      <c r="G38" s="524">
        <v>0.01</v>
      </c>
      <c r="H38" s="524">
        <v>1.0057999999999999E-2</v>
      </c>
      <c r="I38" s="526">
        <v>0.4</v>
      </c>
      <c r="J38" s="592">
        <v>4</v>
      </c>
      <c r="K38" s="518">
        <v>5</v>
      </c>
      <c r="L38" s="272"/>
      <c r="M38" s="272"/>
      <c r="P38" s="273"/>
      <c r="Q38" s="273"/>
      <c r="R38" s="273"/>
      <c r="S38" s="273"/>
      <c r="T38" s="575">
        <f ca="1"/>
        <v>0.06</v>
      </c>
      <c r="U38" s="572">
        <f ca="1"/>
        <v>30</v>
      </c>
      <c r="V38" s="484">
        <f ca="1">IF('CDO Bespoke'!O39&lt;&gt;"",'CDO Bespoke'!O39,"")</f>
        <v>9.3924355681813204E-2</v>
      </c>
      <c r="W38" s="640">
        <f t="shared" ca="1" si="1"/>
        <v>0</v>
      </c>
      <c r="X38" s="640">
        <f t="shared" ca="1" si="0"/>
        <v>9.3924355681813204E-2</v>
      </c>
      <c r="Y38" s="488">
        <f t="shared" ca="1" si="2"/>
        <v>0</v>
      </c>
      <c r="Z38" s="484">
        <f ca="1">IF('CDO Bespoke'!O39&lt;&gt;"",'CDO Bespoke'!O39,"")</f>
        <v>9.3924355681813204E-2</v>
      </c>
      <c r="AA38" s="640">
        <f ca="1">IF(Z38&lt;&gt;"",ABS(MIN(-0.6*'CDO Bespoke'!K39+'CDO Bespoke'!T39*'CDO Bespoke'!K39,0)),"")</f>
        <v>9.8636909200211467E-2</v>
      </c>
      <c r="AB38" s="640">
        <f t="shared" ca="1" si="3"/>
        <v>0</v>
      </c>
      <c r="AC38" s="488">
        <f t="shared" ca="1" si="4"/>
        <v>0</v>
      </c>
      <c r="AD38" s="272"/>
      <c r="AE38" s="493" t="str">
        <f ca="1">IF('CDO Bespoke'!C63&lt;&gt;"",'CDO Bespoke'!C63,"")</f>
        <v>PostNL N.V.</v>
      </c>
      <c r="AF38" s="495">
        <f ca="1"/>
        <v>-2.0577196202520298E-3</v>
      </c>
      <c r="AG38" s="583">
        <f ca="1"/>
        <v>-6.7520527202713509E-3</v>
      </c>
      <c r="AH38" s="583">
        <f ca="1"/>
        <v>-2.2787481189778802E-2</v>
      </c>
      <c r="AI38" s="583">
        <f ca="1"/>
        <v>1.0108941947301053</v>
      </c>
      <c r="AJ38" s="496">
        <f ca="1"/>
        <v>0</v>
      </c>
      <c r="AK38" s="618">
        <f ca="1"/>
        <v>0</v>
      </c>
      <c r="AL38" s="495">
        <f ca="1"/>
        <v>-1.7421369109902468E-4</v>
      </c>
      <c r="AM38" s="583">
        <f ca="1"/>
        <v>-7.6033540099846447E-4</v>
      </c>
      <c r="AN38" s="583">
        <f ca="1"/>
        <v>-4.4250043268988237E-3</v>
      </c>
      <c r="AO38" s="583">
        <f ca="1"/>
        <v>0.87824978420200128</v>
      </c>
      <c r="AP38" s="496">
        <f ca="1"/>
        <v>0</v>
      </c>
      <c r="AQ38" s="618">
        <f ca="1"/>
        <v>0</v>
      </c>
      <c r="AR38" s="495">
        <f ca="1"/>
        <v>2.7569316757021789E-3</v>
      </c>
      <c r="AS38" s="496">
        <f ca="1"/>
        <v>-3.9852044474555148E-2</v>
      </c>
      <c r="AT38" s="618">
        <f ca="1"/>
        <v>0</v>
      </c>
      <c r="AU38" s="495">
        <f ca="1"/>
        <v>-9.9811385532340147E-2</v>
      </c>
      <c r="AV38" s="496">
        <f ca="1"/>
        <v>3.5272698732633251E-2</v>
      </c>
      <c r="AW38" s="618">
        <f ca="1"/>
        <v>0</v>
      </c>
    </row>
    <row r="39" spans="2:49">
      <c r="B39" s="533" t="s">
        <v>512</v>
      </c>
      <c r="C39" s="534" t="s">
        <v>66</v>
      </c>
      <c r="D39" s="534" t="s">
        <v>59</v>
      </c>
      <c r="E39" s="534" t="s">
        <v>647</v>
      </c>
      <c r="F39" s="534" t="s">
        <v>670</v>
      </c>
      <c r="G39" s="535">
        <v>0.01</v>
      </c>
      <c r="H39" s="535">
        <v>1.5502E-2</v>
      </c>
      <c r="I39" s="536">
        <v>0.4</v>
      </c>
      <c r="J39" s="593">
        <v>4</v>
      </c>
      <c r="K39" s="537">
        <v>5</v>
      </c>
      <c r="L39" s="272"/>
      <c r="M39" s="272"/>
      <c r="P39" s="273"/>
      <c r="Q39" s="273"/>
      <c r="R39" s="273"/>
      <c r="S39" s="273"/>
      <c r="T39" s="575">
        <f ca="1"/>
        <v>0.06</v>
      </c>
      <c r="U39" s="572">
        <f ca="1"/>
        <v>31</v>
      </c>
      <c r="V39" s="484">
        <f ca="1">IF('CDO Bespoke'!O40&lt;&gt;"",'CDO Bespoke'!O40,"")</f>
        <v>9.7353279433291195E-2</v>
      </c>
      <c r="W39" s="640">
        <f t="shared" ca="1" si="1"/>
        <v>0</v>
      </c>
      <c r="X39" s="640">
        <f t="shared" ca="1" si="0"/>
        <v>9.7353279433291195E-2</v>
      </c>
      <c r="Y39" s="488">
        <f t="shared" ca="1" si="2"/>
        <v>0</v>
      </c>
      <c r="Z39" s="484">
        <f ca="1">IF('CDO Bespoke'!O40&lt;&gt;"",'CDO Bespoke'!O40,"")</f>
        <v>9.7353279433291195E-2</v>
      </c>
      <c r="AA39" s="640">
        <f ca="1">IF(Z39&lt;&gt;"",ABS(MIN(-0.6*'CDO Bespoke'!K40+'CDO Bespoke'!T40*'CDO Bespoke'!K40,0)),"")</f>
        <v>9.0919524121579623E-2</v>
      </c>
      <c r="AB39" s="640">
        <f t="shared" ca="1" si="3"/>
        <v>6.4337553117115726E-3</v>
      </c>
      <c r="AC39" s="488">
        <f t="shared" ca="1" si="4"/>
        <v>0</v>
      </c>
      <c r="AD39" s="272"/>
      <c r="AE39" s="493" t="str">
        <f ca="1">IF('CDO Bespoke'!C64&lt;&gt;"",'CDO Bespoke'!C64,"")</f>
        <v>RENTOKIL INITIAL PLC</v>
      </c>
      <c r="AF39" s="495">
        <f ca="1"/>
        <v>-8.33167579927796E-4</v>
      </c>
      <c r="AG39" s="583">
        <f ca="1"/>
        <v>-1.6877344699572916E-3</v>
      </c>
      <c r="AH39" s="583">
        <f ca="1"/>
        <v>-2.6628230098690864E-3</v>
      </c>
      <c r="AI39" s="583">
        <f ca="1"/>
        <v>0.77302546754975943</v>
      </c>
      <c r="AJ39" s="496">
        <f ca="1"/>
        <v>0</v>
      </c>
      <c r="AK39" s="618">
        <f ca="1"/>
        <v>0</v>
      </c>
      <c r="AL39" s="495">
        <f ca="1"/>
        <v>2.8203131600089415E-4</v>
      </c>
      <c r="AM39" s="583">
        <f ca="1"/>
        <v>1.3922488061035576E-3</v>
      </c>
      <c r="AN39" s="583">
        <f ca="1"/>
        <v>5.8639068753994772E-3</v>
      </c>
      <c r="AO39" s="583">
        <f ca="1"/>
        <v>0.72206092155390089</v>
      </c>
      <c r="AP39" s="496">
        <f ca="1"/>
        <v>0</v>
      </c>
      <c r="AQ39" s="618">
        <f ca="1"/>
        <v>0</v>
      </c>
      <c r="AR39" s="495">
        <f ca="1"/>
        <v>-8.5499203537847124E-3</v>
      </c>
      <c r="AS39" s="496">
        <f ca="1"/>
        <v>-3.5467890459922269E-2</v>
      </c>
      <c r="AT39" s="618">
        <f ca="1"/>
        <v>0</v>
      </c>
      <c r="AU39" s="495">
        <f ca="1"/>
        <v>-0.11083662118492746</v>
      </c>
      <c r="AV39" s="496">
        <f ca="1"/>
        <v>6.2356279732959548E-3</v>
      </c>
      <c r="AW39" s="618">
        <f ca="1"/>
        <v>0</v>
      </c>
    </row>
    <row r="40" spans="2:49">
      <c r="B40" s="538" t="s">
        <v>513</v>
      </c>
      <c r="C40" s="539" t="s">
        <v>66</v>
      </c>
      <c r="D40" s="539" t="s">
        <v>55</v>
      </c>
      <c r="E40" s="539" t="s">
        <v>647</v>
      </c>
      <c r="F40" s="539" t="s">
        <v>670</v>
      </c>
      <c r="G40" s="540">
        <v>0.01</v>
      </c>
      <c r="H40" s="540">
        <v>6.8230000000000001E-3</v>
      </c>
      <c r="I40" s="541">
        <v>0.4</v>
      </c>
      <c r="J40" s="600">
        <v>4</v>
      </c>
      <c r="K40" s="542">
        <v>6</v>
      </c>
      <c r="L40" s="272"/>
      <c r="M40" s="272"/>
      <c r="P40" s="273"/>
      <c r="Q40" s="273"/>
      <c r="R40" s="273"/>
      <c r="S40" s="273"/>
      <c r="T40" s="575">
        <f ca="1"/>
        <v>0.06</v>
      </c>
      <c r="U40" s="572">
        <f ca="1"/>
        <v>32</v>
      </c>
      <c r="V40" s="484">
        <f ca="1">IF('CDO Bespoke'!O41&lt;&gt;"",'CDO Bespoke'!O41,"")</f>
        <v>9.8240013087986203E-2</v>
      </c>
      <c r="W40" s="640">
        <f t="shared" ca="1" si="1"/>
        <v>0</v>
      </c>
      <c r="X40" s="640">
        <f t="shared" ca="1" si="0"/>
        <v>9.8240013087986203E-2</v>
      </c>
      <c r="Y40" s="488">
        <f t="shared" ca="1" si="2"/>
        <v>0</v>
      </c>
      <c r="Z40" s="484">
        <f ca="1">IF('CDO Bespoke'!O41&lt;&gt;"",'CDO Bespoke'!O41,"")</f>
        <v>9.8240013087986203E-2</v>
      </c>
      <c r="AA40" s="640">
        <f ca="1">IF(Z40&lt;&gt;"",ABS(MIN(-0.6*'CDO Bespoke'!K41+'CDO Bespoke'!T41*'CDO Bespoke'!K41,0)),"")</f>
        <v>8.1412924656276489E-2</v>
      </c>
      <c r="AB40" s="640">
        <f t="shared" ca="1" si="3"/>
        <v>1.6827088431709714E-2</v>
      </c>
      <c r="AC40" s="488">
        <f t="shared" ca="1" si="4"/>
        <v>0</v>
      </c>
      <c r="AD40" s="272"/>
      <c r="AE40" s="493" t="str">
        <f ca="1">IF('CDO Bespoke'!C65&lt;&gt;"",'CDO Bespoke'!C65,"")</f>
        <v>SANOFI</v>
      </c>
      <c r="AF40" s="495">
        <f ca="1"/>
        <v>-3.4695862016764778E-4</v>
      </c>
      <c r="AG40" s="583">
        <f ca="1"/>
        <v>9.6989810072223293E-5</v>
      </c>
      <c r="AH40" s="583">
        <f ca="1"/>
        <v>3.6318398899393145E-3</v>
      </c>
      <c r="AI40" s="583">
        <f ca="1"/>
        <v>0.60572000994019159</v>
      </c>
      <c r="AJ40" s="496">
        <f ca="1"/>
        <v>0</v>
      </c>
      <c r="AK40" s="618">
        <f ca="1"/>
        <v>0</v>
      </c>
      <c r="AL40" s="495">
        <f ca="1"/>
        <v>3.5147965189805813E-4</v>
      </c>
      <c r="AM40" s="583">
        <f ca="1"/>
        <v>1.7065927719996446E-3</v>
      </c>
      <c r="AN40" s="583">
        <f ca="1"/>
        <v>7.568846079300702E-3</v>
      </c>
      <c r="AO40" s="583">
        <f ca="1"/>
        <v>0.59003330395479814</v>
      </c>
      <c r="AP40" s="496">
        <f ca="1"/>
        <v>0</v>
      </c>
      <c r="AQ40" s="618">
        <f ca="1"/>
        <v>0</v>
      </c>
      <c r="AR40" s="495">
        <f ca="1"/>
        <v>-1.6083001121226237E-2</v>
      </c>
      <c r="AS40" s="496">
        <f ca="1"/>
        <v>-2.9166957361376755E-2</v>
      </c>
      <c r="AT40" s="618">
        <f ca="1"/>
        <v>0</v>
      </c>
      <c r="AU40" s="495">
        <f ca="1"/>
        <v>-6.2674217797277554E-2</v>
      </c>
      <c r="AV40" s="496">
        <f ca="1"/>
        <v>7.3275932395822536E-3</v>
      </c>
      <c r="AW40" s="618">
        <f ca="1"/>
        <v>0</v>
      </c>
    </row>
    <row r="41" spans="2:49">
      <c r="B41" s="516" t="s">
        <v>513</v>
      </c>
      <c r="C41" s="517" t="s">
        <v>66</v>
      </c>
      <c r="D41" s="517" t="s">
        <v>57</v>
      </c>
      <c r="E41" s="517" t="s">
        <v>647</v>
      </c>
      <c r="F41" s="517" t="s">
        <v>670</v>
      </c>
      <c r="G41" s="524">
        <v>0.01</v>
      </c>
      <c r="H41" s="524">
        <v>1.3924000000000001E-2</v>
      </c>
      <c r="I41" s="526">
        <v>0.4</v>
      </c>
      <c r="J41" s="592">
        <v>4</v>
      </c>
      <c r="K41" s="518">
        <v>6</v>
      </c>
      <c r="L41" s="272"/>
      <c r="M41" s="272"/>
      <c r="P41" s="273"/>
      <c r="Q41" s="273"/>
      <c r="R41" s="273"/>
      <c r="S41" s="273"/>
      <c r="T41" s="575">
        <f ca="1"/>
        <v>0.06</v>
      </c>
      <c r="U41" s="572">
        <f ca="1"/>
        <v>33</v>
      </c>
      <c r="V41" s="484">
        <f ca="1">IF('CDO Bespoke'!O42&lt;&gt;"",'CDO Bespoke'!O42,"")</f>
        <v>9.8057425628645195E-2</v>
      </c>
      <c r="W41" s="640">
        <f t="shared" ca="1" si="1"/>
        <v>0</v>
      </c>
      <c r="X41" s="640">
        <f t="shared" ca="1" si="0"/>
        <v>9.8057425628645195E-2</v>
      </c>
      <c r="Y41" s="488">
        <f t="shared" ca="1" si="2"/>
        <v>0</v>
      </c>
      <c r="Z41" s="484">
        <f ca="1">IF('CDO Bespoke'!O42&lt;&gt;"",'CDO Bespoke'!O42,"")</f>
        <v>9.8057425628645195E-2</v>
      </c>
      <c r="AA41" s="640">
        <f ca="1">IF(Z41&lt;&gt;"",ABS(MIN(-0.6*'CDO Bespoke'!K42+'CDO Bespoke'!T42*'CDO Bespoke'!K42,0)),"")</f>
        <v>8.4136095124004009E-2</v>
      </c>
      <c r="AB41" s="640">
        <f t="shared" ca="1" si="3"/>
        <v>1.3921330504641186E-2</v>
      </c>
      <c r="AC41" s="488">
        <f t="shared" ca="1" si="4"/>
        <v>0</v>
      </c>
      <c r="AD41" s="272"/>
      <c r="AE41" s="493" t="str">
        <f ca="1">IF('CDO Bespoke'!C66&lt;&gt;"",'CDO Bespoke'!C66,"")</f>
        <v>Siemens Aktiengesellschaft</v>
      </c>
      <c r="AF41" s="495">
        <f ca="1"/>
        <v>-3.6508426004555616E-4</v>
      </c>
      <c r="AG41" s="583">
        <f ca="1"/>
        <v>8.3937979900028381E-5</v>
      </c>
      <c r="AH41" s="583">
        <f ca="1"/>
        <v>3.7501632499381543E-3</v>
      </c>
      <c r="AI41" s="583">
        <f ca="1"/>
        <v>0.61795006341014425</v>
      </c>
      <c r="AJ41" s="496">
        <f ca="1"/>
        <v>0</v>
      </c>
      <c r="AK41" s="618">
        <f ca="1"/>
        <v>0</v>
      </c>
      <c r="AL41" s="495">
        <f ca="1"/>
        <v>3.4930371669780746E-4</v>
      </c>
      <c r="AM41" s="583">
        <f ca="1"/>
        <v>1.6980059411005402E-3</v>
      </c>
      <c r="AN41" s="583">
        <f ca="1"/>
        <v>7.5227428281013711E-3</v>
      </c>
      <c r="AO41" s="583">
        <f ca="1"/>
        <v>0.60045108044230133</v>
      </c>
      <c r="AP41" s="496">
        <f ca="1"/>
        <v>0</v>
      </c>
      <c r="AQ41" s="618">
        <f ca="1"/>
        <v>0</v>
      </c>
      <c r="AR41" s="495">
        <f ca="1"/>
        <v>-1.5476234539739175E-2</v>
      </c>
      <c r="AS41" s="496">
        <f ca="1"/>
        <v>-2.9688606364892844E-2</v>
      </c>
      <c r="AT41" s="618">
        <f ca="1"/>
        <v>0</v>
      </c>
      <c r="AU41" s="495">
        <f ca="1"/>
        <v>-6.239998386801858E-2</v>
      </c>
      <c r="AV41" s="496">
        <f ca="1"/>
        <v>7.9620553743390832E-3</v>
      </c>
      <c r="AW41" s="618">
        <f ca="1"/>
        <v>0</v>
      </c>
    </row>
    <row r="42" spans="2:49">
      <c r="B42" s="533" t="s">
        <v>513</v>
      </c>
      <c r="C42" s="534" t="s">
        <v>66</v>
      </c>
      <c r="D42" s="534" t="s">
        <v>59</v>
      </c>
      <c r="E42" s="534" t="s">
        <v>647</v>
      </c>
      <c r="F42" s="534" t="s">
        <v>670</v>
      </c>
      <c r="G42" s="535">
        <v>0.01</v>
      </c>
      <c r="H42" s="535">
        <v>2.0253E-2</v>
      </c>
      <c r="I42" s="536">
        <v>0.4</v>
      </c>
      <c r="J42" s="593">
        <v>4</v>
      </c>
      <c r="K42" s="537">
        <v>6</v>
      </c>
      <c r="L42" s="272"/>
      <c r="M42" s="272"/>
      <c r="P42" s="273"/>
      <c r="Q42" s="273"/>
      <c r="R42" s="273"/>
      <c r="S42" s="273"/>
      <c r="T42" s="575">
        <f ca="1"/>
        <v>0.03</v>
      </c>
      <c r="U42" s="572">
        <f ca="1"/>
        <v>34</v>
      </c>
      <c r="V42" s="484">
        <f ca="1">IF('CDO Bespoke'!O43&lt;&gt;"",'CDO Bespoke'!O43,"")</f>
        <v>9.7666773659613196E-2</v>
      </c>
      <c r="W42" s="640">
        <f t="shared" ca="1" si="1"/>
        <v>0</v>
      </c>
      <c r="X42" s="640">
        <f t="shared" ca="1" si="0"/>
        <v>9.7666773659613196E-2</v>
      </c>
      <c r="Y42" s="488">
        <f t="shared" ca="1" si="2"/>
        <v>0</v>
      </c>
      <c r="Z42" s="484">
        <f ca="1">IF('CDO Bespoke'!O43&lt;&gt;"",'CDO Bespoke'!O43,"")</f>
        <v>9.7666773659613196E-2</v>
      </c>
      <c r="AA42" s="640">
        <f ca="1">IF(Z42&lt;&gt;"",ABS(MIN(-0.6*'CDO Bespoke'!K43+'CDO Bespoke'!T43*'CDO Bespoke'!K43,0)),"")</f>
        <v>8.8442932793648968E-2</v>
      </c>
      <c r="AB42" s="640">
        <f t="shared" ca="1" si="3"/>
        <v>9.2238408659642279E-3</v>
      </c>
      <c r="AC42" s="488">
        <f t="shared" ca="1" si="4"/>
        <v>0</v>
      </c>
      <c r="AD42" s="272"/>
      <c r="AE42" s="493" t="str">
        <f ca="1">IF('CDO Bespoke'!C67&lt;&gt;"",'CDO Bespoke'!C67,"")</f>
        <v>SMURFIT KAPPA ACQUISITIONS UNLIMITED COMPANY</v>
      </c>
      <c r="AF42" s="495">
        <f ca="1"/>
        <v>-6.6410270005423655E-4</v>
      </c>
      <c r="AG42" s="583">
        <f ca="1"/>
        <v>-1.0430030000785351E-3</v>
      </c>
      <c r="AH42" s="583">
        <f ca="1"/>
        <v>-2.7747124986543525E-4</v>
      </c>
      <c r="AI42" s="583">
        <f ca="1"/>
        <v>0.72182871124981673</v>
      </c>
      <c r="AJ42" s="496">
        <f ca="1"/>
        <v>0</v>
      </c>
      <c r="AK42" s="618">
        <f ca="1"/>
        <v>0</v>
      </c>
      <c r="AL42" s="495">
        <f ca="1"/>
        <v>3.1650738449833654E-4</v>
      </c>
      <c r="AM42" s="583">
        <f ca="1"/>
        <v>1.5511322120015728E-3</v>
      </c>
      <c r="AN42" s="583">
        <f ca="1"/>
        <v>6.6924212798000898E-3</v>
      </c>
      <c r="AO42" s="583">
        <f ca="1"/>
        <v>0.68339817739899822</v>
      </c>
      <c r="AP42" s="496">
        <f ca="1"/>
        <v>0</v>
      </c>
      <c r="AQ42" s="618">
        <f ca="1"/>
        <v>0</v>
      </c>
      <c r="AR42" s="495">
        <f ca="1"/>
        <v>-1.0854064626623083E-2</v>
      </c>
      <c r="AS42" s="496">
        <f ca="1"/>
        <v>-3.3691561507351919E-2</v>
      </c>
      <c r="AT42" s="618">
        <f ca="1"/>
        <v>0</v>
      </c>
      <c r="AU42" s="495">
        <f ca="1"/>
        <v>-0.11277542173426794</v>
      </c>
      <c r="AV42" s="496">
        <f ca="1"/>
        <v>3.2020229845908521E-3</v>
      </c>
      <c r="AW42" s="618">
        <f ca="1"/>
        <v>0</v>
      </c>
    </row>
    <row r="43" spans="2:49">
      <c r="B43" s="538" t="s">
        <v>514</v>
      </c>
      <c r="C43" s="539" t="s">
        <v>66</v>
      </c>
      <c r="D43" s="539" t="s">
        <v>55</v>
      </c>
      <c r="E43" s="539" t="s">
        <v>645</v>
      </c>
      <c r="F43" s="539" t="s">
        <v>669</v>
      </c>
      <c r="G43" s="540">
        <v>0.01</v>
      </c>
      <c r="H43" s="540">
        <v>2.196E-3</v>
      </c>
      <c r="I43" s="541">
        <v>0.4</v>
      </c>
      <c r="J43" s="600">
        <v>7</v>
      </c>
      <c r="K43" s="542">
        <v>7</v>
      </c>
      <c r="L43" s="272"/>
      <c r="M43" s="272"/>
      <c r="P43" s="273"/>
      <c r="Q43" s="273"/>
      <c r="R43" s="273"/>
      <c r="S43" s="273"/>
      <c r="T43" s="575">
        <f ca="1"/>
        <v>0.03</v>
      </c>
      <c r="U43" s="572">
        <f ca="1"/>
        <v>35</v>
      </c>
      <c r="V43" s="484">
        <f ca="1">IF('CDO Bespoke'!O44&lt;&gt;"",'CDO Bespoke'!O44,"")</f>
        <v>9.6119952366575195E-2</v>
      </c>
      <c r="W43" s="640">
        <f t="shared" ca="1" si="1"/>
        <v>0</v>
      </c>
      <c r="X43" s="640">
        <f t="shared" ca="1" si="0"/>
        <v>9.6119952366575195E-2</v>
      </c>
      <c r="Y43" s="488">
        <f t="shared" ca="1" si="2"/>
        <v>0</v>
      </c>
      <c r="Z43" s="484">
        <f ca="1">IF('CDO Bespoke'!O44&lt;&gt;"",'CDO Bespoke'!O44,"")</f>
        <v>9.6119952366575195E-2</v>
      </c>
      <c r="AA43" s="640">
        <f ca="1">IF(Z43&lt;&gt;"",ABS(MIN(-0.6*'CDO Bespoke'!K44+'CDO Bespoke'!T44*'CDO Bespoke'!K44,0)),"")</f>
        <v>9.6306665113801759E-2</v>
      </c>
      <c r="AB43" s="640">
        <f t="shared" ca="1" si="3"/>
        <v>0</v>
      </c>
      <c r="AC43" s="488">
        <f t="shared" ca="1" si="4"/>
        <v>0</v>
      </c>
      <c r="AD43" s="272"/>
      <c r="AE43" s="493" t="str">
        <f ca="1">IF('CDO Bespoke'!C68&lt;&gt;"",'CDO Bespoke'!C68,"")</f>
        <v>Solvay</v>
      </c>
      <c r="AF43" s="495">
        <f ca="1"/>
        <v>-1.3134704901496264E-3</v>
      </c>
      <c r="AG43" s="583">
        <f ca="1"/>
        <v>-3.584305289794365E-3</v>
      </c>
      <c r="AH43" s="583">
        <f ca="1"/>
        <v>-1.0020981189851064E-2</v>
      </c>
      <c r="AI43" s="583">
        <f ca="1"/>
        <v>0.89033780897973536</v>
      </c>
      <c r="AJ43" s="496">
        <f ca="1"/>
        <v>0</v>
      </c>
      <c r="AK43" s="618">
        <f ca="1"/>
        <v>0</v>
      </c>
      <c r="AL43" s="495">
        <f ca="1"/>
        <v>1.3798001500045509E-4</v>
      </c>
      <c r="AM43" s="583">
        <f ca="1"/>
        <v>7.192191587993349E-4</v>
      </c>
      <c r="AN43" s="583">
        <f ca="1"/>
        <v>2.4560194775992937E-3</v>
      </c>
      <c r="AO43" s="583">
        <f ca="1"/>
        <v>0.80553048451950049</v>
      </c>
      <c r="AP43" s="496">
        <f ca="1"/>
        <v>0</v>
      </c>
      <c r="AQ43" s="618">
        <f ca="1"/>
        <v>0</v>
      </c>
      <c r="AR43" s="495">
        <f ca="1"/>
        <v>-3.1483654596889954E-3</v>
      </c>
      <c r="AS43" s="496">
        <f ca="1"/>
        <v>-3.8742856007451032E-2</v>
      </c>
      <c r="AT43" s="618">
        <f ca="1"/>
        <v>0</v>
      </c>
      <c r="AU43" s="495">
        <f ca="1"/>
        <v>-0.10592641892667372</v>
      </c>
      <c r="AV43" s="496">
        <f ca="1"/>
        <v>1.635721681450001E-2</v>
      </c>
      <c r="AW43" s="618">
        <f ca="1"/>
        <v>0</v>
      </c>
    </row>
    <row r="44" spans="2:49">
      <c r="B44" s="516" t="s">
        <v>514</v>
      </c>
      <c r="C44" s="517" t="s">
        <v>66</v>
      </c>
      <c r="D44" s="517" t="s">
        <v>57</v>
      </c>
      <c r="E44" s="517" t="s">
        <v>645</v>
      </c>
      <c r="F44" s="517" t="s">
        <v>669</v>
      </c>
      <c r="G44" s="524">
        <v>0.01</v>
      </c>
      <c r="H44" s="524">
        <v>3.117E-3</v>
      </c>
      <c r="I44" s="526">
        <v>0.4</v>
      </c>
      <c r="J44" s="592">
        <v>7</v>
      </c>
      <c r="K44" s="518">
        <v>7</v>
      </c>
      <c r="L44" s="272"/>
      <c r="M44" s="272"/>
      <c r="P44" s="273"/>
      <c r="Q44" s="273"/>
      <c r="R44" s="273"/>
      <c r="S44" s="273"/>
      <c r="T44" s="575">
        <f ca="1"/>
        <v>0.06</v>
      </c>
      <c r="U44" s="572">
        <f ca="1"/>
        <v>36</v>
      </c>
      <c r="V44" s="484">
        <f ca="1">IF('CDO Bespoke'!O45&lt;&gt;"",'CDO Bespoke'!O45,"")</f>
        <v>9.5577489267546195E-2</v>
      </c>
      <c r="W44" s="640">
        <f t="shared" ca="1" si="1"/>
        <v>0</v>
      </c>
      <c r="X44" s="640">
        <f t="shared" ca="1" si="0"/>
        <v>9.5577489267546195E-2</v>
      </c>
      <c r="Y44" s="488">
        <f t="shared" ca="1" si="2"/>
        <v>0</v>
      </c>
      <c r="Z44" s="484">
        <f ca="1">IF('CDO Bespoke'!O45&lt;&gt;"",'CDO Bespoke'!O45,"")</f>
        <v>9.5577489267546195E-2</v>
      </c>
      <c r="AA44" s="640">
        <f ca="1">IF(Z44&lt;&gt;"",ABS(MIN(-0.6*'CDO Bespoke'!K45+'CDO Bespoke'!T45*'CDO Bespoke'!K45,0)),"")</f>
        <v>9.7439596594364006E-2</v>
      </c>
      <c r="AB44" s="640">
        <f t="shared" ca="1" si="3"/>
        <v>0</v>
      </c>
      <c r="AC44" s="488">
        <f t="shared" ca="1" si="4"/>
        <v>0</v>
      </c>
      <c r="AD44" s="272"/>
      <c r="AE44" s="493" t="str">
        <f ca="1">IF('CDO Bespoke'!C69&lt;&gt;"",'CDO Bespoke'!C69,"")</f>
        <v>Stellantis N.V.</v>
      </c>
      <c r="AF44" s="495">
        <f ca="1"/>
        <v>-1.6869752000880922E-3</v>
      </c>
      <c r="AG44" s="583">
        <f ca="1"/>
        <v>-5.1716806598323117E-3</v>
      </c>
      <c r="AH44" s="583">
        <f ca="1"/>
        <v>-1.6274550589945314E-2</v>
      </c>
      <c r="AI44" s="583">
        <f ca="1"/>
        <v>0.96005692326983638</v>
      </c>
      <c r="AJ44" s="496">
        <f ca="1"/>
        <v>0</v>
      </c>
      <c r="AK44" s="618">
        <f ca="1"/>
        <v>0</v>
      </c>
      <c r="AL44" s="495">
        <f ca="1"/>
        <v>-4.6495894092356271E-6</v>
      </c>
      <c r="AM44" s="583">
        <f ca="1"/>
        <v>4.5800283510416887E-5</v>
      </c>
      <c r="AN44" s="583">
        <f ca="1"/>
        <v>-5.328279913997553E-4</v>
      </c>
      <c r="AO44" s="583">
        <f ca="1"/>
        <v>0.85082556572338985</v>
      </c>
      <c r="AP44" s="496">
        <f ca="1"/>
        <v>0</v>
      </c>
      <c r="AQ44" s="618">
        <f ca="1"/>
        <v>0</v>
      </c>
      <c r="AR44" s="495">
        <f ca="1"/>
        <v>8.9915536752527281E-5</v>
      </c>
      <c r="AS44" s="496">
        <f ca="1"/>
        <v>-3.9914078503666517E-2</v>
      </c>
      <c r="AT44" s="618">
        <f ca="1"/>
        <v>0</v>
      </c>
      <c r="AU44" s="495">
        <f ca="1"/>
        <v>-0.10287644130088236</v>
      </c>
      <c r="AV44" s="496">
        <f ca="1"/>
        <v>2.5117712973533862E-2</v>
      </c>
      <c r="AW44" s="618">
        <f ca="1"/>
        <v>0</v>
      </c>
    </row>
    <row r="45" spans="2:49">
      <c r="B45" s="533" t="s">
        <v>514</v>
      </c>
      <c r="C45" s="534" t="s">
        <v>66</v>
      </c>
      <c r="D45" s="534" t="s">
        <v>59</v>
      </c>
      <c r="E45" s="534" t="s">
        <v>645</v>
      </c>
      <c r="F45" s="534" t="s">
        <v>669</v>
      </c>
      <c r="G45" s="535">
        <v>0.01</v>
      </c>
      <c r="H45" s="535">
        <v>4.3610000000000003E-3</v>
      </c>
      <c r="I45" s="536">
        <v>0.4</v>
      </c>
      <c r="J45" s="593">
        <v>7</v>
      </c>
      <c r="K45" s="537">
        <v>7</v>
      </c>
      <c r="L45" s="272"/>
      <c r="M45" s="272"/>
      <c r="P45" s="273"/>
      <c r="Q45" s="273"/>
      <c r="R45" s="273"/>
      <c r="S45" s="273"/>
      <c r="T45" s="575">
        <f ca="1"/>
        <v>0.06</v>
      </c>
      <c r="U45" s="572">
        <f ca="1"/>
        <v>37</v>
      </c>
      <c r="V45" s="484">
        <f ca="1">IF('CDO Bespoke'!O46&lt;&gt;"",'CDO Bespoke'!O46,"")</f>
        <v>9.6261854930834195E-2</v>
      </c>
      <c r="W45" s="640">
        <f t="shared" ca="1" si="1"/>
        <v>0</v>
      </c>
      <c r="X45" s="640">
        <f t="shared" ca="1" si="0"/>
        <v>9.6261854930834195E-2</v>
      </c>
      <c r="Y45" s="488">
        <f t="shared" ca="1" si="2"/>
        <v>0</v>
      </c>
      <c r="Z45" s="484">
        <f ca="1">IF('CDO Bespoke'!O46&lt;&gt;"",'CDO Bespoke'!O46,"")</f>
        <v>9.6261854930834195E-2</v>
      </c>
      <c r="AA45" s="640">
        <f ca="1">IF(Z45&lt;&gt;"",ABS(MIN(-0.6*'CDO Bespoke'!K46+'CDO Bespoke'!T46*'CDO Bespoke'!K46,0)),"")</f>
        <v>9.5917677366470736E-2</v>
      </c>
      <c r="AB45" s="640">
        <f t="shared" ca="1" si="3"/>
        <v>3.4417756436345981E-4</v>
      </c>
      <c r="AC45" s="488">
        <f t="shared" ca="1" si="4"/>
        <v>0</v>
      </c>
      <c r="AD45" s="272"/>
      <c r="AE45" s="493" t="str">
        <f ca="1">IF('CDO Bespoke'!C70&lt;&gt;"",'CDO Bespoke'!C70,"")</f>
        <v>Stora Enso Oyj</v>
      </c>
      <c r="AF45" s="495">
        <f ca="1"/>
        <v>-1.3055106801163063E-3</v>
      </c>
      <c r="AG45" s="583">
        <f ca="1"/>
        <v>-3.5620001098690679E-3</v>
      </c>
      <c r="AH45" s="583">
        <f ca="1"/>
        <v>-9.9782177898077862E-3</v>
      </c>
      <c r="AI45" s="583">
        <f ca="1"/>
        <v>0.88898161001993437</v>
      </c>
      <c r="AJ45" s="496">
        <f ca="1"/>
        <v>0</v>
      </c>
      <c r="AK45" s="618">
        <f ca="1"/>
        <v>0</v>
      </c>
      <c r="AL45" s="495">
        <f ca="1"/>
        <v>1.4183239800073105E-4</v>
      </c>
      <c r="AM45" s="583">
        <f ca="1"/>
        <v>7.3709522260129168E-4</v>
      </c>
      <c r="AN45" s="583">
        <f ca="1"/>
        <v>2.538621969700415E-3</v>
      </c>
      <c r="AO45" s="583">
        <f ca="1"/>
        <v>0.80467803771590163</v>
      </c>
      <c r="AP45" s="496">
        <f ca="1"/>
        <v>0</v>
      </c>
      <c r="AQ45" s="618">
        <f ca="1"/>
        <v>0</v>
      </c>
      <c r="AR45" s="495">
        <f ca="1"/>
        <v>-3.2382484720159255E-3</v>
      </c>
      <c r="AS45" s="496">
        <f ca="1"/>
        <v>-3.8725409083389062E-2</v>
      </c>
      <c r="AT45" s="618">
        <f ca="1"/>
        <v>0</v>
      </c>
      <c r="AU45" s="495">
        <f ca="1"/>
        <v>-0.10605431014845029</v>
      </c>
      <c r="AV45" s="496">
        <f ca="1"/>
        <v>1.610204237352118E-2</v>
      </c>
      <c r="AW45" s="618">
        <f ca="1"/>
        <v>0</v>
      </c>
    </row>
    <row r="46" spans="2:49">
      <c r="B46" s="538" t="s">
        <v>515</v>
      </c>
      <c r="C46" s="539" t="s">
        <v>66</v>
      </c>
      <c r="D46" s="539" t="s">
        <v>55</v>
      </c>
      <c r="E46" s="539" t="s">
        <v>647</v>
      </c>
      <c r="F46" s="539" t="s">
        <v>646</v>
      </c>
      <c r="G46" s="540">
        <v>0.01</v>
      </c>
      <c r="H46" s="540">
        <v>2.016E-3</v>
      </c>
      <c r="I46" s="541">
        <v>0.4</v>
      </c>
      <c r="J46" s="600">
        <v>4</v>
      </c>
      <c r="K46" s="542">
        <v>8</v>
      </c>
      <c r="L46" s="272"/>
      <c r="M46" s="272"/>
      <c r="P46" s="273"/>
      <c r="Q46" s="273"/>
      <c r="R46" s="273"/>
      <c r="S46" s="273"/>
      <c r="T46" s="575">
        <f ca="1"/>
        <v>0.03</v>
      </c>
      <c r="U46" s="572">
        <f ca="1"/>
        <v>38</v>
      </c>
      <c r="V46" s="484">
        <f ca="1">IF('CDO Bespoke'!O47&lt;&gt;"",'CDO Bespoke'!O47,"")</f>
        <v>9.4928751668096195E-2</v>
      </c>
      <c r="W46" s="640">
        <f t="shared" ca="1" si="1"/>
        <v>0</v>
      </c>
      <c r="X46" s="640">
        <f t="shared" ca="1" si="0"/>
        <v>9.4928751668096195E-2</v>
      </c>
      <c r="Y46" s="488">
        <f t="shared" ca="1" si="2"/>
        <v>0</v>
      </c>
      <c r="Z46" s="484">
        <f ca="1">IF('CDO Bespoke'!O47&lt;&gt;"",'CDO Bespoke'!O47,"")</f>
        <v>9.4928751668096195E-2</v>
      </c>
      <c r="AA46" s="640">
        <f ca="1">IF(Z46&lt;&gt;"",ABS(MIN(-0.6*'CDO Bespoke'!K47+'CDO Bespoke'!T47*'CDO Bespoke'!K47,0)),"")</f>
        <v>9.8226952351299385E-2</v>
      </c>
      <c r="AB46" s="640">
        <f t="shared" ca="1" si="3"/>
        <v>0</v>
      </c>
      <c r="AC46" s="488">
        <f t="shared" ca="1" si="4"/>
        <v>0</v>
      </c>
      <c r="AD46" s="272"/>
      <c r="AE46" s="493" t="str">
        <f ca="1">IF('CDO Bespoke'!C71&lt;&gt;"",'CDO Bespoke'!C71,"")</f>
        <v>UNIBAIL-RODAMCO-WESTFIELD SE</v>
      </c>
      <c r="AF46" s="495">
        <f ca="1"/>
        <v>-1.9801228900995227E-3</v>
      </c>
      <c r="AG46" s="583">
        <f ca="1"/>
        <v>-6.4347015699128818E-3</v>
      </c>
      <c r="AH46" s="583">
        <f ca="1"/>
        <v>-2.1579170020324945E-2</v>
      </c>
      <c r="AI46" s="583">
        <f ca="1"/>
        <v>1.0042066305099295</v>
      </c>
      <c r="AJ46" s="496">
        <f ca="1"/>
        <v>0</v>
      </c>
      <c r="AK46" s="618">
        <f ca="1"/>
        <v>0</v>
      </c>
      <c r="AL46" s="495">
        <f ca="1"/>
        <v>-1.3507935789879022E-4</v>
      </c>
      <c r="AM46" s="583">
        <f ca="1"/>
        <v>-5.728642238009285E-4</v>
      </c>
      <c r="AN46" s="583">
        <f ca="1"/>
        <v>-3.5118411818987547E-3</v>
      </c>
      <c r="AO46" s="583">
        <f ca="1"/>
        <v>0.87602224090039915</v>
      </c>
      <c r="AP46" s="496">
        <f ca="1"/>
        <v>0</v>
      </c>
      <c r="AQ46" s="618">
        <f ca="1"/>
        <v>0</v>
      </c>
      <c r="AR46" s="495">
        <f ca="1"/>
        <v>2.2597666817156248E-3</v>
      </c>
      <c r="AS46" s="496">
        <f ca="1"/>
        <v>-4.0088161641824605E-2</v>
      </c>
      <c r="AT46" s="618">
        <f ca="1"/>
        <v>0</v>
      </c>
      <c r="AU46" s="495">
        <f ca="1"/>
        <v>-0.15194497948996066</v>
      </c>
      <c r="AV46" s="496">
        <f ca="1"/>
        <v>1.5376564786388963E-2</v>
      </c>
      <c r="AW46" s="618">
        <f ca="1"/>
        <v>0</v>
      </c>
    </row>
    <row r="47" spans="2:49">
      <c r="B47" s="516" t="s">
        <v>515</v>
      </c>
      <c r="C47" s="517" t="s">
        <v>66</v>
      </c>
      <c r="D47" s="517" t="s">
        <v>57</v>
      </c>
      <c r="E47" s="517" t="s">
        <v>647</v>
      </c>
      <c r="F47" s="517" t="s">
        <v>646</v>
      </c>
      <c r="G47" s="524">
        <v>0.01</v>
      </c>
      <c r="H47" s="524">
        <v>3.4150000000000001E-3</v>
      </c>
      <c r="I47" s="526">
        <v>0.4</v>
      </c>
      <c r="J47" s="592">
        <v>4</v>
      </c>
      <c r="K47" s="518">
        <v>8</v>
      </c>
      <c r="L47" s="272"/>
      <c r="M47" s="272"/>
      <c r="P47" s="273"/>
      <c r="Q47" s="273"/>
      <c r="R47" s="273"/>
      <c r="S47" s="273"/>
      <c r="T47" s="575">
        <f ca="1"/>
        <v>0.06</v>
      </c>
      <c r="U47" s="572">
        <f ca="1"/>
        <v>39</v>
      </c>
      <c r="V47" s="484">
        <f ca="1">IF('CDO Bespoke'!O48&lt;&gt;"",'CDO Bespoke'!O48,"")</f>
        <v>9.8320157760588195E-2</v>
      </c>
      <c r="W47" s="640">
        <f t="shared" ca="1" si="1"/>
        <v>0</v>
      </c>
      <c r="X47" s="640">
        <f t="shared" ca="1" si="0"/>
        <v>9.8320157760588195E-2</v>
      </c>
      <c r="Y47" s="488">
        <f t="shared" ca="1" si="2"/>
        <v>0</v>
      </c>
      <c r="Z47" s="484">
        <f ca="1">IF('CDO Bespoke'!O48&lt;&gt;"",'CDO Bespoke'!O48,"")</f>
        <v>9.8320157760588195E-2</v>
      </c>
      <c r="AA47" s="640">
        <f ca="1">IF(Z47&lt;&gt;"",ABS(MIN(-0.6*'CDO Bespoke'!K48+'CDO Bespoke'!T48*'CDO Bespoke'!K48,0)),"")</f>
        <v>8.0012065300940155E-2</v>
      </c>
      <c r="AB47" s="640">
        <f t="shared" ca="1" si="3"/>
        <v>1.830809245964804E-2</v>
      </c>
      <c r="AC47" s="488">
        <f t="shared" ca="1" si="4"/>
        <v>0</v>
      </c>
      <c r="AD47" s="272"/>
      <c r="AE47" s="493" t="str">
        <f ca="1">IF('CDO Bespoke'!C72&lt;&gt;"",'CDO Bespoke'!C72,"")</f>
        <v>VINCI</v>
      </c>
      <c r="AF47" s="495">
        <f ca="1"/>
        <v>-3.0659502991969845E-4</v>
      </c>
      <c r="AG47" s="583">
        <f ca="1"/>
        <v>2.2971941016081132E-4</v>
      </c>
      <c r="AH47" s="583">
        <f ca="1"/>
        <v>4.0396874800840976E-3</v>
      </c>
      <c r="AI47" s="583">
        <f ca="1"/>
        <v>0.58797360079021477</v>
      </c>
      <c r="AJ47" s="496">
        <f ca="1"/>
        <v>0</v>
      </c>
      <c r="AK47" s="618">
        <f ca="1"/>
        <v>0</v>
      </c>
      <c r="AL47" s="495">
        <f ca="1"/>
        <v>3.5252644199623706E-4</v>
      </c>
      <c r="AM47" s="583">
        <f ca="1"/>
        <v>1.709962825797301E-3</v>
      </c>
      <c r="AN47" s="583">
        <f ca="1"/>
        <v>7.602965205800484E-3</v>
      </c>
      <c r="AO47" s="583">
        <f ca="1"/>
        <v>0.57519323916519705</v>
      </c>
      <c r="AP47" s="496">
        <f ca="1"/>
        <v>0</v>
      </c>
      <c r="AQ47" s="618">
        <f ca="1"/>
        <v>0</v>
      </c>
      <c r="AR47" s="495">
        <f ca="1"/>
        <v>-1.6888825037222999E-2</v>
      </c>
      <c r="AS47" s="496">
        <f ca="1"/>
        <v>-2.8425674036022974E-2</v>
      </c>
      <c r="AT47" s="618">
        <f ca="1"/>
        <v>0</v>
      </c>
      <c r="AU47" s="495">
        <f ca="1"/>
        <v>-0.11769175724623596</v>
      </c>
      <c r="AV47" s="496">
        <f ca="1"/>
        <v>-2.2151961125847289E-3</v>
      </c>
      <c r="AW47" s="618">
        <f ca="1"/>
        <v>0</v>
      </c>
    </row>
    <row r="48" spans="2:49">
      <c r="B48" s="533" t="s">
        <v>515</v>
      </c>
      <c r="C48" s="534" t="s">
        <v>66</v>
      </c>
      <c r="D48" s="534" t="s">
        <v>59</v>
      </c>
      <c r="E48" s="534" t="s">
        <v>647</v>
      </c>
      <c r="F48" s="534" t="s">
        <v>646</v>
      </c>
      <c r="G48" s="535">
        <v>0.01</v>
      </c>
      <c r="H48" s="535">
        <v>5.3829999999999998E-3</v>
      </c>
      <c r="I48" s="536">
        <v>0.4</v>
      </c>
      <c r="J48" s="593">
        <v>4</v>
      </c>
      <c r="K48" s="537">
        <v>8</v>
      </c>
      <c r="L48" s="272"/>
      <c r="M48" s="272"/>
      <c r="P48" s="273"/>
      <c r="Q48" s="273"/>
      <c r="R48" s="273"/>
      <c r="S48" s="273"/>
      <c r="T48" s="575">
        <f ca="1"/>
        <v>0.02</v>
      </c>
      <c r="U48" s="572">
        <f ca="1"/>
        <v>40</v>
      </c>
      <c r="V48" s="484">
        <f ca="1">IF('CDO Bespoke'!O49&lt;&gt;"",'CDO Bespoke'!O49,"")</f>
        <v>9.6383243519499201E-2</v>
      </c>
      <c r="W48" s="640">
        <f t="shared" ca="1" si="1"/>
        <v>0</v>
      </c>
      <c r="X48" s="640">
        <f t="shared" ca="1" si="0"/>
        <v>9.6383243519499201E-2</v>
      </c>
      <c r="Y48" s="488">
        <f t="shared" ca="1" si="2"/>
        <v>0</v>
      </c>
      <c r="Z48" s="484">
        <f ca="1">IF('CDO Bespoke'!O49&lt;&gt;"",'CDO Bespoke'!O49,"")</f>
        <v>9.6383243519499201E-2</v>
      </c>
      <c r="AA48" s="640">
        <f ca="1">IF(Z48&lt;&gt;"",ABS(MIN(-0.6*'CDO Bespoke'!K49+'CDO Bespoke'!T49*'CDO Bespoke'!K49,0)),"")</f>
        <v>9.5548643867900587E-2</v>
      </c>
      <c r="AB48" s="640">
        <f t="shared" ca="1" si="3"/>
        <v>8.3459965159861371E-4</v>
      </c>
      <c r="AC48" s="488">
        <f t="shared" ca="1" si="4"/>
        <v>0</v>
      </c>
      <c r="AD48" s="272"/>
      <c r="AE48" s="493" t="str">
        <f ca="1">IF('CDO Bespoke'!C73&lt;&gt;"",'CDO Bespoke'!C73,"")</f>
        <v>VOLKSWAGEN AKTIENGESELLSCHAFT</v>
      </c>
      <c r="AF48" s="495">
        <f ca="1"/>
        <v>-1.4272118697977731E-3</v>
      </c>
      <c r="AG48" s="583">
        <f ca="1"/>
        <v>-4.0985251897884822E-3</v>
      </c>
      <c r="AH48" s="583">
        <f ca="1"/>
        <v>-1.2321389820102446E-2</v>
      </c>
      <c r="AI48" s="583">
        <f ca="1"/>
        <v>0.9145275267097297</v>
      </c>
      <c r="AJ48" s="496">
        <f ca="1"/>
        <v>0</v>
      </c>
      <c r="AK48" s="618">
        <f ca="1"/>
        <v>0</v>
      </c>
      <c r="AL48" s="495">
        <f ca="1"/>
        <v>1.0114228629967692E-4</v>
      </c>
      <c r="AM48" s="583">
        <f ca="1"/>
        <v>5.452719942092895E-4</v>
      </c>
      <c r="AN48" s="583">
        <f ca="1"/>
        <v>1.5479505206990058E-3</v>
      </c>
      <c r="AO48" s="583">
        <f ca="1"/>
        <v>0.82175486870780967</v>
      </c>
      <c r="AP48" s="496">
        <f ca="1"/>
        <v>0</v>
      </c>
      <c r="AQ48" s="618">
        <f ca="1"/>
        <v>0</v>
      </c>
      <c r="AR48" s="495">
        <f ca="1"/>
        <v>-2.1356517114779483E-3</v>
      </c>
      <c r="AS48" s="496">
        <f ca="1"/>
        <v>-3.9287093417731067E-2</v>
      </c>
      <c r="AT48" s="618">
        <f ca="1"/>
        <v>0</v>
      </c>
      <c r="AU48" s="495">
        <f ca="1"/>
        <v>-0.10515285390762949</v>
      </c>
      <c r="AV48" s="496">
        <f ca="1"/>
        <v>1.8647808539654174E-2</v>
      </c>
      <c r="AW48" s="618">
        <f ca="1"/>
        <v>0</v>
      </c>
    </row>
    <row r="49" spans="2:49">
      <c r="B49" s="538" t="s">
        <v>530</v>
      </c>
      <c r="C49" s="539" t="s">
        <v>66</v>
      </c>
      <c r="D49" s="539" t="s">
        <v>55</v>
      </c>
      <c r="E49" s="539" t="s">
        <v>645</v>
      </c>
      <c r="F49" s="539" t="s">
        <v>670</v>
      </c>
      <c r="G49" s="540">
        <v>0.01</v>
      </c>
      <c r="H49" s="540">
        <v>2.222E-3</v>
      </c>
      <c r="I49" s="541">
        <v>0.4</v>
      </c>
      <c r="J49" s="600">
        <v>4</v>
      </c>
      <c r="K49" s="542">
        <v>9</v>
      </c>
      <c r="L49" s="272"/>
      <c r="M49" s="272"/>
      <c r="P49" s="273"/>
      <c r="Q49" s="273"/>
      <c r="R49" s="273"/>
      <c r="S49" s="273"/>
      <c r="T49" s="575">
        <f ca="1"/>
        <v>0.06</v>
      </c>
      <c r="U49" s="572">
        <f ca="1"/>
        <v>41</v>
      </c>
      <c r="V49" s="484">
        <f ca="1">IF('CDO Bespoke'!O50&lt;&gt;"",'CDO Bespoke'!O50,"")</f>
        <v>9.6746865738226204E-2</v>
      </c>
      <c r="W49" s="640">
        <f t="shared" ca="1" si="1"/>
        <v>0</v>
      </c>
      <c r="X49" s="640">
        <f t="shared" ca="1" si="0"/>
        <v>9.6746865738226204E-2</v>
      </c>
      <c r="Y49" s="488">
        <f t="shared" ca="1" si="2"/>
        <v>0</v>
      </c>
      <c r="Z49" s="484">
        <f ca="1">IF('CDO Bespoke'!O50&lt;&gt;"",'CDO Bespoke'!O50,"")</f>
        <v>9.6746865738226204E-2</v>
      </c>
      <c r="AA49" s="640">
        <f ca="1">IF(Z49&lt;&gt;"",ABS(MIN(-0.6*'CDO Bespoke'!K50+'CDO Bespoke'!T50*'CDO Bespoke'!K50,0)),"")</f>
        <v>9.4209783538838493E-2</v>
      </c>
      <c r="AB49" s="640">
        <f t="shared" ca="1" si="3"/>
        <v>2.5370821993877107E-3</v>
      </c>
      <c r="AC49" s="488">
        <f t="shared" ca="1" si="4"/>
        <v>0</v>
      </c>
      <c r="AD49" s="272"/>
      <c r="AE49" s="493" t="str">
        <f ca="1">IF('CDO Bespoke'!C74&lt;&gt;"",'CDO Bespoke'!C74,"")</f>
        <v>WENDEL</v>
      </c>
      <c r="AF49" s="495">
        <f ca="1"/>
        <v>-1.0509058900876056E-3</v>
      </c>
      <c r="AG49" s="583">
        <f ca="1"/>
        <v>-2.5212925203188519E-3</v>
      </c>
      <c r="AH49" s="583">
        <f ca="1"/>
        <v>-5.7848406598282054E-3</v>
      </c>
      <c r="AI49" s="583">
        <f ca="1"/>
        <v>0.83107983534003171</v>
      </c>
      <c r="AJ49" s="496">
        <f ca="1"/>
        <v>0</v>
      </c>
      <c r="AK49" s="618">
        <f ca="1"/>
        <v>0</v>
      </c>
      <c r="AL49" s="495">
        <f ca="1"/>
        <v>2.2299873959994582E-4</v>
      </c>
      <c r="AM49" s="583">
        <f ca="1"/>
        <v>1.1178108130999523E-3</v>
      </c>
      <c r="AN49" s="583">
        <f ca="1"/>
        <v>4.4705128392002677E-3</v>
      </c>
      <c r="AO49" s="583">
        <f ca="1"/>
        <v>0.76455289173889707</v>
      </c>
      <c r="AP49" s="496">
        <f ca="1"/>
        <v>0</v>
      </c>
      <c r="AQ49" s="618">
        <f ca="1"/>
        <v>0</v>
      </c>
      <c r="AR49" s="495">
        <f ca="1"/>
        <v>-5.8781984637081286E-3</v>
      </c>
      <c r="AS49" s="496">
        <f ca="1"/>
        <v>-3.7252760576601873E-2</v>
      </c>
      <c r="AT49" s="618">
        <f ca="1"/>
        <v>0</v>
      </c>
      <c r="AU49" s="495">
        <f ca="1"/>
        <v>-0.16438400321632346</v>
      </c>
      <c r="AV49" s="496">
        <f ca="1"/>
        <v>-4.7464352208584637E-3</v>
      </c>
      <c r="AW49" s="618">
        <f ca="1"/>
        <v>0</v>
      </c>
    </row>
    <row r="50" spans="2:49">
      <c r="B50" s="516" t="s">
        <v>530</v>
      </c>
      <c r="C50" s="517" t="s">
        <v>66</v>
      </c>
      <c r="D50" s="517" t="s">
        <v>57</v>
      </c>
      <c r="E50" s="517" t="s">
        <v>645</v>
      </c>
      <c r="F50" s="517" t="s">
        <v>670</v>
      </c>
      <c r="G50" s="524">
        <v>0.01</v>
      </c>
      <c r="H50" s="524">
        <v>4.2570000000000004E-3</v>
      </c>
      <c r="I50" s="526">
        <v>0.4</v>
      </c>
      <c r="J50" s="592">
        <v>4</v>
      </c>
      <c r="K50" s="518">
        <v>9</v>
      </c>
      <c r="L50" s="272"/>
      <c r="M50" s="272"/>
      <c r="P50" s="273"/>
      <c r="Q50" s="273"/>
      <c r="R50" s="273"/>
      <c r="S50" s="273"/>
      <c r="T50" s="575">
        <f ca="1"/>
        <v>0.02</v>
      </c>
      <c r="U50" s="572">
        <f ca="1"/>
        <v>42</v>
      </c>
      <c r="V50" s="484">
        <f ca="1">IF('CDO Bespoke'!O51&lt;&gt;"",'CDO Bespoke'!O51,"")</f>
        <v>9.2132032048601195E-2</v>
      </c>
      <c r="W50" s="640">
        <f t="shared" ca="1" si="1"/>
        <v>0</v>
      </c>
      <c r="X50" s="640">
        <f t="shared" ca="1" si="0"/>
        <v>9.2132032048601195E-2</v>
      </c>
      <c r="Y50" s="488">
        <f t="shared" ca="1" si="2"/>
        <v>0</v>
      </c>
      <c r="Z50" s="484">
        <f ca="1">IF('CDO Bespoke'!O51&lt;&gt;"",'CDO Bespoke'!O51,"")</f>
        <v>9.2132032048601195E-2</v>
      </c>
      <c r="AA50" s="640">
        <f ca="1">IF(Z50&lt;&gt;"",ABS(MIN(-0.6*'CDO Bespoke'!K51+'CDO Bespoke'!T51*'CDO Bespoke'!K51,0)),"")</f>
        <v>9.777687968456554E-2</v>
      </c>
      <c r="AB50" s="640">
        <f t="shared" ca="1" si="3"/>
        <v>0</v>
      </c>
      <c r="AC50" s="488">
        <f t="shared" ca="1" si="4"/>
        <v>0</v>
      </c>
      <c r="AD50" s="272"/>
      <c r="AE50" s="493" t="str">
        <f ca="1">IF('CDO Bespoke'!C75&lt;&gt;"",'CDO Bespoke'!C75,"")</f>
        <v>Aktiebolaget Electrolux</v>
      </c>
      <c r="AF50" s="495">
        <f ca="1"/>
        <v>-2.6802367503186986E-3</v>
      </c>
      <c r="AG50" s="583">
        <f ca="1"/>
        <v>-9.5529928600956993E-3</v>
      </c>
      <c r="AH50" s="583">
        <f ca="1"/>
        <v>-3.5045381039933154E-2</v>
      </c>
      <c r="AI50" s="583">
        <f ca="1"/>
        <v>1.0733468098100829</v>
      </c>
      <c r="AJ50" s="496">
        <f ca="1"/>
        <v>0</v>
      </c>
      <c r="AK50" s="618">
        <f ca="1"/>
        <v>0</v>
      </c>
      <c r="AL50" s="495">
        <f ca="1"/>
        <v>-4.9332616940296614E-4</v>
      </c>
      <c r="AM50" s="583">
        <f ca="1"/>
        <v>-2.288854877401103E-3</v>
      </c>
      <c r="AN50" s="583">
        <f ca="1"/>
        <v>-1.1784340497407106E-2</v>
      </c>
      <c r="AO50" s="583">
        <f ca="1"/>
        <v>0.90339159445919182</v>
      </c>
      <c r="AP50" s="496">
        <f ca="1"/>
        <v>0</v>
      </c>
      <c r="AQ50" s="618">
        <f ca="1"/>
        <v>0</v>
      </c>
      <c r="AR50" s="495">
        <f ca="1"/>
        <v>6.2665743556637454E-3</v>
      </c>
      <c r="AS50" s="496">
        <f ca="1"/>
        <v>-3.7972973486579742E-2</v>
      </c>
      <c r="AT50" s="618">
        <f ca="1"/>
        <v>0</v>
      </c>
      <c r="AU50" s="495">
        <f ca="1"/>
        <v>-9.5584750224900081E-2</v>
      </c>
      <c r="AV50" s="496">
        <f ca="1"/>
        <v>5.4079540791308792E-2</v>
      </c>
      <c r="AW50" s="618">
        <f ca="1"/>
        <v>0</v>
      </c>
    </row>
    <row r="51" spans="2:49">
      <c r="B51" s="533" t="s">
        <v>530</v>
      </c>
      <c r="C51" s="534" t="s">
        <v>66</v>
      </c>
      <c r="D51" s="534" t="s">
        <v>59</v>
      </c>
      <c r="E51" s="534" t="s">
        <v>645</v>
      </c>
      <c r="F51" s="534" t="s">
        <v>670</v>
      </c>
      <c r="G51" s="535">
        <v>0.01</v>
      </c>
      <c r="H51" s="535">
        <v>6.2550000000000001E-3</v>
      </c>
      <c r="I51" s="536">
        <v>0.4</v>
      </c>
      <c r="J51" s="593">
        <v>4</v>
      </c>
      <c r="K51" s="537">
        <v>9</v>
      </c>
      <c r="L51" s="272"/>
      <c r="M51" s="272"/>
      <c r="P51" s="273"/>
      <c r="Q51" s="273"/>
      <c r="R51" s="273"/>
      <c r="S51" s="273"/>
      <c r="T51" s="575">
        <f ca="1"/>
        <v>0.03</v>
      </c>
      <c r="U51" s="572">
        <f ca="1"/>
        <v>43</v>
      </c>
      <c r="V51" s="484">
        <f ca="1">IF('CDO Bespoke'!O52&lt;&gt;"",'CDO Bespoke'!O52,"")</f>
        <v>9.79526841331292E-2</v>
      </c>
      <c r="W51" s="640">
        <f t="shared" ca="1" si="1"/>
        <v>0</v>
      </c>
      <c r="X51" s="640">
        <f t="shared" ca="1" si="0"/>
        <v>9.79526841331292E-2</v>
      </c>
      <c r="Y51" s="488">
        <f t="shared" ca="1" si="2"/>
        <v>0</v>
      </c>
      <c r="Z51" s="484">
        <f ca="1">IF('CDO Bespoke'!O52&lt;&gt;"",'CDO Bespoke'!O52,"")</f>
        <v>9.79526841331292E-2</v>
      </c>
      <c r="AA51" s="640">
        <f ca="1">IF(Z51&lt;&gt;"",ABS(MIN(-0.6*'CDO Bespoke'!K52+'CDO Bespoke'!T52*'CDO Bespoke'!K52,0)),"")</f>
        <v>8.5463421444773147E-2</v>
      </c>
      <c r="AB51" s="640">
        <f t="shared" ca="1" si="3"/>
        <v>1.2489262688356054E-2</v>
      </c>
      <c r="AC51" s="488">
        <f t="shared" ca="1" si="4"/>
        <v>0</v>
      </c>
      <c r="AD51" s="272"/>
      <c r="AE51" s="493" t="str">
        <f ca="1">IF('CDO Bespoke'!C76&lt;&gt;"",'CDO Bespoke'!C76,"")</f>
        <v>Anheuser-Busch InBev</v>
      </c>
      <c r="AF51" s="495">
        <f ca="1"/>
        <v>-4.8544045005982639E-4</v>
      </c>
      <c r="AG51" s="583">
        <f ca="1"/>
        <v>-3.7631772031865296E-4</v>
      </c>
      <c r="AH51" s="583">
        <f ca="1"/>
        <v>2.102842209805722E-3</v>
      </c>
      <c r="AI51" s="583">
        <f ca="1"/>
        <v>0.66115487191986677</v>
      </c>
      <c r="AJ51" s="496">
        <f ca="1"/>
        <v>0</v>
      </c>
      <c r="AK51" s="618">
        <f ca="1"/>
        <v>0</v>
      </c>
      <c r="AL51" s="495">
        <f ca="1"/>
        <v>3.4108653330141431E-4</v>
      </c>
      <c r="AM51" s="583">
        <f ca="1"/>
        <v>1.66241770110237E-3</v>
      </c>
      <c r="AN51" s="583">
        <f ca="1"/>
        <v>7.2994765714035417E-3</v>
      </c>
      <c r="AO51" s="583">
        <f ca="1"/>
        <v>0.63545911229270347</v>
      </c>
      <c r="AP51" s="496">
        <f ca="1"/>
        <v>0</v>
      </c>
      <c r="AQ51" s="618">
        <f ca="1"/>
        <v>0</v>
      </c>
      <c r="AR51" s="495">
        <f ca="1"/>
        <v>-1.3569973244170308E-2</v>
      </c>
      <c r="AS51" s="496">
        <f ca="1"/>
        <v>-3.1405020230465708E-2</v>
      </c>
      <c r="AT51" s="618">
        <f ca="1"/>
        <v>0</v>
      </c>
      <c r="AU51" s="495">
        <f ca="1"/>
        <v>-0.11500562149466487</v>
      </c>
      <c r="AV51" s="496">
        <f ca="1"/>
        <v>3.756971677131779E-4</v>
      </c>
      <c r="AW51" s="618">
        <f ca="1"/>
        <v>0</v>
      </c>
    </row>
    <row r="52" spans="2:49">
      <c r="B52" s="538" t="s">
        <v>531</v>
      </c>
      <c r="C52" s="539" t="s">
        <v>66</v>
      </c>
      <c r="D52" s="539" t="s">
        <v>55</v>
      </c>
      <c r="E52" s="539" t="s">
        <v>647</v>
      </c>
      <c r="F52" s="539" t="s">
        <v>669</v>
      </c>
      <c r="G52" s="540">
        <v>0.01</v>
      </c>
      <c r="H52" s="540">
        <v>7.633E-3</v>
      </c>
      <c r="I52" s="541">
        <v>0.4</v>
      </c>
      <c r="J52" s="600">
        <v>7</v>
      </c>
      <c r="K52" s="542">
        <v>10</v>
      </c>
      <c r="L52" s="272"/>
      <c r="M52" s="272"/>
      <c r="P52" s="273"/>
      <c r="Q52" s="273"/>
      <c r="R52" s="273"/>
      <c r="S52" s="273"/>
      <c r="T52" s="575">
        <f ca="1"/>
        <v>0.02</v>
      </c>
      <c r="U52" s="572">
        <f ca="1"/>
        <v>44</v>
      </c>
      <c r="V52" s="484">
        <f ca="1">IF('CDO Bespoke'!O53&lt;&gt;"",'CDO Bespoke'!O53,"")</f>
        <v>9.6996317504078194E-2</v>
      </c>
      <c r="W52" s="640">
        <f t="shared" ca="1" si="1"/>
        <v>0</v>
      </c>
      <c r="X52" s="640">
        <f t="shared" ca="1" si="0"/>
        <v>9.6996317504078194E-2</v>
      </c>
      <c r="Y52" s="488">
        <f t="shared" ca="1" si="2"/>
        <v>0</v>
      </c>
      <c r="Z52" s="484">
        <f ca="1">IF('CDO Bespoke'!O53&lt;&gt;"",'CDO Bespoke'!O53,"")</f>
        <v>9.6996317504078194E-2</v>
      </c>
      <c r="AA52" s="640">
        <f ca="1">IF(Z52&lt;&gt;"",ABS(MIN(-0.6*'CDO Bespoke'!K53+'CDO Bespoke'!T53*'CDO Bespoke'!K53,0)),"")</f>
        <v>9.3045771368155894E-2</v>
      </c>
      <c r="AB52" s="640">
        <f t="shared" ca="1" si="3"/>
        <v>3.9505461359223004E-3</v>
      </c>
      <c r="AC52" s="488">
        <f t="shared" ca="1" si="4"/>
        <v>0</v>
      </c>
      <c r="AD52" s="272"/>
      <c r="AE52" s="493" t="str">
        <f ca="1">IF('CDO Bespoke'!C77&lt;&gt;"",'CDO Bespoke'!C77,"")</f>
        <v>BRITISH AMERICAN TOBACCO p.l.c.</v>
      </c>
      <c r="AF52" s="495">
        <f ca="1"/>
        <v>-1.0485392099024438E-3</v>
      </c>
      <c r="AG52" s="583">
        <f ca="1"/>
        <v>-2.5424440502908041E-3</v>
      </c>
      <c r="AH52" s="583">
        <f ca="1"/>
        <v>-5.9833937499087497E-3</v>
      </c>
      <c r="AI52" s="583">
        <f ca="1"/>
        <v>0.83030521403015811</v>
      </c>
      <c r="AJ52" s="496">
        <f ca="1"/>
        <v>0</v>
      </c>
      <c r="AK52" s="618">
        <f ca="1"/>
        <v>0</v>
      </c>
      <c r="AL52" s="495">
        <f ca="1"/>
        <v>2.2653015430054019E-4</v>
      </c>
      <c r="AM52" s="583">
        <f ca="1"/>
        <v>1.133861895698425E-3</v>
      </c>
      <c r="AN52" s="583">
        <f ca="1"/>
        <v>4.5360521956985811E-3</v>
      </c>
      <c r="AO52" s="583">
        <f ca="1"/>
        <v>0.76399391638789971</v>
      </c>
      <c r="AP52" s="496">
        <f ca="1"/>
        <v>0</v>
      </c>
      <c r="AQ52" s="618">
        <f ca="1"/>
        <v>0</v>
      </c>
      <c r="AR52" s="495">
        <f ca="1"/>
        <v>-5.9732081536421622E-3</v>
      </c>
      <c r="AS52" s="496">
        <f ca="1"/>
        <v>-3.7241683278395776E-2</v>
      </c>
      <c r="AT52" s="618">
        <f ca="1"/>
        <v>0</v>
      </c>
      <c r="AU52" s="495">
        <f ca="1"/>
        <v>-0.10860998884046799</v>
      </c>
      <c r="AV52" s="496">
        <f ca="1"/>
        <v>1.041002343352488E-2</v>
      </c>
      <c r="AW52" s="618">
        <f ca="1"/>
        <v>0</v>
      </c>
    </row>
    <row r="53" spans="2:49">
      <c r="B53" s="516" t="s">
        <v>531</v>
      </c>
      <c r="C53" s="517" t="s">
        <v>66</v>
      </c>
      <c r="D53" s="517" t="s">
        <v>57</v>
      </c>
      <c r="E53" s="517" t="s">
        <v>647</v>
      </c>
      <c r="F53" s="517" t="s">
        <v>669</v>
      </c>
      <c r="G53" s="524">
        <v>0.01</v>
      </c>
      <c r="H53" s="524">
        <v>1.1407E-2</v>
      </c>
      <c r="I53" s="526">
        <v>0.4</v>
      </c>
      <c r="J53" s="592">
        <v>7</v>
      </c>
      <c r="K53" s="518">
        <v>10</v>
      </c>
      <c r="L53" s="272"/>
      <c r="M53" s="272"/>
      <c r="P53" s="273"/>
      <c r="Q53" s="273"/>
      <c r="R53" s="273"/>
      <c r="S53" s="273"/>
      <c r="T53" s="575">
        <f ca="1"/>
        <v>0.06</v>
      </c>
      <c r="U53" s="572">
        <f ca="1"/>
        <v>45</v>
      </c>
      <c r="V53" s="484">
        <f ca="1">IF('CDO Bespoke'!O54&lt;&gt;"",'CDO Bespoke'!O54,"")</f>
        <v>9.8437243347713199E-2</v>
      </c>
      <c r="W53" s="640">
        <f t="shared" ca="1" si="1"/>
        <v>0</v>
      </c>
      <c r="X53" s="640">
        <f t="shared" ca="1" si="0"/>
        <v>9.8437243347713199E-2</v>
      </c>
      <c r="Y53" s="488">
        <f t="shared" ca="1" si="2"/>
        <v>0</v>
      </c>
      <c r="Z53" s="484">
        <f ca="1">IF('CDO Bespoke'!O54&lt;&gt;"",'CDO Bespoke'!O54,"")</f>
        <v>9.8437243347713199E-2</v>
      </c>
      <c r="AA53" s="640">
        <f ca="1">IF(Z53&lt;&gt;"",ABS(MIN(-0.6*'CDO Bespoke'!K54+'CDO Bespoke'!T54*'CDO Bespoke'!K54,0)),"")</f>
        <v>7.7673442376222687E-2</v>
      </c>
      <c r="AB53" s="640">
        <f t="shared" ca="1" si="3"/>
        <v>2.0763800971490512E-2</v>
      </c>
      <c r="AC53" s="488">
        <f t="shared" ca="1" si="4"/>
        <v>0</v>
      </c>
      <c r="AD53" s="272"/>
      <c r="AE53" s="493" t="str">
        <f ca="1">IF('CDO Bespoke'!C78&lt;&gt;"",'CDO Bespoke'!C78,"")</f>
        <v>CARLSBERG BREWERIES A/S</v>
      </c>
      <c r="AF53" s="495">
        <f ca="1"/>
        <v>-2.8856433020862937E-4</v>
      </c>
      <c r="AG53" s="583">
        <f ca="1"/>
        <v>2.5289583982512909E-4</v>
      </c>
      <c r="AH53" s="583">
        <f ca="1"/>
        <v>4.0027671899256489E-3</v>
      </c>
      <c r="AI53" s="583">
        <f ca="1"/>
        <v>0.57539983487009394</v>
      </c>
      <c r="AJ53" s="496">
        <f ca="1"/>
        <v>0</v>
      </c>
      <c r="AK53" s="618">
        <f ca="1"/>
        <v>0</v>
      </c>
      <c r="AL53" s="495">
        <f ca="1"/>
        <v>3.5300493919903503E-4</v>
      </c>
      <c r="AM53" s="583">
        <f ca="1"/>
        <v>1.710798078597385E-3</v>
      </c>
      <c r="AN53" s="583">
        <f ca="1"/>
        <v>7.6156202673000745E-3</v>
      </c>
      <c r="AO53" s="583">
        <f ca="1"/>
        <v>0.56437060759689706</v>
      </c>
      <c r="AP53" s="496">
        <f ca="1"/>
        <v>0</v>
      </c>
      <c r="AQ53" s="618">
        <f ca="1"/>
        <v>0</v>
      </c>
      <c r="AR53" s="495">
        <f ca="1"/>
        <v>-1.7493356953682204E-2</v>
      </c>
      <c r="AS53" s="496">
        <f ca="1"/>
        <v>-2.7878995008874807E-2</v>
      </c>
      <c r="AT53" s="618">
        <f ca="1"/>
        <v>0</v>
      </c>
      <c r="AU53" s="495">
        <f ca="1"/>
        <v>-0.1181953804747681</v>
      </c>
      <c r="AV53" s="496">
        <f ca="1"/>
        <v>-2.6099600536250087E-3</v>
      </c>
      <c r="AW53" s="618">
        <f ca="1"/>
        <v>0</v>
      </c>
    </row>
    <row r="54" spans="2:49">
      <c r="B54" s="533" t="s">
        <v>531</v>
      </c>
      <c r="C54" s="534" t="s">
        <v>66</v>
      </c>
      <c r="D54" s="534" t="s">
        <v>59</v>
      </c>
      <c r="E54" s="534" t="s">
        <v>647</v>
      </c>
      <c r="F54" s="534" t="s">
        <v>669</v>
      </c>
      <c r="G54" s="535">
        <v>0.01</v>
      </c>
      <c r="H54" s="535">
        <v>1.4759E-2</v>
      </c>
      <c r="I54" s="536">
        <v>0.4</v>
      </c>
      <c r="J54" s="593">
        <v>7</v>
      </c>
      <c r="K54" s="537">
        <v>10</v>
      </c>
      <c r="L54" s="272"/>
      <c r="M54" s="272"/>
      <c r="P54" s="273"/>
      <c r="Q54" s="273"/>
      <c r="R54" s="273"/>
      <c r="S54" s="273"/>
      <c r="T54" s="575">
        <f ca="1"/>
        <v>0.06</v>
      </c>
      <c r="U54" s="572">
        <f ca="1"/>
        <v>46</v>
      </c>
      <c r="V54" s="484">
        <f ca="1">IF('CDO Bespoke'!O55&lt;&gt;"",'CDO Bespoke'!O55,"")</f>
        <v>9.7715816502895195E-2</v>
      </c>
      <c r="W54" s="640">
        <f t="shared" ca="1" si="1"/>
        <v>0</v>
      </c>
      <c r="X54" s="640">
        <f t="shared" ca="1" si="0"/>
        <v>9.7715816502895195E-2</v>
      </c>
      <c r="Y54" s="488">
        <f t="shared" ca="1" si="2"/>
        <v>0</v>
      </c>
      <c r="Z54" s="484">
        <f ca="1">IF('CDO Bespoke'!O55&lt;&gt;"",'CDO Bespoke'!O55,"")</f>
        <v>9.7715816502895195E-2</v>
      </c>
      <c r="AA54" s="640">
        <f ca="1">IF(Z54&lt;&gt;"",ABS(MIN(-0.6*'CDO Bespoke'!K55+'CDO Bespoke'!T55*'CDO Bespoke'!K55,0)),"")</f>
        <v>8.7988450190342446E-2</v>
      </c>
      <c r="AB54" s="640">
        <f t="shared" ca="1" si="3"/>
        <v>9.7273663125527488E-3</v>
      </c>
      <c r="AC54" s="488">
        <f t="shared" ca="1" si="4"/>
        <v>0</v>
      </c>
      <c r="AD54" s="272"/>
      <c r="AE54" s="493" t="str">
        <f ca="1">IF('CDO Bespoke'!C79&lt;&gt;"",'CDO Bespoke'!C79,"")</f>
        <v>Carrefour</v>
      </c>
      <c r="AF54" s="495">
        <f ca="1"/>
        <v>-7.183213401873445E-4</v>
      </c>
      <c r="AG54" s="583">
        <f ca="1"/>
        <v>-1.2788291903209625E-3</v>
      </c>
      <c r="AH54" s="583">
        <f ca="1"/>
        <v>-1.2345761701837432E-3</v>
      </c>
      <c r="AI54" s="583">
        <f ca="1"/>
        <v>0.73729844133008093</v>
      </c>
      <c r="AJ54" s="496">
        <f ca="1"/>
        <v>0</v>
      </c>
      <c r="AK54" s="618">
        <f ca="1"/>
        <v>0</v>
      </c>
      <c r="AL54" s="495">
        <f ca="1"/>
        <v>3.0879630119867024E-4</v>
      </c>
      <c r="AM54" s="583">
        <f ca="1"/>
        <v>1.5153988451024544E-3</v>
      </c>
      <c r="AN54" s="583">
        <f ca="1"/>
        <v>6.4934112572025485E-3</v>
      </c>
      <c r="AO54" s="583">
        <f ca="1"/>
        <v>0.69521763858590002</v>
      </c>
      <c r="AP54" s="496">
        <f ca="1"/>
        <v>0</v>
      </c>
      <c r="AQ54" s="618">
        <f ca="1"/>
        <v>0</v>
      </c>
      <c r="AR54" s="495">
        <f ca="1"/>
        <v>-1.0202776579298578E-2</v>
      </c>
      <c r="AS54" s="496">
        <f ca="1"/>
        <v>-3.4239492602943455E-2</v>
      </c>
      <c r="AT54" s="618">
        <f ca="1"/>
        <v>0</v>
      </c>
      <c r="AU54" s="495">
        <f ca="1"/>
        <v>-0.1122779183730485</v>
      </c>
      <c r="AV54" s="496">
        <f ca="1"/>
        <v>3.9558286306059891E-3</v>
      </c>
      <c r="AW54" s="618">
        <f ca="1"/>
        <v>0</v>
      </c>
    </row>
    <row r="55" spans="2:49">
      <c r="B55" s="538" t="s">
        <v>532</v>
      </c>
      <c r="C55" s="539" t="s">
        <v>66</v>
      </c>
      <c r="D55" s="539" t="s">
        <v>55</v>
      </c>
      <c r="E55" s="539" t="s">
        <v>645</v>
      </c>
      <c r="F55" s="539" t="s">
        <v>668</v>
      </c>
      <c r="G55" s="540">
        <v>0.01</v>
      </c>
      <c r="H55" s="540">
        <v>2.836E-3</v>
      </c>
      <c r="I55" s="541">
        <v>0.4</v>
      </c>
      <c r="J55" s="600">
        <v>5</v>
      </c>
      <c r="K55" s="542">
        <v>11</v>
      </c>
      <c r="L55" s="272"/>
      <c r="M55" s="272"/>
      <c r="P55" s="273"/>
      <c r="Q55" s="273"/>
      <c r="R55" s="273"/>
      <c r="S55" s="273"/>
      <c r="T55" s="575">
        <f ca="1"/>
        <v>0.03</v>
      </c>
      <c r="U55" s="572">
        <f ca="1"/>
        <v>47</v>
      </c>
      <c r="V55" s="484">
        <f ca="1">IF('CDO Bespoke'!O56&lt;&gt;"",'CDO Bespoke'!O56,"")</f>
        <v>9.8675637180634199E-2</v>
      </c>
      <c r="W55" s="640">
        <f t="shared" ca="1" si="1"/>
        <v>0</v>
      </c>
      <c r="X55" s="640">
        <f t="shared" ca="1" si="0"/>
        <v>9.8675637180634199E-2</v>
      </c>
      <c r="Y55" s="488">
        <f t="shared" ca="1" si="2"/>
        <v>0</v>
      </c>
      <c r="Z55" s="484">
        <f ca="1">IF('CDO Bespoke'!O56&lt;&gt;"",'CDO Bespoke'!O56,"")</f>
        <v>9.8675637180634199E-2</v>
      </c>
      <c r="AA55" s="640">
        <f ca="1">IF(Z55&lt;&gt;"",ABS(MIN(-0.6*'CDO Bespoke'!K56+'CDO Bespoke'!T56*'CDO Bespoke'!K56,0)),"")</f>
        <v>7.1353728725807378E-2</v>
      </c>
      <c r="AB55" s="640">
        <f t="shared" ca="1" si="3"/>
        <v>2.7321908454826821E-2</v>
      </c>
      <c r="AC55" s="488">
        <f t="shared" ca="1" si="4"/>
        <v>0</v>
      </c>
      <c r="AD55" s="272"/>
      <c r="AE55" s="493" t="str">
        <f ca="1">IF('CDO Bespoke'!C80&lt;&gt;"",'CDO Bespoke'!C80,"")</f>
        <v>COMPASS GROUP PLC</v>
      </c>
      <c r="AF55" s="495">
        <f ca="1"/>
        <v>-1.3617013017164226E-4</v>
      </c>
      <c r="AG55" s="583">
        <f ca="1"/>
        <v>7.3297290015261751E-4</v>
      </c>
      <c r="AH55" s="583">
        <f ca="1"/>
        <v>5.3905561797629176E-3</v>
      </c>
      <c r="AI55" s="583">
        <f ca="1"/>
        <v>0.49811805578003909</v>
      </c>
      <c r="AJ55" s="496">
        <f ca="1"/>
        <v>0</v>
      </c>
      <c r="AK55" s="618">
        <f ca="1"/>
        <v>0</v>
      </c>
      <c r="AL55" s="495">
        <f ca="1"/>
        <v>3.4320098469750593E-4</v>
      </c>
      <c r="AM55" s="583">
        <f ca="1"/>
        <v>1.6580587216012341E-3</v>
      </c>
      <c r="AN55" s="583">
        <f ca="1"/>
        <v>7.4412011278994494E-3</v>
      </c>
      <c r="AO55" s="583">
        <f ca="1"/>
        <v>0.49773512448639862</v>
      </c>
      <c r="AP55" s="496">
        <f ca="1"/>
        <v>0</v>
      </c>
      <c r="AQ55" s="618">
        <f ca="1"/>
        <v>0</v>
      </c>
      <c r="AR55" s="495">
        <f ca="1"/>
        <v>-2.1002777020565855E-2</v>
      </c>
      <c r="AS55" s="496">
        <f ca="1"/>
        <v>-2.4508580769405153E-2</v>
      </c>
      <c r="AT55" s="618">
        <f ca="1"/>
        <v>0</v>
      </c>
      <c r="AU55" s="495">
        <f ca="1"/>
        <v>-0.120930010255969</v>
      </c>
      <c r="AV55" s="496">
        <f ca="1"/>
        <v>-4.3127324927584032E-3</v>
      </c>
      <c r="AW55" s="618">
        <f ca="1"/>
        <v>0</v>
      </c>
    </row>
    <row r="56" spans="2:49">
      <c r="B56" s="516" t="s">
        <v>532</v>
      </c>
      <c r="C56" s="517" t="s">
        <v>66</v>
      </c>
      <c r="D56" s="517" t="s">
        <v>57</v>
      </c>
      <c r="E56" s="517" t="s">
        <v>645</v>
      </c>
      <c r="F56" s="517" t="s">
        <v>668</v>
      </c>
      <c r="G56" s="524">
        <v>0.01</v>
      </c>
      <c r="H56" s="524">
        <v>5.025E-3</v>
      </c>
      <c r="I56" s="526">
        <v>0.4</v>
      </c>
      <c r="J56" s="592">
        <v>5</v>
      </c>
      <c r="K56" s="518">
        <v>11</v>
      </c>
      <c r="L56" s="272"/>
      <c r="M56" s="272"/>
      <c r="P56" s="273"/>
      <c r="Q56" s="273"/>
      <c r="R56" s="273"/>
      <c r="S56" s="273"/>
      <c r="T56" s="575">
        <f ca="1"/>
        <v>0.06</v>
      </c>
      <c r="U56" s="572">
        <f ca="1"/>
        <v>48</v>
      </c>
      <c r="V56" s="484">
        <f ca="1">IF('CDO Bespoke'!O57&lt;&gt;"",'CDO Bespoke'!O57,"")</f>
        <v>9.81757544384632E-2</v>
      </c>
      <c r="W56" s="640">
        <f t="shared" ca="1" si="1"/>
        <v>0</v>
      </c>
      <c r="X56" s="640">
        <f t="shared" ca="1" si="0"/>
        <v>9.81757544384632E-2</v>
      </c>
      <c r="Y56" s="488">
        <f t="shared" ca="1" si="2"/>
        <v>0</v>
      </c>
      <c r="Z56" s="484">
        <f ca="1">IF('CDO Bespoke'!O57&lt;&gt;"",'CDO Bespoke'!O57,"")</f>
        <v>9.81757544384632E-2</v>
      </c>
      <c r="AA56" s="640">
        <f ca="1">IF(Z56&lt;&gt;"",ABS(MIN(-0.6*'CDO Bespoke'!K57+'CDO Bespoke'!T57*'CDO Bespoke'!K57,0)),"")</f>
        <v>8.2438755699560176E-2</v>
      </c>
      <c r="AB56" s="640">
        <f t="shared" ca="1" si="3"/>
        <v>1.5736998738903024E-2</v>
      </c>
      <c r="AC56" s="488">
        <f t="shared" ca="1" si="4"/>
        <v>0</v>
      </c>
      <c r="AD56" s="272"/>
      <c r="AE56" s="493" t="str">
        <f ca="1">IF('CDO Bespoke'!C81&lt;&gt;"",'CDO Bespoke'!C81,"")</f>
        <v>DANONE</v>
      </c>
      <c r="AF56" s="495">
        <f ca="1"/>
        <v>-4.0123831979155256E-4</v>
      </c>
      <c r="AG56" s="583">
        <f ca="1"/>
        <v>-1.0063683997252326E-4</v>
      </c>
      <c r="AH56" s="583">
        <f ca="1"/>
        <v>2.9587422600840796E-3</v>
      </c>
      <c r="AI56" s="583">
        <f ca="1"/>
        <v>0.62691776767986873</v>
      </c>
      <c r="AJ56" s="496">
        <f ca="1"/>
        <v>0</v>
      </c>
      <c r="AK56" s="618">
        <f ca="1"/>
        <v>0</v>
      </c>
      <c r="AL56" s="495">
        <f ca="1"/>
        <v>3.4909031209999497E-4</v>
      </c>
      <c r="AM56" s="583">
        <f ca="1"/>
        <v>1.6970013124980102E-3</v>
      </c>
      <c r="AN56" s="583">
        <f ca="1"/>
        <v>7.4988312328974974E-3</v>
      </c>
      <c r="AO56" s="583">
        <f ca="1"/>
        <v>0.60748321514109827</v>
      </c>
      <c r="AP56" s="496">
        <f ca="1"/>
        <v>0</v>
      </c>
      <c r="AQ56" s="618">
        <f ca="1"/>
        <v>0</v>
      </c>
      <c r="AR56" s="495">
        <f ca="1"/>
        <v>-1.513793794920254E-2</v>
      </c>
      <c r="AS56" s="496">
        <f ca="1"/>
        <v>-3.0031600611635456E-2</v>
      </c>
      <c r="AT56" s="618">
        <f ca="1"/>
        <v>0</v>
      </c>
      <c r="AU56" s="495">
        <f ca="1"/>
        <v>-0.11629872217582379</v>
      </c>
      <c r="AV56" s="496">
        <f ca="1"/>
        <v>-9.7049667516071331E-4</v>
      </c>
      <c r="AW56" s="618">
        <f ca="1"/>
        <v>0</v>
      </c>
    </row>
    <row r="57" spans="2:49">
      <c r="B57" s="533" t="s">
        <v>532</v>
      </c>
      <c r="C57" s="534" t="s">
        <v>66</v>
      </c>
      <c r="D57" s="534" t="s">
        <v>59</v>
      </c>
      <c r="E57" s="534" t="s">
        <v>645</v>
      </c>
      <c r="F57" s="534" t="s">
        <v>668</v>
      </c>
      <c r="G57" s="535">
        <v>0.01</v>
      </c>
      <c r="H57" s="535">
        <v>7.2620000000000002E-3</v>
      </c>
      <c r="I57" s="536">
        <v>0.4</v>
      </c>
      <c r="J57" s="593">
        <v>5</v>
      </c>
      <c r="K57" s="537">
        <v>11</v>
      </c>
      <c r="L57" s="272"/>
      <c r="M57" s="272"/>
      <c r="P57" s="273"/>
      <c r="Q57" s="273"/>
      <c r="R57" s="273"/>
      <c r="S57" s="273"/>
      <c r="T57" s="575">
        <f ca="1"/>
        <v>0.03</v>
      </c>
      <c r="U57" s="572">
        <f ca="1"/>
        <v>49</v>
      </c>
      <c r="V57" s="484">
        <f ca="1">IF('CDO Bespoke'!O58&lt;&gt;"",'CDO Bespoke'!O58,"")</f>
        <v>9.8459187113801194E-2</v>
      </c>
      <c r="W57" s="640">
        <f t="shared" ca="1" si="1"/>
        <v>0</v>
      </c>
      <c r="X57" s="640">
        <f t="shared" ca="1" si="0"/>
        <v>9.8459187113801194E-2</v>
      </c>
      <c r="Y57" s="488">
        <f t="shared" ca="1" si="2"/>
        <v>0</v>
      </c>
      <c r="Z57" s="484">
        <f ca="1">IF('CDO Bespoke'!O58&lt;&gt;"",'CDO Bespoke'!O58,"")</f>
        <v>9.8459187113801194E-2</v>
      </c>
      <c r="AA57" s="640">
        <f ca="1">IF(Z57&lt;&gt;"",ABS(MIN(-0.6*'CDO Bespoke'!K58+'CDO Bespoke'!T58*'CDO Bespoke'!K58,0)),"")</f>
        <v>7.7189595616806661E-2</v>
      </c>
      <c r="AB57" s="640">
        <f t="shared" ca="1" si="3"/>
        <v>2.1269591496994533E-2</v>
      </c>
      <c r="AC57" s="488">
        <f t="shared" ca="1" si="4"/>
        <v>0</v>
      </c>
      <c r="AD57" s="272"/>
      <c r="AE57" s="493" t="str">
        <f ca="1">IF('CDO Bespoke'!C82&lt;&gt;"",'CDO Bespoke'!C82,"")</f>
        <v>DIAGEO PLC</v>
      </c>
      <c r="AF57" s="495">
        <f ca="1"/>
        <v>-4.2277103701193752E-3</v>
      </c>
      <c r="AG57" s="583">
        <f ca="1"/>
        <v>-1.7091321560247508E-2</v>
      </c>
      <c r="AH57" s="583">
        <f ca="1"/>
        <v>-6.6795119200158126E-2</v>
      </c>
      <c r="AI57" s="583">
        <f ca="1"/>
        <v>1.1529305232799159</v>
      </c>
      <c r="AJ57" s="496">
        <f ca="1"/>
        <v>0</v>
      </c>
      <c r="AK57" s="618">
        <f ca="1"/>
        <v>0</v>
      </c>
      <c r="AL57" s="495">
        <f ca="1"/>
        <v>-1.3226283309894504E-3</v>
      </c>
      <c r="AM57" s="583">
        <f ca="1"/>
        <v>-6.1733349719997332E-3</v>
      </c>
      <c r="AN57" s="583">
        <f ca="1"/>
        <v>-2.9161431196016163E-2</v>
      </c>
      <c r="AO57" s="583">
        <f ca="1"/>
        <v>0.90759214908898989</v>
      </c>
      <c r="AP57" s="496">
        <f ca="1"/>
        <v>0</v>
      </c>
      <c r="AQ57" s="618">
        <f ca="1"/>
        <v>0</v>
      </c>
      <c r="AR57" s="495">
        <f ca="1"/>
        <v>1.1218578203592566E-2</v>
      </c>
      <c r="AS57" s="496">
        <f ca="1"/>
        <v>-2.836459128902552E-2</v>
      </c>
      <c r="AT57" s="618">
        <f ca="1"/>
        <v>0</v>
      </c>
      <c r="AU57" s="495">
        <f ca="1"/>
        <v>-9.1361570559093178E-2</v>
      </c>
      <c r="AV57" s="496">
        <f ca="1"/>
        <v>0.10111256707860046</v>
      </c>
      <c r="AW57" s="618">
        <f ca="1"/>
        <v>0</v>
      </c>
    </row>
    <row r="58" spans="2:49">
      <c r="B58" s="538" t="s">
        <v>516</v>
      </c>
      <c r="C58" s="539" t="s">
        <v>66</v>
      </c>
      <c r="D58" s="539" t="s">
        <v>55</v>
      </c>
      <c r="E58" s="539" t="s">
        <v>645</v>
      </c>
      <c r="F58" s="539" t="s">
        <v>646</v>
      </c>
      <c r="G58" s="540">
        <v>0.01</v>
      </c>
      <c r="H58" s="540">
        <v>2.2030000000000001E-3</v>
      </c>
      <c r="I58" s="541">
        <v>0.4</v>
      </c>
      <c r="J58" s="600">
        <v>4</v>
      </c>
      <c r="K58" s="542">
        <v>12</v>
      </c>
      <c r="L58" s="272"/>
      <c r="M58" s="272"/>
      <c r="P58" s="273"/>
      <c r="Q58" s="273"/>
      <c r="R58" s="273"/>
      <c r="S58" s="273"/>
      <c r="T58" s="575">
        <f ca="1"/>
        <v>0.06</v>
      </c>
      <c r="U58" s="572">
        <f ca="1"/>
        <v>50</v>
      </c>
      <c r="V58" s="484">
        <f ca="1">IF('CDO Bespoke'!O59&lt;&gt;"",'CDO Bespoke'!O59,"")</f>
        <v>8.6608886972192198E-2</v>
      </c>
      <c r="W58" s="640">
        <f t="shared" ca="1" si="1"/>
        <v>0</v>
      </c>
      <c r="X58" s="640">
        <f t="shared" ca="1" si="0"/>
        <v>8.6608886972192198E-2</v>
      </c>
      <c r="Y58" s="488">
        <f t="shared" ca="1" si="2"/>
        <v>0</v>
      </c>
      <c r="Z58" s="484">
        <f ca="1">IF('CDO Bespoke'!O59&lt;&gt;"",'CDO Bespoke'!O59,"")</f>
        <v>8.6608886972192198E-2</v>
      </c>
      <c r="AA58" s="640">
        <f ca="1">IF(Z58&lt;&gt;"",ABS(MIN(-0.6*'CDO Bespoke'!K59+'CDO Bespoke'!T59*'CDO Bespoke'!K59,0)),"")</f>
        <v>8.9754941131433369E-2</v>
      </c>
      <c r="AB58" s="640">
        <f t="shared" ca="1" si="3"/>
        <v>0</v>
      </c>
      <c r="AC58" s="488">
        <f t="shared" ca="1" si="4"/>
        <v>0</v>
      </c>
      <c r="AD58" s="272"/>
      <c r="AE58" s="493" t="str">
        <f ca="1">IF('CDO Bespoke'!C83&lt;&gt;"",'CDO Bespoke'!C83,"")</f>
        <v>ELO</v>
      </c>
      <c r="AF58" s="495">
        <f ca="1"/>
        <v>-3.6936015601618521E-3</v>
      </c>
      <c r="AG58" s="583">
        <f ca="1"/>
        <v>-1.4447120920135781E-2</v>
      </c>
      <c r="AH58" s="583">
        <f ca="1"/>
        <v>-5.7530145440298774E-2</v>
      </c>
      <c r="AI58" s="583">
        <f ca="1"/>
        <v>1.101097632359993</v>
      </c>
      <c r="AJ58" s="496">
        <f ca="1"/>
        <v>0</v>
      </c>
      <c r="AK58" s="618">
        <f ca="1"/>
        <v>0</v>
      </c>
      <c r="AL58" s="495">
        <f ca="1"/>
        <v>-1.0910703259967014E-3</v>
      </c>
      <c r="AM58" s="583">
        <f ca="1"/>
        <v>-5.2213885310022079E-3</v>
      </c>
      <c r="AN58" s="583">
        <f ca="1"/>
        <v>-2.6011723207007564E-2</v>
      </c>
      <c r="AO58" s="583">
        <f ca="1"/>
        <v>0.87830369699498989</v>
      </c>
      <c r="AP58" s="496">
        <f ca="1"/>
        <v>0</v>
      </c>
      <c r="AQ58" s="618">
        <f ca="1"/>
        <v>0</v>
      </c>
      <c r="AR58" s="495">
        <f ca="1"/>
        <v>9.8608093268558461E-3</v>
      </c>
      <c r="AS58" s="496">
        <f ca="1"/>
        <v>-2.909331543440985E-2</v>
      </c>
      <c r="AT58" s="618">
        <f ca="1"/>
        <v>0</v>
      </c>
      <c r="AU58" s="495">
        <f ca="1"/>
        <v>-8.8732040472988494E-2</v>
      </c>
      <c r="AV58" s="496">
        <f ca="1"/>
        <v>9.3464786975341593E-2</v>
      </c>
      <c r="AW58" s="618">
        <f ca="1"/>
        <v>0</v>
      </c>
    </row>
    <row r="59" spans="2:49">
      <c r="B59" s="516" t="s">
        <v>516</v>
      </c>
      <c r="C59" s="517" t="s">
        <v>66</v>
      </c>
      <c r="D59" s="517" t="s">
        <v>57</v>
      </c>
      <c r="E59" s="517" t="s">
        <v>645</v>
      </c>
      <c r="F59" s="517" t="s">
        <v>646</v>
      </c>
      <c r="G59" s="524">
        <v>0.01</v>
      </c>
      <c r="H59" s="524">
        <v>3.3639999999999998E-3</v>
      </c>
      <c r="I59" s="526">
        <v>0.4</v>
      </c>
      <c r="J59" s="592">
        <v>4</v>
      </c>
      <c r="K59" s="518">
        <v>12</v>
      </c>
      <c r="L59" s="272"/>
      <c r="M59" s="272"/>
      <c r="P59" s="273"/>
      <c r="Q59" s="273"/>
      <c r="R59" s="273"/>
      <c r="S59" s="273"/>
      <c r="T59" s="575">
        <f ca="1"/>
        <v>0.06</v>
      </c>
      <c r="U59" s="572">
        <f ca="1"/>
        <v>51</v>
      </c>
      <c r="V59" s="484">
        <f ca="1">IF('CDO Bespoke'!O60&lt;&gt;"",'CDO Bespoke'!O60,"")</f>
        <v>9.8384729989293193E-2</v>
      </c>
      <c r="W59" s="640">
        <f t="shared" ca="1" si="1"/>
        <v>0</v>
      </c>
      <c r="X59" s="640">
        <f t="shared" ca="1" si="0"/>
        <v>9.8384729989293193E-2</v>
      </c>
      <c r="Y59" s="488">
        <f t="shared" ca="1" si="2"/>
        <v>0</v>
      </c>
      <c r="Z59" s="484">
        <f ca="1">IF('CDO Bespoke'!O60&lt;&gt;"",'CDO Bespoke'!O60,"")</f>
        <v>9.8384729989293193E-2</v>
      </c>
      <c r="AA59" s="640">
        <f ca="1">IF(Z59&lt;&gt;"",ABS(MIN(-0.6*'CDO Bespoke'!K60+'CDO Bespoke'!T60*'CDO Bespoke'!K60,0)),"")</f>
        <v>7.87699873955931E-2</v>
      </c>
      <c r="AB59" s="640">
        <f t="shared" ca="1" si="3"/>
        <v>1.9614742593700094E-2</v>
      </c>
      <c r="AC59" s="488">
        <f t="shared" ca="1" si="4"/>
        <v>0</v>
      </c>
      <c r="AD59" s="272"/>
      <c r="AE59" s="493" t="str">
        <f ca="1">IF('CDO Bespoke'!C84&lt;&gt;"",'CDO Bespoke'!C84,"")</f>
        <v>Heineken N.V.</v>
      </c>
      <c r="AF59" s="495">
        <f ca="1"/>
        <v>-3.0894834024408624E-4</v>
      </c>
      <c r="AG59" s="583">
        <f ca="1"/>
        <v>1.938331400941351E-4</v>
      </c>
      <c r="AH59" s="583">
        <f ca="1"/>
        <v>3.8442486000045406E-3</v>
      </c>
      <c r="AI59" s="583">
        <f ca="1"/>
        <v>0.58569945277975322</v>
      </c>
      <c r="AJ59" s="496">
        <f ca="1"/>
        <v>0</v>
      </c>
      <c r="AK59" s="618">
        <f ca="1"/>
        <v>0</v>
      </c>
      <c r="AL59" s="495">
        <f ca="1"/>
        <v>3.5291048469839048E-4</v>
      </c>
      <c r="AM59" s="583">
        <f ca="1"/>
        <v>1.7112852403970008E-3</v>
      </c>
      <c r="AN59" s="583">
        <f ca="1"/>
        <v>7.6082236530978717E-3</v>
      </c>
      <c r="AO59" s="583">
        <f ca="1"/>
        <v>0.57310570850039633</v>
      </c>
      <c r="AP59" s="496">
        <f ca="1"/>
        <v>0</v>
      </c>
      <c r="AQ59" s="618">
        <f ca="1"/>
        <v>0</v>
      </c>
      <c r="AR59" s="495">
        <f ca="1"/>
        <v>-1.7019404266770621E-2</v>
      </c>
      <c r="AS59" s="496">
        <f ca="1"/>
        <v>-2.83181916307364E-2</v>
      </c>
      <c r="AT59" s="618">
        <f ca="1"/>
        <v>0</v>
      </c>
      <c r="AU59" s="495">
        <f ca="1"/>
        <v>-0.11781540794311871</v>
      </c>
      <c r="AV59" s="496">
        <f ca="1"/>
        <v>-2.3128391464523855E-3</v>
      </c>
      <c r="AW59" s="618">
        <f ca="1"/>
        <v>0</v>
      </c>
    </row>
    <row r="60" spans="2:49">
      <c r="B60" s="533" t="s">
        <v>516</v>
      </c>
      <c r="C60" s="534" t="s">
        <v>66</v>
      </c>
      <c r="D60" s="534" t="s">
        <v>59</v>
      </c>
      <c r="E60" s="534" t="s">
        <v>645</v>
      </c>
      <c r="F60" s="534" t="s">
        <v>646</v>
      </c>
      <c r="G60" s="535">
        <v>0.01</v>
      </c>
      <c r="H60" s="535">
        <v>4.9129999999999998E-3</v>
      </c>
      <c r="I60" s="536">
        <v>0.4</v>
      </c>
      <c r="J60" s="593">
        <v>4</v>
      </c>
      <c r="K60" s="537">
        <v>12</v>
      </c>
      <c r="L60" s="272"/>
      <c r="M60" s="272"/>
      <c r="P60" s="273"/>
      <c r="Q60" s="273"/>
      <c r="R60" s="273"/>
      <c r="S60" s="273"/>
      <c r="T60" s="575">
        <f ca="1"/>
        <v>0.06</v>
      </c>
      <c r="U60" s="572">
        <f ca="1"/>
        <v>52</v>
      </c>
      <c r="V60" s="484">
        <f ca="1">IF('CDO Bespoke'!O61&lt;&gt;"",'CDO Bespoke'!O61,"")</f>
        <v>9.8660678509930197E-2</v>
      </c>
      <c r="W60" s="640">
        <f t="shared" ca="1" si="1"/>
        <v>0</v>
      </c>
      <c r="X60" s="640">
        <f t="shared" ca="1" si="0"/>
        <v>9.8660678509930197E-2</v>
      </c>
      <c r="Y60" s="488">
        <f t="shared" ca="1" si="2"/>
        <v>0</v>
      </c>
      <c r="Z60" s="484">
        <f ca="1">IF('CDO Bespoke'!O61&lt;&gt;"",'CDO Bespoke'!O61,"")</f>
        <v>9.8660678509930197E-2</v>
      </c>
      <c r="AA60" s="640">
        <f ca="1">IF(Z60&lt;&gt;"",ABS(MIN(-0.6*'CDO Bespoke'!K61+'CDO Bespoke'!T61*'CDO Bespoke'!K61,0)),"")</f>
        <v>7.1834469773132112E-2</v>
      </c>
      <c r="AB60" s="640">
        <f t="shared" ca="1" si="3"/>
        <v>2.6826208736798085E-2</v>
      </c>
      <c r="AC60" s="488">
        <f t="shared" ca="1" si="4"/>
        <v>0</v>
      </c>
      <c r="AD60" s="272"/>
      <c r="AE60" s="493" t="str">
        <f ca="1">IF('CDO Bespoke'!C85&lt;&gt;"",'CDO Bespoke'!C85,"")</f>
        <v>Henkel AG &amp; Co. KGaA</v>
      </c>
      <c r="AF60" s="495">
        <f ca="1"/>
        <v>-7.176647998097252E-5</v>
      </c>
      <c r="AG60" s="583">
        <f ca="1"/>
        <v>9.9706227996154695E-4</v>
      </c>
      <c r="AH60" s="583">
        <f ca="1"/>
        <v>6.3133924299574318E-3</v>
      </c>
      <c r="AI60" s="583">
        <f ca="1"/>
        <v>0.47384487533996822</v>
      </c>
      <c r="AJ60" s="496">
        <f ca="1"/>
        <v>0</v>
      </c>
      <c r="AK60" s="618">
        <f ca="1"/>
        <v>0</v>
      </c>
      <c r="AL60" s="495">
        <f ca="1"/>
        <v>3.3665709049928577E-4</v>
      </c>
      <c r="AM60" s="583">
        <f ca="1"/>
        <v>1.6256361584990331E-3</v>
      </c>
      <c r="AN60" s="583">
        <f ca="1"/>
        <v>7.3143787587999498E-3</v>
      </c>
      <c r="AO60" s="583">
        <f ca="1"/>
        <v>0.47676643691469883</v>
      </c>
      <c r="AP60" s="496">
        <f ca="1"/>
        <v>0</v>
      </c>
      <c r="AQ60" s="618">
        <f ca="1"/>
        <v>0</v>
      </c>
      <c r="AR60" s="495">
        <f ca="1"/>
        <v>-2.2053379375170656E-2</v>
      </c>
      <c r="AS60" s="496">
        <f ca="1"/>
        <v>-2.3451150541139332E-2</v>
      </c>
      <c r="AT60" s="618">
        <f ca="1"/>
        <v>0</v>
      </c>
      <c r="AU60" s="495">
        <f ca="1"/>
        <v>-0.1217094141006107</v>
      </c>
      <c r="AV60" s="496">
        <f ca="1"/>
        <v>-4.6559460039151124E-3</v>
      </c>
      <c r="AW60" s="618">
        <f ca="1"/>
        <v>0</v>
      </c>
    </row>
    <row r="61" spans="2:49">
      <c r="B61" s="538" t="s">
        <v>610</v>
      </c>
      <c r="C61" s="539" t="s">
        <v>66</v>
      </c>
      <c r="D61" s="539" t="s">
        <v>55</v>
      </c>
      <c r="E61" s="539" t="s">
        <v>647</v>
      </c>
      <c r="F61" s="539" t="s">
        <v>646</v>
      </c>
      <c r="G61" s="540">
        <v>0.01</v>
      </c>
      <c r="H61" s="540">
        <v>5.3819999999999996E-3</v>
      </c>
      <c r="I61" s="541">
        <v>0.4</v>
      </c>
      <c r="J61" s="600">
        <v>4</v>
      </c>
      <c r="K61" s="542">
        <v>13</v>
      </c>
      <c r="L61" s="272"/>
      <c r="M61" s="272"/>
      <c r="P61" s="273"/>
      <c r="Q61" s="273"/>
      <c r="R61" s="273"/>
      <c r="S61" s="273"/>
      <c r="T61" s="575">
        <f ca="1"/>
        <v>0.02</v>
      </c>
      <c r="U61" s="572">
        <f ca="1"/>
        <v>53</v>
      </c>
      <c r="V61" s="484">
        <f ca="1">IF('CDO Bespoke'!O62&lt;&gt;"",'CDO Bespoke'!O62,"")</f>
        <v>9.6555401937515203E-2</v>
      </c>
      <c r="W61" s="640">
        <f t="shared" ca="1" si="1"/>
        <v>0</v>
      </c>
      <c r="X61" s="640">
        <f t="shared" ca="1" si="0"/>
        <v>9.6555401937515203E-2</v>
      </c>
      <c r="Y61" s="488">
        <f t="shared" ca="1" si="2"/>
        <v>0</v>
      </c>
      <c r="Z61" s="484">
        <f ca="1">IF('CDO Bespoke'!O62&lt;&gt;"",'CDO Bespoke'!O62,"")</f>
        <v>9.6555401937515203E-2</v>
      </c>
      <c r="AA61" s="640">
        <f ca="1">IF(Z61&lt;&gt;"",ABS(MIN(-0.6*'CDO Bespoke'!K62+'CDO Bespoke'!T62*'CDO Bespoke'!K62,0)),"")</f>
        <v>9.4961636341624245E-2</v>
      </c>
      <c r="AB61" s="640">
        <f t="shared" ca="1" si="3"/>
        <v>1.5937655958909586E-3</v>
      </c>
      <c r="AC61" s="488">
        <f t="shared" ca="1" si="4"/>
        <v>0</v>
      </c>
      <c r="AD61" s="272"/>
      <c r="AE61" s="493" t="str">
        <f ca="1">IF('CDO Bespoke'!C86&lt;&gt;"",'CDO Bespoke'!C86,"")</f>
        <v>IMPERIAL BRANDS PLC</v>
      </c>
      <c r="AF61" s="495">
        <f ca="1"/>
        <v>-1.1963021501193438E-3</v>
      </c>
      <c r="AG61" s="583">
        <f ca="1"/>
        <v>-3.1206195499899891E-3</v>
      </c>
      <c r="AH61" s="583">
        <f ca="1"/>
        <v>-8.2163165099347069E-3</v>
      </c>
      <c r="AI61" s="583">
        <f ca="1"/>
        <v>0.86532880024969838</v>
      </c>
      <c r="AJ61" s="496">
        <f ca="1"/>
        <v>0</v>
      </c>
      <c r="AK61" s="618">
        <f ca="1"/>
        <v>0</v>
      </c>
      <c r="AL61" s="495">
        <f ca="1"/>
        <v>1.7930558509965042E-4</v>
      </c>
      <c r="AM61" s="583">
        <f ca="1"/>
        <v>9.1309583960053411E-4</v>
      </c>
      <c r="AN61" s="583">
        <f ca="1"/>
        <v>3.4246081417996406E-3</v>
      </c>
      <c r="AO61" s="583">
        <f ca="1"/>
        <v>0.78859830819460019</v>
      </c>
      <c r="AP61" s="496">
        <f ca="1"/>
        <v>0</v>
      </c>
      <c r="AQ61" s="618">
        <f ca="1"/>
        <v>0</v>
      </c>
      <c r="AR61" s="495">
        <f ca="1"/>
        <v>-4.340765568928262E-3</v>
      </c>
      <c r="AS61" s="496">
        <f ca="1"/>
        <v>-3.817396762170272E-2</v>
      </c>
      <c r="AT61" s="618">
        <f ca="1"/>
        <v>0</v>
      </c>
      <c r="AU61" s="495">
        <f ca="1"/>
        <v>-0.10709244163107699</v>
      </c>
      <c r="AV61" s="496">
        <f ca="1"/>
        <v>1.3646279031601701E-2</v>
      </c>
      <c r="AW61" s="618">
        <f ca="1"/>
        <v>0</v>
      </c>
    </row>
    <row r="62" spans="2:49">
      <c r="B62" s="516" t="s">
        <v>610</v>
      </c>
      <c r="C62" s="517" t="s">
        <v>66</v>
      </c>
      <c r="D62" s="517" t="s">
        <v>57</v>
      </c>
      <c r="E62" s="517" t="s">
        <v>647</v>
      </c>
      <c r="F62" s="517" t="s">
        <v>646</v>
      </c>
      <c r="G62" s="524">
        <v>0.01</v>
      </c>
      <c r="H62" s="524">
        <v>8.8269999999999998E-3</v>
      </c>
      <c r="I62" s="526">
        <v>0.4</v>
      </c>
      <c r="J62" s="592">
        <v>4</v>
      </c>
      <c r="K62" s="518">
        <v>13</v>
      </c>
      <c r="L62" s="272"/>
      <c r="M62" s="272"/>
      <c r="P62" s="273"/>
      <c r="Q62" s="273"/>
      <c r="R62" s="273"/>
      <c r="S62" s="273"/>
      <c r="T62" s="575">
        <f ca="1"/>
        <v>0.02</v>
      </c>
      <c r="U62" s="572">
        <f ca="1"/>
        <v>54</v>
      </c>
      <c r="V62" s="484">
        <f ca="1">IF('CDO Bespoke'!O63&lt;&gt;"",'CDO Bespoke'!O63,"")</f>
        <v>9.7869610422696193E-2</v>
      </c>
      <c r="W62" s="640">
        <f t="shared" ca="1" si="1"/>
        <v>0</v>
      </c>
      <c r="X62" s="640">
        <f t="shared" ca="1" si="0"/>
        <v>9.7869610422696193E-2</v>
      </c>
      <c r="Y62" s="488">
        <f t="shared" ca="1" si="2"/>
        <v>0</v>
      </c>
      <c r="Z62" s="484">
        <f ca="1">IF('CDO Bespoke'!O63&lt;&gt;"",'CDO Bespoke'!O63,"")</f>
        <v>9.7869610422696193E-2</v>
      </c>
      <c r="AA62" s="640">
        <f ca="1">IF(Z62&lt;&gt;"",ABS(MIN(-0.6*'CDO Bespoke'!K63+'CDO Bespoke'!T63*'CDO Bespoke'!K63,0)),"")</f>
        <v>8.6417309104292711E-2</v>
      </c>
      <c r="AB62" s="640">
        <f t="shared" ca="1" si="3"/>
        <v>1.1452301318403482E-2</v>
      </c>
      <c r="AC62" s="488">
        <f t="shared" ca="1" si="4"/>
        <v>0</v>
      </c>
      <c r="AD62" s="272"/>
      <c r="AE62" s="493" t="str">
        <f ca="1">IF('CDO Bespoke'!C87&lt;&gt;"",'CDO Bespoke'!C87,"")</f>
        <v>Kering</v>
      </c>
      <c r="AF62" s="495">
        <f ca="1"/>
        <v>-5.4417515993332444E-4</v>
      </c>
      <c r="AG62" s="583">
        <f ca="1"/>
        <v>-5.953261600355475E-4</v>
      </c>
      <c r="AH62" s="583">
        <f ca="1"/>
        <v>1.3267713899756117E-3</v>
      </c>
      <c r="AI62" s="583">
        <f ca="1"/>
        <v>0.68178090530002233</v>
      </c>
      <c r="AJ62" s="496">
        <f ca="1"/>
        <v>0</v>
      </c>
      <c r="AK62" s="618">
        <f ca="1"/>
        <v>0</v>
      </c>
      <c r="AL62" s="495">
        <f ca="1"/>
        <v>3.3452694980003889E-4</v>
      </c>
      <c r="AM62" s="583">
        <f ca="1"/>
        <v>1.6330581316002443E-3</v>
      </c>
      <c r="AN62" s="583">
        <f ca="1"/>
        <v>7.1340546129025281E-3</v>
      </c>
      <c r="AO62" s="583">
        <f ca="1"/>
        <v>0.65193671245130069</v>
      </c>
      <c r="AP62" s="496">
        <f ca="1"/>
        <v>0</v>
      </c>
      <c r="AQ62" s="618">
        <f ca="1"/>
        <v>0</v>
      </c>
      <c r="AR62" s="495">
        <f ca="1"/>
        <v>-1.264981503039353E-2</v>
      </c>
      <c r="AS62" s="496">
        <f ca="1"/>
        <v>-3.2201098797003447E-2</v>
      </c>
      <c r="AT62" s="618">
        <f ca="1"/>
        <v>0</v>
      </c>
      <c r="AU62" s="495">
        <f ca="1"/>
        <v>-0.1142593395140554</v>
      </c>
      <c r="AV62" s="496">
        <f ca="1"/>
        <v>1.2512016906170986E-3</v>
      </c>
      <c r="AW62" s="618">
        <f ca="1"/>
        <v>0</v>
      </c>
    </row>
    <row r="63" spans="2:49">
      <c r="B63" s="533" t="s">
        <v>610</v>
      </c>
      <c r="C63" s="534" t="s">
        <v>66</v>
      </c>
      <c r="D63" s="534" t="s">
        <v>59</v>
      </c>
      <c r="E63" s="534" t="s">
        <v>647</v>
      </c>
      <c r="F63" s="534" t="s">
        <v>646</v>
      </c>
      <c r="G63" s="535">
        <v>0.01</v>
      </c>
      <c r="H63" s="535">
        <v>1.2491E-2</v>
      </c>
      <c r="I63" s="536">
        <v>0.4</v>
      </c>
      <c r="J63" s="593">
        <v>4</v>
      </c>
      <c r="K63" s="537">
        <v>13</v>
      </c>
      <c r="L63" s="272"/>
      <c r="M63" s="272"/>
      <c r="P63" s="273"/>
      <c r="Q63" s="273"/>
      <c r="R63" s="273"/>
      <c r="S63" s="273"/>
      <c r="T63" s="575">
        <f ca="1"/>
        <v>0.06</v>
      </c>
      <c r="U63" s="572">
        <f ca="1"/>
        <v>55</v>
      </c>
      <c r="V63" s="484">
        <f ca="1">IF('CDO Bespoke'!O64&lt;&gt;"",'CDO Bespoke'!O64,"")</f>
        <v>9.8362336560103195E-2</v>
      </c>
      <c r="W63" s="640">
        <f t="shared" ca="1" si="1"/>
        <v>0</v>
      </c>
      <c r="X63" s="640">
        <f t="shared" ca="1" si="0"/>
        <v>9.8362336560103195E-2</v>
      </c>
      <c r="Y63" s="488">
        <f t="shared" ca="1" si="2"/>
        <v>0</v>
      </c>
      <c r="Z63" s="484">
        <f ca="1">IF('CDO Bespoke'!O64&lt;&gt;"",'CDO Bespoke'!O64,"")</f>
        <v>9.8362336560103195E-2</v>
      </c>
      <c r="AA63" s="640">
        <f ca="1">IF(Z63&lt;&gt;"",ABS(MIN(-0.6*'CDO Bespoke'!K64+'CDO Bespoke'!T64*'CDO Bespoke'!K64,0)),"")</f>
        <v>7.9213251389210121E-2</v>
      </c>
      <c r="AB63" s="640">
        <f t="shared" ca="1" si="3"/>
        <v>1.9149085170893074E-2</v>
      </c>
      <c r="AC63" s="488">
        <f t="shared" ca="1" si="4"/>
        <v>0</v>
      </c>
      <c r="AD63" s="272"/>
      <c r="AE63" s="493" t="str">
        <f ca="1">IF('CDO Bespoke'!C88&lt;&gt;"",'CDO Bespoke'!C88,"")</f>
        <v>Koninklijke Ahold Delhaize N.V.</v>
      </c>
      <c r="AF63" s="495">
        <f ca="1"/>
        <v>-4.6186914298695925E-3</v>
      </c>
      <c r="AG63" s="583">
        <f ca="1"/>
        <v>-1.8903215390220218E-2</v>
      </c>
      <c r="AH63" s="583">
        <f ca="1"/>
        <v>-7.4729725080269205E-2</v>
      </c>
      <c r="AI63" s="583">
        <f ca="1"/>
        <v>1.1408321691097623</v>
      </c>
      <c r="AJ63" s="496">
        <f ca="1"/>
        <v>0</v>
      </c>
      <c r="AK63" s="618">
        <f ca="1"/>
        <v>0</v>
      </c>
      <c r="AL63" s="495">
        <f ca="1"/>
        <v>-1.5991471439755212E-3</v>
      </c>
      <c r="AM63" s="583">
        <f ca="1"/>
        <v>-7.4832416959921821E-3</v>
      </c>
      <c r="AN63" s="583">
        <f ca="1"/>
        <v>-3.495639170399828E-2</v>
      </c>
      <c r="AO63" s="583">
        <f ca="1"/>
        <v>0.87926851707602338</v>
      </c>
      <c r="AP63" s="496">
        <f ca="1"/>
        <v>0</v>
      </c>
      <c r="AQ63" s="618">
        <f ca="1"/>
        <v>0</v>
      </c>
      <c r="AR63" s="495">
        <f ca="1"/>
        <v>1.2027308917268165E-2</v>
      </c>
      <c r="AS63" s="496">
        <f ca="1"/>
        <v>-2.2880866342631145E-2</v>
      </c>
      <c r="AT63" s="618">
        <f ca="1"/>
        <v>0</v>
      </c>
      <c r="AU63" s="495">
        <f ca="1"/>
        <v>-8.9509156340903659E-2</v>
      </c>
      <c r="AV63" s="496">
        <f ca="1"/>
        <v>0.1192259539624493</v>
      </c>
      <c r="AW63" s="618">
        <f ca="1"/>
        <v>0</v>
      </c>
    </row>
    <row r="64" spans="2:49">
      <c r="B64" s="538" t="s">
        <v>517</v>
      </c>
      <c r="C64" s="539" t="s">
        <v>66</v>
      </c>
      <c r="D64" s="539" t="s">
        <v>55</v>
      </c>
      <c r="E64" s="539" t="s">
        <v>647</v>
      </c>
      <c r="F64" s="539" t="s">
        <v>646</v>
      </c>
      <c r="G64" s="540">
        <v>0.01</v>
      </c>
      <c r="H64" s="540">
        <v>2.905E-3</v>
      </c>
      <c r="I64" s="541">
        <v>0.4</v>
      </c>
      <c r="J64" s="600">
        <v>4</v>
      </c>
      <c r="K64" s="542">
        <v>14</v>
      </c>
      <c r="L64" s="272"/>
      <c r="M64" s="272"/>
      <c r="P64" s="273"/>
      <c r="Q64" s="273"/>
      <c r="R64" s="273"/>
      <c r="S64" s="273"/>
      <c r="T64" s="575">
        <f ca="1"/>
        <v>0.06</v>
      </c>
      <c r="U64" s="572">
        <f ca="1"/>
        <v>56</v>
      </c>
      <c r="V64" s="484">
        <f ca="1">IF('CDO Bespoke'!O65&lt;&gt;"",'CDO Bespoke'!O65,"")</f>
        <v>9.7542971823266197E-2</v>
      </c>
      <c r="W64" s="640">
        <f t="shared" ca="1" si="1"/>
        <v>0</v>
      </c>
      <c r="X64" s="640">
        <f t="shared" ca="1" si="0"/>
        <v>9.7542971823266197E-2</v>
      </c>
      <c r="Y64" s="488">
        <f t="shared" ca="1" si="2"/>
        <v>0</v>
      </c>
      <c r="Z64" s="484">
        <f ca="1">IF('CDO Bespoke'!O65&lt;&gt;"",'CDO Bespoke'!O65,"")</f>
        <v>9.7542971823266197E-2</v>
      </c>
      <c r="AA64" s="640">
        <f ca="1">IF(Z64&lt;&gt;"",ABS(MIN(-0.6*'CDO Bespoke'!K65+'CDO Bespoke'!T65*'CDO Bespoke'!K65,0)),"")</f>
        <v>8.9503428115387432E-2</v>
      </c>
      <c r="AB64" s="640">
        <f t="shared" ca="1" si="3"/>
        <v>8.0395437078787657E-3</v>
      </c>
      <c r="AC64" s="488">
        <f t="shared" ca="1" si="4"/>
        <v>0</v>
      </c>
      <c r="AD64" s="272"/>
      <c r="AE64" s="493" t="str">
        <f ca="1">IF('CDO Bespoke'!C89&lt;&gt;"",'CDO Bespoke'!C89,"")</f>
        <v>Koninklijke Philips N.V.</v>
      </c>
      <c r="AF64" s="495">
        <f ca="1"/>
        <v>-6.7936295977677474E-4</v>
      </c>
      <c r="AG64" s="583">
        <f ca="1"/>
        <v>-1.08081203986643E-3</v>
      </c>
      <c r="AH64" s="583">
        <f ca="1"/>
        <v>-3.4967690021314723E-4</v>
      </c>
      <c r="AI64" s="583">
        <f ca="1"/>
        <v>0.72766628399001387</v>
      </c>
      <c r="AJ64" s="496">
        <f ca="1"/>
        <v>0</v>
      </c>
      <c r="AK64" s="618">
        <f ca="1"/>
        <v>0</v>
      </c>
      <c r="AL64" s="495">
        <f ca="1"/>
        <v>3.1245756139993558E-4</v>
      </c>
      <c r="AM64" s="583">
        <f ca="1"/>
        <v>1.532843421398096E-3</v>
      </c>
      <c r="AN64" s="583">
        <f ca="1"/>
        <v>6.6027362698997324E-3</v>
      </c>
      <c r="AO64" s="583">
        <f ca="1"/>
        <v>0.68799933248689726</v>
      </c>
      <c r="AP64" s="496">
        <f ca="1"/>
        <v>0</v>
      </c>
      <c r="AQ64" s="618">
        <f ca="1"/>
        <v>0</v>
      </c>
      <c r="AR64" s="495">
        <f ca="1"/>
        <v>-1.056331236196012E-2</v>
      </c>
      <c r="AS64" s="496">
        <f ca="1"/>
        <v>-3.3905199760077886E-2</v>
      </c>
      <c r="AT64" s="618">
        <f ca="1"/>
        <v>0</v>
      </c>
      <c r="AU64" s="495">
        <f ca="1"/>
        <v>-0.11250009794530234</v>
      </c>
      <c r="AV64" s="496">
        <f ca="1"/>
        <v>3.575584985750651E-3</v>
      </c>
      <c r="AW64" s="618">
        <f ca="1"/>
        <v>0</v>
      </c>
    </row>
    <row r="65" spans="2:49">
      <c r="B65" s="516" t="s">
        <v>517</v>
      </c>
      <c r="C65" s="517" t="s">
        <v>66</v>
      </c>
      <c r="D65" s="517" t="s">
        <v>57</v>
      </c>
      <c r="E65" s="517" t="s">
        <v>647</v>
      </c>
      <c r="F65" s="517" t="s">
        <v>646</v>
      </c>
      <c r="G65" s="524">
        <v>0.01</v>
      </c>
      <c r="H65" s="524">
        <v>4.709E-2</v>
      </c>
      <c r="I65" s="526">
        <v>0.4</v>
      </c>
      <c r="J65" s="592">
        <v>4</v>
      </c>
      <c r="K65" s="518">
        <v>14</v>
      </c>
      <c r="L65" s="272"/>
      <c r="M65" s="272"/>
      <c r="P65" s="273"/>
      <c r="Q65" s="273"/>
      <c r="R65" s="273"/>
      <c r="S65" s="273"/>
      <c r="T65" s="575">
        <f ca="1"/>
        <v>0.06</v>
      </c>
      <c r="U65" s="572">
        <f ca="1"/>
        <v>57</v>
      </c>
      <c r="V65" s="484">
        <f ca="1">IF('CDO Bespoke'!O66&lt;&gt;"",'CDO Bespoke'!O66,"")</f>
        <v>9.4886869457965206E-2</v>
      </c>
      <c r="W65" s="640">
        <f t="shared" ca="1" si="1"/>
        <v>0</v>
      </c>
      <c r="X65" s="640">
        <f t="shared" ca="1" si="0"/>
        <v>9.4886869457965206E-2</v>
      </c>
      <c r="Y65" s="488">
        <f t="shared" ca="1" si="2"/>
        <v>0</v>
      </c>
      <c r="Z65" s="484">
        <f ca="1">IF('CDO Bespoke'!O66&lt;&gt;"",'CDO Bespoke'!O66,"")</f>
        <v>9.4886869457965206E-2</v>
      </c>
      <c r="AA65" s="640">
        <f ca="1">IF(Z65&lt;&gt;"",ABS(MIN(-0.6*'CDO Bespoke'!K66+'CDO Bespoke'!T66*'CDO Bespoke'!K66,0)),"")</f>
        <v>9.8260953368004153E-2</v>
      </c>
      <c r="AB65" s="640">
        <f t="shared" ca="1" si="3"/>
        <v>0</v>
      </c>
      <c r="AC65" s="488">
        <f t="shared" ca="1" si="4"/>
        <v>0</v>
      </c>
      <c r="AD65" s="272"/>
      <c r="AE65" s="493" t="str">
        <f ca="1">IF('CDO Bespoke'!C90&lt;&gt;"",'CDO Bespoke'!C90,"")</f>
        <v>Louis Dreyfus Company B.V.</v>
      </c>
      <c r="AF65" s="495">
        <f ca="1"/>
        <v>-1.9392807898421793E-3</v>
      </c>
      <c r="AG65" s="583">
        <f ca="1"/>
        <v>-6.251884899777238E-3</v>
      </c>
      <c r="AH65" s="583">
        <f ca="1"/>
        <v>-2.0777586670073234E-2</v>
      </c>
      <c r="AI65" s="583">
        <f ca="1"/>
        <v>0.99801639396990272</v>
      </c>
      <c r="AJ65" s="496">
        <f ca="1"/>
        <v>0</v>
      </c>
      <c r="AK65" s="618">
        <f ca="1"/>
        <v>0</v>
      </c>
      <c r="AL65" s="495">
        <f ca="1"/>
        <v>-1.1672677579935634E-4</v>
      </c>
      <c r="AM65" s="583">
        <f ca="1"/>
        <v>-4.858095665983761E-4</v>
      </c>
      <c r="AN65" s="583">
        <f ca="1"/>
        <v>-3.0945126734986325E-3</v>
      </c>
      <c r="AO65" s="583">
        <f ca="1"/>
        <v>0.87250175621219905</v>
      </c>
      <c r="AP65" s="496">
        <f ca="1"/>
        <v>0</v>
      </c>
      <c r="AQ65" s="618">
        <f ca="1"/>
        <v>0</v>
      </c>
      <c r="AR65" s="495">
        <f ca="1"/>
        <v>1.975115219517487E-3</v>
      </c>
      <c r="AS65" s="496">
        <f ca="1"/>
        <v>-4.007054771704649E-2</v>
      </c>
      <c r="AT65" s="618">
        <f ca="1"/>
        <v>0</v>
      </c>
      <c r="AU65" s="495">
        <f ca="1"/>
        <v>-0.1008983621136391</v>
      </c>
      <c r="AV65" s="496">
        <f ca="1"/>
        <v>3.1764806348948418E-2</v>
      </c>
      <c r="AW65" s="618">
        <f ca="1"/>
        <v>0</v>
      </c>
    </row>
    <row r="66" spans="2:49">
      <c r="B66" s="533" t="s">
        <v>517</v>
      </c>
      <c r="C66" s="534" t="s">
        <v>66</v>
      </c>
      <c r="D66" s="534" t="s">
        <v>59</v>
      </c>
      <c r="E66" s="534" t="s">
        <v>647</v>
      </c>
      <c r="F66" s="534" t="s">
        <v>646</v>
      </c>
      <c r="G66" s="535">
        <v>0.01</v>
      </c>
      <c r="H66" s="535">
        <v>6.6230000000000004E-3</v>
      </c>
      <c r="I66" s="536">
        <v>0.4</v>
      </c>
      <c r="J66" s="593">
        <v>4</v>
      </c>
      <c r="K66" s="537">
        <v>14</v>
      </c>
      <c r="L66" s="272"/>
      <c r="M66" s="272"/>
      <c r="P66" s="273"/>
      <c r="Q66" s="273"/>
      <c r="R66" s="273"/>
      <c r="S66" s="273"/>
      <c r="T66" s="575">
        <f ca="1"/>
        <v>0.06</v>
      </c>
      <c r="U66" s="572">
        <f ca="1"/>
        <v>58</v>
      </c>
      <c r="V66" s="484">
        <f ca="1">IF('CDO Bespoke'!O67&lt;&gt;"",'CDO Bespoke'!O67,"")</f>
        <v>9.8396463996670194E-2</v>
      </c>
      <c r="W66" s="640">
        <f t="shared" ca="1" si="1"/>
        <v>0</v>
      </c>
      <c r="X66" s="640">
        <f t="shared" ca="1" si="0"/>
        <v>9.8396463996670194E-2</v>
      </c>
      <c r="Y66" s="488">
        <f t="shared" ca="1" si="2"/>
        <v>0</v>
      </c>
      <c r="Z66" s="484">
        <f ca="1">IF('CDO Bespoke'!O67&lt;&gt;"",'CDO Bespoke'!O67,"")</f>
        <v>9.8396463996670194E-2</v>
      </c>
      <c r="AA66" s="640">
        <f ca="1">IF(Z66&lt;&gt;"",ABS(MIN(-0.6*'CDO Bespoke'!K67+'CDO Bespoke'!T67*'CDO Bespoke'!K67,0)),"")</f>
        <v>7.8532097113993476E-2</v>
      </c>
      <c r="AB66" s="640">
        <f t="shared" ca="1" si="3"/>
        <v>1.9864366882676718E-2</v>
      </c>
      <c r="AC66" s="488">
        <f t="shared" ca="1" si="4"/>
        <v>0</v>
      </c>
      <c r="AD66" s="272"/>
      <c r="AE66" s="493" t="str">
        <f ca="1">IF('CDO Bespoke'!C91&lt;&gt;"",'CDO Bespoke'!C91,"")</f>
        <v>LVMH MOET HENNESSY LOUIS VUITTON</v>
      </c>
      <c r="AF66" s="495">
        <f ca="1"/>
        <v>-3.0208808010634414E-4</v>
      </c>
      <c r="AG66" s="583">
        <f ca="1"/>
        <v>2.1646512970985299E-4</v>
      </c>
      <c r="AH66" s="583">
        <f ca="1"/>
        <v>3.9140901098022596E-3</v>
      </c>
      <c r="AI66" s="583">
        <f ca="1"/>
        <v>0.58259721678000087</v>
      </c>
      <c r="AJ66" s="496">
        <f ca="1"/>
        <v>0</v>
      </c>
      <c r="AK66" s="618">
        <f ca="1"/>
        <v>0</v>
      </c>
      <c r="AL66" s="495">
        <f ca="1"/>
        <v>3.5294782500285005E-4</v>
      </c>
      <c r="AM66" s="583">
        <f ca="1"/>
        <v>1.711214253604168E-3</v>
      </c>
      <c r="AN66" s="583">
        <f ca="1"/>
        <v>7.6110866431035318E-3</v>
      </c>
      <c r="AO66" s="583">
        <f ca="1"/>
        <v>0.57049502343030012</v>
      </c>
      <c r="AP66" s="496">
        <f ca="1"/>
        <v>0</v>
      </c>
      <c r="AQ66" s="618">
        <f ca="1"/>
        <v>0</v>
      </c>
      <c r="AR66" s="495">
        <f ca="1"/>
        <v>-1.7159872626412664E-2</v>
      </c>
      <c r="AS66" s="496">
        <f ca="1"/>
        <v>-2.818730725095131E-2</v>
      </c>
      <c r="AT66" s="618">
        <f ca="1"/>
        <v>0</v>
      </c>
      <c r="AU66" s="495">
        <f ca="1"/>
        <v>-0.11792666310030989</v>
      </c>
      <c r="AV66" s="496">
        <f ca="1"/>
        <v>-2.4015991735598166E-3</v>
      </c>
      <c r="AW66" s="618">
        <f ca="1"/>
        <v>0</v>
      </c>
    </row>
    <row r="67" spans="2:49">
      <c r="B67" s="538" t="s">
        <v>518</v>
      </c>
      <c r="C67" s="539" t="s">
        <v>66</v>
      </c>
      <c r="D67" s="539" t="s">
        <v>55</v>
      </c>
      <c r="E67" s="539" t="s">
        <v>647</v>
      </c>
      <c r="F67" s="539" t="s">
        <v>668</v>
      </c>
      <c r="G67" s="540">
        <v>0.01</v>
      </c>
      <c r="H67" s="540">
        <v>5.1570000000000001E-3</v>
      </c>
      <c r="I67" s="541">
        <v>0.4</v>
      </c>
      <c r="J67" s="600">
        <v>5</v>
      </c>
      <c r="K67" s="542">
        <v>15</v>
      </c>
      <c r="L67" s="272"/>
      <c r="M67" s="272"/>
      <c r="P67" s="273"/>
      <c r="Q67" s="273"/>
      <c r="R67" s="273"/>
      <c r="S67" s="273"/>
      <c r="T67" s="575">
        <f ca="1"/>
        <v>0.06</v>
      </c>
      <c r="U67" s="572">
        <f ca="1"/>
        <v>59</v>
      </c>
      <c r="V67" s="484">
        <f ca="1">IF('CDO Bespoke'!O68&lt;&gt;"",'CDO Bespoke'!O68,"")</f>
        <v>9.8308198753484205E-2</v>
      </c>
      <c r="W67" s="640">
        <f t="shared" ca="1" si="1"/>
        <v>0</v>
      </c>
      <c r="X67" s="640">
        <f t="shared" ca="1" si="0"/>
        <v>9.8308198753484205E-2</v>
      </c>
      <c r="Y67" s="488">
        <f t="shared" ca="1" si="2"/>
        <v>0</v>
      </c>
      <c r="Z67" s="484">
        <f ca="1">IF('CDO Bespoke'!O68&lt;&gt;"",'CDO Bespoke'!O68,"")</f>
        <v>9.8308198753484205E-2</v>
      </c>
      <c r="AA67" s="640">
        <f ca="1">IF(Z67&lt;&gt;"",ABS(MIN(-0.6*'CDO Bespoke'!K68+'CDO Bespoke'!T68*'CDO Bespoke'!K68,0)),"")</f>
        <v>8.0230451393875579E-2</v>
      </c>
      <c r="AB67" s="640">
        <f t="shared" ca="1" si="3"/>
        <v>1.8077747359608626E-2</v>
      </c>
      <c r="AC67" s="488">
        <f t="shared" ca="1" si="4"/>
        <v>0</v>
      </c>
      <c r="AD67" s="272"/>
      <c r="AE67" s="493" t="str">
        <f ca="1">IF('CDO Bespoke'!C92&lt;&gt;"",'CDO Bespoke'!C92,"")</f>
        <v>Nestle S.A.</v>
      </c>
      <c r="AF67" s="495">
        <f ca="1"/>
        <v>-1.9520835004005477E-4</v>
      </c>
      <c r="AG67" s="583">
        <f ca="1"/>
        <v>6.8173588996245371E-4</v>
      </c>
      <c r="AH67" s="583">
        <f ca="1"/>
        <v>5.6859903396766498E-3</v>
      </c>
      <c r="AI67" s="583">
        <f ca="1"/>
        <v>0.54736105586983275</v>
      </c>
      <c r="AJ67" s="496">
        <f ca="1"/>
        <v>0</v>
      </c>
      <c r="AK67" s="618">
        <f ca="1"/>
        <v>0</v>
      </c>
      <c r="AL67" s="495">
        <f ca="1"/>
        <v>3.5026871909871193E-4</v>
      </c>
      <c r="AM67" s="583">
        <f ca="1"/>
        <v>1.6967329651007557E-3</v>
      </c>
      <c r="AN67" s="583">
        <f ca="1"/>
        <v>7.5904032014991255E-3</v>
      </c>
      <c r="AO67" s="583">
        <f ca="1"/>
        <v>0.54132829097679969</v>
      </c>
      <c r="AP67" s="496">
        <f ca="1"/>
        <v>0</v>
      </c>
      <c r="AQ67" s="618">
        <f ca="1"/>
        <v>0</v>
      </c>
      <c r="AR67" s="495">
        <f ca="1"/>
        <v>-1.8644575740534408E-2</v>
      </c>
      <c r="AS67" s="496">
        <f ca="1"/>
        <v>-2.6731466199475584E-2</v>
      </c>
      <c r="AT67" s="618">
        <f ca="1"/>
        <v>0</v>
      </c>
      <c r="AU67" s="495">
        <f ca="1"/>
        <v>-0.11901841221732774</v>
      </c>
      <c r="AV67" s="496">
        <f ca="1"/>
        <v>-3.1987439455709483E-3</v>
      </c>
      <c r="AW67" s="618">
        <f ca="1"/>
        <v>0</v>
      </c>
    </row>
    <row r="68" spans="2:49">
      <c r="B68" s="516" t="s">
        <v>518</v>
      </c>
      <c r="C68" s="517" t="s">
        <v>66</v>
      </c>
      <c r="D68" s="517" t="s">
        <v>57</v>
      </c>
      <c r="E68" s="517" t="s">
        <v>647</v>
      </c>
      <c r="F68" s="517" t="s">
        <v>668</v>
      </c>
      <c r="G68" s="524">
        <v>0.01</v>
      </c>
      <c r="H68" s="524">
        <v>9.7490000000000007E-3</v>
      </c>
      <c r="I68" s="526">
        <v>0.4</v>
      </c>
      <c r="J68" s="592">
        <v>5</v>
      </c>
      <c r="K68" s="518">
        <v>15</v>
      </c>
      <c r="L68" s="272"/>
      <c r="M68" s="272"/>
      <c r="P68" s="273"/>
      <c r="Q68" s="273"/>
      <c r="R68" s="273"/>
      <c r="S68" s="273"/>
      <c r="T68" s="575">
        <f ca="1"/>
        <v>0.03</v>
      </c>
      <c r="U68" s="572">
        <f ca="1"/>
        <v>60</v>
      </c>
      <c r="V68" s="484">
        <f ca="1">IF('CDO Bespoke'!O69&lt;&gt;"",'CDO Bespoke'!O69,"")</f>
        <v>9.8061829710337195E-2</v>
      </c>
      <c r="W68" s="640">
        <f t="shared" ca="1" si="1"/>
        <v>0</v>
      </c>
      <c r="X68" s="640">
        <f t="shared" ca="1" si="0"/>
        <v>9.8061829710337195E-2</v>
      </c>
      <c r="Y68" s="488">
        <f t="shared" ca="1" si="2"/>
        <v>0</v>
      </c>
      <c r="Z68" s="484">
        <f ca="1">IF('CDO Bespoke'!O69&lt;&gt;"",'CDO Bespoke'!O69,"")</f>
        <v>9.8061829710337195E-2</v>
      </c>
      <c r="AA68" s="640">
        <f ca="1">IF(Z68&lt;&gt;"",ABS(MIN(-0.6*'CDO Bespoke'!K69+'CDO Bespoke'!T69*'CDO Bespoke'!K69,0)),"")</f>
        <v>8.4076914611380726E-2</v>
      </c>
      <c r="AB68" s="640">
        <f t="shared" ca="1" si="3"/>
        <v>1.3984915098956469E-2</v>
      </c>
      <c r="AC68" s="488">
        <f t="shared" ca="1" si="4"/>
        <v>0</v>
      </c>
      <c r="AD68" s="272"/>
      <c r="AE68" s="493" t="str">
        <f ca="1">IF('CDO Bespoke'!C93&lt;&gt;"",'CDO Bespoke'!C93,"")</f>
        <v>NEXT PLC</v>
      </c>
      <c r="AF68" s="495">
        <f ca="1"/>
        <v>-6.9709682026797282E-4</v>
      </c>
      <c r="AG68" s="583">
        <f ca="1"/>
        <v>-1.2789836201232418E-3</v>
      </c>
      <c r="AH68" s="583">
        <f ca="1"/>
        <v>-1.4366053902037379E-3</v>
      </c>
      <c r="AI68" s="583">
        <f ca="1"/>
        <v>0.72503795306988472</v>
      </c>
      <c r="AJ68" s="496">
        <f ca="1"/>
        <v>0</v>
      </c>
      <c r="AK68" s="618">
        <f ca="1"/>
        <v>0</v>
      </c>
      <c r="AL68" s="495">
        <f ca="1"/>
        <v>3.1840504200256192E-4</v>
      </c>
      <c r="AM68" s="583">
        <f ca="1"/>
        <v>1.5586208778999022E-3</v>
      </c>
      <c r="AN68" s="583">
        <f ca="1"/>
        <v>6.6994265934990083E-3</v>
      </c>
      <c r="AO68" s="583">
        <f ca="1"/>
        <v>0.6853538831834991</v>
      </c>
      <c r="AP68" s="496">
        <f ca="1"/>
        <v>0</v>
      </c>
      <c r="AQ68" s="618">
        <f ca="1"/>
        <v>0</v>
      </c>
      <c r="AR68" s="495">
        <f ca="1"/>
        <v>-1.085525157529349E-2</v>
      </c>
      <c r="AS68" s="496">
        <f ca="1"/>
        <v>-3.3779010747015503E-2</v>
      </c>
      <c r="AT68" s="618">
        <f ca="1"/>
        <v>0</v>
      </c>
      <c r="AU68" s="495">
        <f ca="1"/>
        <v>-0.11292246634900167</v>
      </c>
      <c r="AV68" s="496">
        <f ca="1"/>
        <v>3.0967226798259868E-3</v>
      </c>
      <c r="AW68" s="618">
        <f ca="1"/>
        <v>0</v>
      </c>
    </row>
    <row r="69" spans="2:49">
      <c r="B69" s="533" t="s">
        <v>518</v>
      </c>
      <c r="C69" s="534" t="s">
        <v>66</v>
      </c>
      <c r="D69" s="534" t="s">
        <v>59</v>
      </c>
      <c r="E69" s="534" t="s">
        <v>647</v>
      </c>
      <c r="F69" s="534" t="s">
        <v>668</v>
      </c>
      <c r="G69" s="535">
        <v>0.01</v>
      </c>
      <c r="H69" s="535">
        <v>1.2806E-2</v>
      </c>
      <c r="I69" s="536">
        <v>0.4</v>
      </c>
      <c r="J69" s="593">
        <v>5</v>
      </c>
      <c r="K69" s="537">
        <v>15</v>
      </c>
      <c r="L69" s="272"/>
      <c r="M69" s="272"/>
      <c r="P69" s="273"/>
      <c r="Q69" s="273"/>
      <c r="R69" s="273"/>
      <c r="S69" s="273"/>
      <c r="T69" s="575">
        <f ca="1"/>
        <v>0.03</v>
      </c>
      <c r="U69" s="572">
        <f ca="1"/>
        <v>61</v>
      </c>
      <c r="V69" s="484">
        <f ca="1">IF('CDO Bespoke'!O70&lt;&gt;"",'CDO Bespoke'!O70,"")</f>
        <v>9.8103189503539204E-2</v>
      </c>
      <c r="W69" s="640">
        <f t="shared" ca="1" si="1"/>
        <v>0</v>
      </c>
      <c r="X69" s="640">
        <f t="shared" ca="1" si="0"/>
        <v>9.8103189503539204E-2</v>
      </c>
      <c r="Y69" s="488">
        <f t="shared" ca="1" si="2"/>
        <v>0</v>
      </c>
      <c r="Z69" s="484">
        <f ca="1">IF('CDO Bespoke'!O70&lt;&gt;"",'CDO Bespoke'!O70,"")</f>
        <v>9.8103189503539204E-2</v>
      </c>
      <c r="AA69" s="640">
        <f ca="1">IF(Z69&lt;&gt;"",ABS(MIN(-0.6*'CDO Bespoke'!K70+'CDO Bespoke'!T70*'CDO Bespoke'!K70,0)),"")</f>
        <v>8.3506713741438643E-2</v>
      </c>
      <c r="AB69" s="640">
        <f t="shared" ca="1" si="3"/>
        <v>1.4596475762100561E-2</v>
      </c>
      <c r="AC69" s="488">
        <f t="shared" ca="1" si="4"/>
        <v>0</v>
      </c>
      <c r="AD69" s="272"/>
      <c r="AE69" s="493" t="str">
        <f ca="1">IF('CDO Bespoke'!C94&lt;&gt;"",'CDO Bespoke'!C94,"")</f>
        <v>PERNOD RICARD</v>
      </c>
      <c r="AF69" s="495">
        <f ca="1"/>
        <v>-4.2952872980617229E-4</v>
      </c>
      <c r="AG69" s="583">
        <f ca="1"/>
        <v>-1.9211258028839495E-4</v>
      </c>
      <c r="AH69" s="583">
        <f ca="1"/>
        <v>2.6786271400958128E-3</v>
      </c>
      <c r="AI69" s="583">
        <f ca="1"/>
        <v>0.63879748869011266</v>
      </c>
      <c r="AJ69" s="496">
        <f ca="1"/>
        <v>0</v>
      </c>
      <c r="AK69" s="618">
        <f ca="1"/>
        <v>0</v>
      </c>
      <c r="AL69" s="495">
        <f ca="1"/>
        <v>3.4683291000054545E-4</v>
      </c>
      <c r="AM69" s="583">
        <f ca="1"/>
        <v>1.6874609177998032E-3</v>
      </c>
      <c r="AN69" s="583">
        <f ca="1"/>
        <v>7.4414294301983902E-3</v>
      </c>
      <c r="AO69" s="583">
        <f ca="1"/>
        <v>0.61725375719500097</v>
      </c>
      <c r="AP69" s="496">
        <f ca="1"/>
        <v>0</v>
      </c>
      <c r="AQ69" s="618">
        <f ca="1"/>
        <v>0</v>
      </c>
      <c r="AR69" s="495">
        <f ca="1"/>
        <v>-1.4594140476596296E-2</v>
      </c>
      <c r="AS69" s="496">
        <f ca="1"/>
        <v>-3.0513828983236679E-2</v>
      </c>
      <c r="AT69" s="618">
        <f ca="1"/>
        <v>0</v>
      </c>
      <c r="AU69" s="495">
        <f ca="1"/>
        <v>-0.11585321847673383</v>
      </c>
      <c r="AV69" s="496">
        <f ca="1"/>
        <v>-5.2812657189208953E-4</v>
      </c>
      <c r="AW69" s="618">
        <f ca="1"/>
        <v>0</v>
      </c>
    </row>
    <row r="70" spans="2:49">
      <c r="B70" s="538" t="s">
        <v>533</v>
      </c>
      <c r="C70" s="539" t="s">
        <v>66</v>
      </c>
      <c r="D70" s="539" t="s">
        <v>55</v>
      </c>
      <c r="E70" s="539" t="s">
        <v>647</v>
      </c>
      <c r="F70" s="539" t="s">
        <v>670</v>
      </c>
      <c r="G70" s="540">
        <v>0.01</v>
      </c>
      <c r="H70" s="540">
        <v>5.1190000000000003E-3</v>
      </c>
      <c r="I70" s="541">
        <v>0.4</v>
      </c>
      <c r="J70" s="600">
        <v>4</v>
      </c>
      <c r="K70" s="542">
        <v>16</v>
      </c>
      <c r="L70" s="272"/>
      <c r="M70" s="272"/>
      <c r="P70" s="273"/>
      <c r="Q70" s="273"/>
      <c r="R70" s="273"/>
      <c r="S70" s="273"/>
      <c r="T70" s="575">
        <f ca="1"/>
        <v>0.06</v>
      </c>
      <c r="U70" s="572">
        <f ca="1"/>
        <v>62</v>
      </c>
      <c r="V70" s="484">
        <f ca="1">IF('CDO Bespoke'!O71&lt;&gt;"",'CDO Bespoke'!O71,"")</f>
        <v>9.8517385588749201E-2</v>
      </c>
      <c r="W70" s="640">
        <f t="shared" ca="1" si="1"/>
        <v>0</v>
      </c>
      <c r="X70" s="640">
        <f t="shared" ca="1" si="0"/>
        <v>9.8517385588749201E-2</v>
      </c>
      <c r="Y70" s="488">
        <f t="shared" ca="1" si="2"/>
        <v>0</v>
      </c>
      <c r="Z70" s="484">
        <f ca="1">IF('CDO Bespoke'!O71&lt;&gt;"",'CDO Bespoke'!O71,"")</f>
        <v>9.8517385588749201E-2</v>
      </c>
      <c r="AA70" s="640">
        <f ca="1">IF(Z70&lt;&gt;"",ABS(MIN(-0.6*'CDO Bespoke'!K71+'CDO Bespoke'!T71*'CDO Bespoke'!K71,0)),"")</f>
        <v>7.5824457200127537E-2</v>
      </c>
      <c r="AB70" s="640">
        <f t="shared" ca="1" si="3"/>
        <v>2.2692928388621664E-2</v>
      </c>
      <c r="AC70" s="488">
        <f t="shared" ca="1" si="4"/>
        <v>0</v>
      </c>
      <c r="AD70" s="272"/>
      <c r="AE70" s="493" t="str">
        <f ca="1">IF('CDO Bespoke'!C95&lt;&gt;"",'CDO Bespoke'!C95,"")</f>
        <v>SODEXO</v>
      </c>
      <c r="AF70" s="495">
        <f ca="1"/>
        <v>-2.1182202991631982E-4</v>
      </c>
      <c r="AG70" s="583">
        <f ca="1"/>
        <v>5.2213041001891725E-4</v>
      </c>
      <c r="AH70" s="583">
        <f ca="1"/>
        <v>4.8702494598318324E-3</v>
      </c>
      <c r="AI70" s="583">
        <f ca="1"/>
        <v>0.54157651455000178</v>
      </c>
      <c r="AJ70" s="496">
        <f ca="1"/>
        <v>0</v>
      </c>
      <c r="AK70" s="618">
        <f ca="1"/>
        <v>0</v>
      </c>
      <c r="AL70" s="495">
        <f ca="1"/>
        <v>3.5061957729971144E-4</v>
      </c>
      <c r="AM70" s="583">
        <f ca="1"/>
        <v>1.696897564398489E-3</v>
      </c>
      <c r="AN70" s="583">
        <f ca="1"/>
        <v>7.5856845748985616E-3</v>
      </c>
      <c r="AO70" s="583">
        <f ca="1"/>
        <v>0.53567470393929995</v>
      </c>
      <c r="AP70" s="496">
        <f ca="1"/>
        <v>0</v>
      </c>
      <c r="AQ70" s="618">
        <f ca="1"/>
        <v>0</v>
      </c>
      <c r="AR70" s="495">
        <f ca="1"/>
        <v>-1.9007027160534207E-2</v>
      </c>
      <c r="AS70" s="496">
        <f ca="1"/>
        <v>-2.6434665163841797E-2</v>
      </c>
      <c r="AT70" s="618">
        <f ca="1"/>
        <v>0</v>
      </c>
      <c r="AU70" s="495">
        <f ca="1"/>
        <v>-0.11937084799462262</v>
      </c>
      <c r="AV70" s="496">
        <f ca="1"/>
        <v>-3.4347654418357028E-3</v>
      </c>
      <c r="AW70" s="618">
        <f ca="1"/>
        <v>0</v>
      </c>
    </row>
    <row r="71" spans="2:49">
      <c r="B71" s="516" t="s">
        <v>533</v>
      </c>
      <c r="C71" s="517" t="s">
        <v>66</v>
      </c>
      <c r="D71" s="517" t="s">
        <v>57</v>
      </c>
      <c r="E71" s="517" t="s">
        <v>647</v>
      </c>
      <c r="F71" s="517" t="s">
        <v>670</v>
      </c>
      <c r="G71" s="524">
        <v>0.01</v>
      </c>
      <c r="H71" s="524">
        <v>1.0839E-2</v>
      </c>
      <c r="I71" s="526">
        <v>0.4</v>
      </c>
      <c r="J71" s="592">
        <v>4</v>
      </c>
      <c r="K71" s="518">
        <v>16</v>
      </c>
      <c r="L71" s="272"/>
      <c r="M71" s="272"/>
      <c r="P71" s="273"/>
      <c r="Q71" s="273"/>
      <c r="R71" s="273"/>
      <c r="S71" s="273"/>
      <c r="T71" s="575">
        <f ca="1"/>
        <v>0.06</v>
      </c>
      <c r="U71" s="572">
        <f ca="1"/>
        <v>63</v>
      </c>
      <c r="V71" s="484">
        <f ca="1">IF('CDO Bespoke'!O72&lt;&gt;"",'CDO Bespoke'!O72,"")</f>
        <v>9.6915724819475205E-2</v>
      </c>
      <c r="W71" s="640">
        <f t="shared" ca="1" si="1"/>
        <v>0</v>
      </c>
      <c r="X71" s="640">
        <f t="shared" ca="1" si="0"/>
        <v>9.6915724819475205E-2</v>
      </c>
      <c r="Y71" s="488">
        <f t="shared" ca="1" si="2"/>
        <v>0</v>
      </c>
      <c r="Z71" s="484">
        <f ca="1">IF('CDO Bespoke'!O72&lt;&gt;"",'CDO Bespoke'!O72,"")</f>
        <v>9.6915724819475205E-2</v>
      </c>
      <c r="AA71" s="640">
        <f ca="1">IF(Z71&lt;&gt;"",ABS(MIN(-0.6*'CDO Bespoke'!K72+'CDO Bespoke'!T72*'CDO Bespoke'!K72,0)),"")</f>
        <v>9.3447040892176828E-2</v>
      </c>
      <c r="AB71" s="640">
        <f t="shared" ca="1" si="3"/>
        <v>3.4686839272983772E-3</v>
      </c>
      <c r="AC71" s="488">
        <f t="shared" ca="1" si="4"/>
        <v>0</v>
      </c>
      <c r="AD71" s="272"/>
      <c r="AE71" s="493" t="str">
        <f ca="1">IF('CDO Bespoke'!C96&lt;&gt;"",'CDO Bespoke'!C96,"")</f>
        <v>Suedzucker AG</v>
      </c>
      <c r="AF71" s="495">
        <f ca="1"/>
        <v>-1.0896112501157518E-3</v>
      </c>
      <c r="AG71" s="583">
        <f ca="1"/>
        <v>-2.7065140001392152E-3</v>
      </c>
      <c r="AH71" s="583">
        <f ca="1"/>
        <v>-6.6293654998883511E-3</v>
      </c>
      <c r="AI71" s="583">
        <f ca="1"/>
        <v>0.84040525360984386</v>
      </c>
      <c r="AJ71" s="496">
        <f ca="1"/>
        <v>0</v>
      </c>
      <c r="AK71" s="618">
        <f ca="1"/>
        <v>0</v>
      </c>
      <c r="AL71" s="495">
        <f ca="1"/>
        <v>2.1438073879911229E-4</v>
      </c>
      <c r="AM71" s="583">
        <f ca="1"/>
        <v>1.0770765901000831E-3</v>
      </c>
      <c r="AN71" s="583">
        <f ca="1"/>
        <v>4.247129194601823E-3</v>
      </c>
      <c r="AO71" s="583">
        <f ca="1"/>
        <v>0.77118353370480164</v>
      </c>
      <c r="AP71" s="496">
        <f ca="1"/>
        <v>0</v>
      </c>
      <c r="AQ71" s="618">
        <f ca="1"/>
        <v>0</v>
      </c>
      <c r="AR71" s="495">
        <f ca="1"/>
        <v>-5.5136991497569676E-3</v>
      </c>
      <c r="AS71" s="496">
        <f ca="1"/>
        <v>-3.7525962145025016E-2</v>
      </c>
      <c r="AT71" s="618">
        <f ca="1"/>
        <v>0</v>
      </c>
      <c r="AU71" s="495">
        <f ca="1"/>
        <v>-0.10820109227965924</v>
      </c>
      <c r="AV71" s="496">
        <f ca="1"/>
        <v>1.1261395695496321E-2</v>
      </c>
      <c r="AW71" s="618">
        <f ca="1"/>
        <v>0</v>
      </c>
    </row>
    <row r="72" spans="2:49">
      <c r="B72" s="533" t="s">
        <v>533</v>
      </c>
      <c r="C72" s="534" t="s">
        <v>66</v>
      </c>
      <c r="D72" s="534" t="s">
        <v>59</v>
      </c>
      <c r="E72" s="534" t="s">
        <v>647</v>
      </c>
      <c r="F72" s="534" t="s">
        <v>670</v>
      </c>
      <c r="G72" s="535">
        <v>0.01</v>
      </c>
      <c r="H72" s="535">
        <v>1.6057999999999999E-2</v>
      </c>
      <c r="I72" s="536">
        <v>0.4</v>
      </c>
      <c r="J72" s="593">
        <v>4</v>
      </c>
      <c r="K72" s="537">
        <v>16</v>
      </c>
      <c r="L72" s="272"/>
      <c r="M72" s="272"/>
      <c r="P72" s="273"/>
      <c r="Q72" s="273"/>
      <c r="R72" s="273"/>
      <c r="S72" s="273"/>
      <c r="T72" s="575">
        <f ca="1"/>
        <v>0.06</v>
      </c>
      <c r="U72" s="572">
        <f ca="1"/>
        <v>64</v>
      </c>
      <c r="V72" s="484">
        <f ca="1">IF('CDO Bespoke'!O73&lt;&gt;"",'CDO Bespoke'!O73,"")</f>
        <v>9.75692080134032E-2</v>
      </c>
      <c r="W72" s="640">
        <f t="shared" ca="1" si="1"/>
        <v>0</v>
      </c>
      <c r="X72" s="640">
        <f t="shared" ca="1" si="0"/>
        <v>9.75692080134032E-2</v>
      </c>
      <c r="Y72" s="488">
        <f t="shared" ca="1" si="2"/>
        <v>0</v>
      </c>
      <c r="Z72" s="484">
        <f ca="1">IF('CDO Bespoke'!O73&lt;&gt;"",'CDO Bespoke'!O73,"")</f>
        <v>9.75692080134032E-2</v>
      </c>
      <c r="AA72" s="640">
        <f ca="1">IF(Z72&lt;&gt;"",ABS(MIN(-0.6*'CDO Bespoke'!K73+'CDO Bespoke'!T73*'CDO Bespoke'!K73,0)),"")</f>
        <v>8.9288450817699178E-2</v>
      </c>
      <c r="AB72" s="640">
        <f t="shared" ca="1" si="3"/>
        <v>8.2807571957040221E-3</v>
      </c>
      <c r="AC72" s="488">
        <f t="shared" ca="1" si="4"/>
        <v>0</v>
      </c>
      <c r="AD72" s="272"/>
      <c r="AE72" s="493" t="str">
        <f ca="1">IF('CDO Bespoke'!C97&lt;&gt;"",'CDO Bespoke'!C97,"")</f>
        <v>TESCO PLC</v>
      </c>
      <c r="AF72" s="495">
        <f ca="1"/>
        <v>-7.4332864030690615E-4</v>
      </c>
      <c r="AG72" s="583">
        <f ca="1"/>
        <v>-1.3520479702489041E-3</v>
      </c>
      <c r="AH72" s="583">
        <f ca="1"/>
        <v>-1.4390322400359423E-3</v>
      </c>
      <c r="AI72" s="583">
        <f ca="1"/>
        <v>0.74613865211015096</v>
      </c>
      <c r="AJ72" s="496">
        <f ca="1"/>
        <v>0</v>
      </c>
      <c r="AK72" s="618">
        <f ca="1"/>
        <v>0</v>
      </c>
      <c r="AL72" s="495">
        <f ca="1"/>
        <v>3.0229308380265441E-4</v>
      </c>
      <c r="AM72" s="583">
        <f ca="1"/>
        <v>1.4857977764012181E-3</v>
      </c>
      <c r="AN72" s="583">
        <f ca="1"/>
        <v>6.3455950845021231E-3</v>
      </c>
      <c r="AO72" s="583">
        <f ca="1"/>
        <v>0.70208201149920058</v>
      </c>
      <c r="AP72" s="496">
        <f ca="1"/>
        <v>0</v>
      </c>
      <c r="AQ72" s="618">
        <f ca="1"/>
        <v>0</v>
      </c>
      <c r="AR72" s="495">
        <f ca="1"/>
        <v>-9.7746766034190191E-3</v>
      </c>
      <c r="AS72" s="496">
        <f ca="1"/>
        <v>-3.4553709536819965E-2</v>
      </c>
      <c r="AT72" s="618">
        <f ca="1"/>
        <v>0</v>
      </c>
      <c r="AU72" s="495">
        <f ca="1"/>
        <v>-0.1118837153037025</v>
      </c>
      <c r="AV72" s="496">
        <f ca="1"/>
        <v>4.5275711745508054E-3</v>
      </c>
      <c r="AW72" s="618">
        <f ca="1"/>
        <v>0</v>
      </c>
    </row>
    <row r="73" spans="2:49">
      <c r="B73" s="538" t="s">
        <v>519</v>
      </c>
      <c r="C73" s="539" t="s">
        <v>66</v>
      </c>
      <c r="D73" s="539" t="s">
        <v>55</v>
      </c>
      <c r="E73" s="539" t="s">
        <v>645</v>
      </c>
      <c r="F73" s="539" t="s">
        <v>669</v>
      </c>
      <c r="G73" s="540">
        <v>0.01</v>
      </c>
      <c r="H73" s="540">
        <v>1.5269999999999999E-3</v>
      </c>
      <c r="I73" s="541">
        <v>0.4</v>
      </c>
      <c r="J73" s="600">
        <v>7</v>
      </c>
      <c r="K73" s="542">
        <v>17</v>
      </c>
      <c r="L73" s="272"/>
      <c r="M73" s="272"/>
      <c r="P73" s="273"/>
      <c r="Q73" s="273"/>
      <c r="R73" s="273"/>
      <c r="S73" s="273"/>
      <c r="T73" s="575">
        <f ca="1"/>
        <v>0.06</v>
      </c>
      <c r="U73" s="572">
        <f ca="1"/>
        <v>65</v>
      </c>
      <c r="V73" s="484">
        <f ca="1">IF('CDO Bespoke'!O74&lt;&gt;"",'CDO Bespoke'!O74,"")</f>
        <v>9.8375316848086203E-2</v>
      </c>
      <c r="W73" s="640">
        <f t="shared" ca="1" si="1"/>
        <v>0</v>
      </c>
      <c r="X73" s="640">
        <f t="shared" ca="1" si="0"/>
        <v>9.8375316848086203E-2</v>
      </c>
      <c r="Y73" s="488">
        <f t="shared" ca="1" si="2"/>
        <v>0</v>
      </c>
      <c r="Z73" s="484">
        <f ca="1">IF('CDO Bespoke'!O74&lt;&gt;"",'CDO Bespoke'!O74,"")</f>
        <v>9.8375316848086203E-2</v>
      </c>
      <c r="AA73" s="640">
        <f ca="1">IF(Z73&lt;&gt;"",ABS(MIN(-0.6*'CDO Bespoke'!K74+'CDO Bespoke'!T74*'CDO Bespoke'!K74,0)),"")</f>
        <v>7.8958002255520604E-2</v>
      </c>
      <c r="AB73" s="640">
        <f t="shared" ca="1" si="3"/>
        <v>1.9417314592565599E-2</v>
      </c>
      <c r="AC73" s="488">
        <f t="shared" ca="1" si="4"/>
        <v>0</v>
      </c>
      <c r="AD73" s="272"/>
      <c r="AE73" s="493" t="str">
        <f ca="1">IF('CDO Bespoke'!C98&lt;&gt;"",'CDO Bespoke'!C98,"")</f>
        <v>UNILEVER PLC</v>
      </c>
      <c r="AF73" s="495">
        <f ca="1"/>
        <v>-1.7861961021381489E-4</v>
      </c>
      <c r="AG73" s="583">
        <f ca="1"/>
        <v>7.2052970978564446E-4</v>
      </c>
      <c r="AH73" s="583">
        <f ca="1"/>
        <v>5.7456547797318791E-3</v>
      </c>
      <c r="AI73" s="583">
        <f ca="1"/>
        <v>0.53771679109970716</v>
      </c>
      <c r="AJ73" s="496">
        <f ca="1"/>
        <v>0</v>
      </c>
      <c r="AK73" s="618">
        <f ca="1"/>
        <v>0</v>
      </c>
      <c r="AL73" s="495">
        <f ca="1"/>
        <v>3.4942487269970512E-4</v>
      </c>
      <c r="AM73" s="583">
        <f ca="1"/>
        <v>1.69176764470199E-3</v>
      </c>
      <c r="AN73" s="583">
        <f ca="1"/>
        <v>7.5741880837002992E-3</v>
      </c>
      <c r="AO73" s="583">
        <f ca="1"/>
        <v>0.53296251752639989</v>
      </c>
      <c r="AP73" s="496">
        <f ca="1"/>
        <v>0</v>
      </c>
      <c r="AQ73" s="618">
        <f ca="1"/>
        <v>0</v>
      </c>
      <c r="AR73" s="495">
        <f ca="1"/>
        <v>-1.9097150981650435E-2</v>
      </c>
      <c r="AS73" s="496">
        <f ca="1"/>
        <v>-2.6307447031960529E-2</v>
      </c>
      <c r="AT73" s="618">
        <f ca="1"/>
        <v>0</v>
      </c>
      <c r="AU73" s="495">
        <f ca="1"/>
        <v>-0.11938515119807025</v>
      </c>
      <c r="AV73" s="496">
        <f ca="1"/>
        <v>-3.439082654861654E-3</v>
      </c>
      <c r="AW73" s="618">
        <f ca="1"/>
        <v>0</v>
      </c>
    </row>
    <row r="74" spans="2:49">
      <c r="B74" s="516" t="s">
        <v>519</v>
      </c>
      <c r="C74" s="517" t="s">
        <v>66</v>
      </c>
      <c r="D74" s="517" t="s">
        <v>57</v>
      </c>
      <c r="E74" s="517" t="s">
        <v>645</v>
      </c>
      <c r="F74" s="517" t="s">
        <v>669</v>
      </c>
      <c r="G74" s="524">
        <v>0.01</v>
      </c>
      <c r="H74" s="524">
        <v>2.49E-3</v>
      </c>
      <c r="I74" s="526">
        <v>0.4</v>
      </c>
      <c r="J74" s="592">
        <v>7</v>
      </c>
      <c r="K74" s="518">
        <v>17</v>
      </c>
      <c r="L74" s="272"/>
      <c r="M74" s="272"/>
      <c r="P74" s="273"/>
      <c r="Q74" s="273"/>
      <c r="R74" s="273"/>
      <c r="S74" s="273"/>
      <c r="T74" s="575">
        <f ca="1"/>
        <v>0.06</v>
      </c>
      <c r="U74" s="572">
        <f ca="1"/>
        <v>66</v>
      </c>
      <c r="V74" s="484">
        <f ca="1">IF('CDO Bespoke'!O75&lt;&gt;"",'CDO Bespoke'!O75,"")</f>
        <v>9.76853635486232E-2</v>
      </c>
      <c r="W74" s="640">
        <f t="shared" ca="1" si="1"/>
        <v>0</v>
      </c>
      <c r="X74" s="640">
        <f t="shared" ca="1" si="0"/>
        <v>9.76853635486232E-2</v>
      </c>
      <c r="Y74" s="488">
        <f t="shared" ca="1" si="2"/>
        <v>0</v>
      </c>
      <c r="Z74" s="484">
        <f ca="1">IF('CDO Bespoke'!O75&lt;&gt;"",'CDO Bespoke'!O75,"")</f>
        <v>9.76853635486232E-2</v>
      </c>
      <c r="AA74" s="640">
        <f ca="1">IF(Z74&lt;&gt;"",ABS(MIN(-0.6*'CDO Bespoke'!K75+'CDO Bespoke'!T75*'CDO Bespoke'!K75,0)),"")</f>
        <v>8.8273095191053488E-2</v>
      </c>
      <c r="AB74" s="640">
        <f t="shared" ca="1" si="3"/>
        <v>9.4122683575697114E-3</v>
      </c>
      <c r="AC74" s="488">
        <f t="shared" ca="1" si="4"/>
        <v>0</v>
      </c>
      <c r="AD74" s="272"/>
      <c r="AE74" s="493" t="str">
        <f ca="1">IF('CDO Bespoke'!C99&lt;&gt;"",'CDO Bespoke'!C99,"")</f>
        <v>BP P.L.C.</v>
      </c>
      <c r="AF74" s="495">
        <f ca="1"/>
        <v>-7.383589101239707E-4</v>
      </c>
      <c r="AG74" s="583">
        <f ca="1"/>
        <v>-1.3555342998072817E-3</v>
      </c>
      <c r="AH74" s="583">
        <f ca="1"/>
        <v>-1.5196125102701075E-3</v>
      </c>
      <c r="AI74" s="583">
        <f ca="1"/>
        <v>0.74349570706011558</v>
      </c>
      <c r="AJ74" s="496">
        <f ca="1"/>
        <v>0</v>
      </c>
      <c r="AK74" s="618">
        <f ca="1"/>
        <v>0</v>
      </c>
      <c r="AL74" s="495">
        <f ca="1"/>
        <v>3.0495370939836314E-4</v>
      </c>
      <c r="AM74" s="583">
        <f ca="1"/>
        <v>1.4977115497978588E-3</v>
      </c>
      <c r="AN74" s="583">
        <f ca="1"/>
        <v>6.4002639716970872E-3</v>
      </c>
      <c r="AO74" s="583">
        <f ca="1"/>
        <v>0.69997188978329972</v>
      </c>
      <c r="AP74" s="496">
        <f ca="1"/>
        <v>0</v>
      </c>
      <c r="AQ74" s="618">
        <f ca="1"/>
        <v>0</v>
      </c>
      <c r="AR74" s="495">
        <f ca="1"/>
        <v>-9.9254358143082699E-3</v>
      </c>
      <c r="AS74" s="496">
        <f ca="1"/>
        <v>-3.4457802134276683E-2</v>
      </c>
      <c r="AT74" s="618">
        <f ca="1"/>
        <v>0</v>
      </c>
      <c r="AU74" s="495">
        <f ca="1"/>
        <v>-0.11204638555125682</v>
      </c>
      <c r="AV74" s="496">
        <f ca="1"/>
        <v>4.3053860580223105E-3</v>
      </c>
      <c r="AW74" s="618">
        <f ca="1"/>
        <v>0</v>
      </c>
    </row>
    <row r="75" spans="2:49">
      <c r="B75" s="533" t="s">
        <v>519</v>
      </c>
      <c r="C75" s="534" t="s">
        <v>66</v>
      </c>
      <c r="D75" s="534" t="s">
        <v>59</v>
      </c>
      <c r="E75" s="534" t="s">
        <v>645</v>
      </c>
      <c r="F75" s="534" t="s">
        <v>669</v>
      </c>
      <c r="G75" s="535">
        <v>0.01</v>
      </c>
      <c r="H75" s="535">
        <v>3.63E-3</v>
      </c>
      <c r="I75" s="536">
        <v>0.4</v>
      </c>
      <c r="J75" s="593">
        <v>7</v>
      </c>
      <c r="K75" s="537">
        <v>17</v>
      </c>
      <c r="L75" s="272"/>
      <c r="M75" s="272"/>
      <c r="P75" s="273"/>
      <c r="Q75" s="273"/>
      <c r="R75" s="273"/>
      <c r="S75" s="273"/>
      <c r="T75" s="575">
        <f ca="1"/>
        <v>0.06</v>
      </c>
      <c r="U75" s="572">
        <f ca="1"/>
        <v>67</v>
      </c>
      <c r="V75" s="484">
        <f ca="1">IF('CDO Bespoke'!O76&lt;&gt;"",'CDO Bespoke'!O76,"")</f>
        <v>9.7234702728274197E-2</v>
      </c>
      <c r="W75" s="640">
        <f t="shared" ca="1" si="1"/>
        <v>0</v>
      </c>
      <c r="X75" s="640">
        <f t="shared" ca="1" si="0"/>
        <v>9.7234702728274197E-2</v>
      </c>
      <c r="Y75" s="488">
        <f t="shared" ca="1" si="2"/>
        <v>0</v>
      </c>
      <c r="Z75" s="484">
        <f ca="1">IF('CDO Bespoke'!O76&lt;&gt;"",'CDO Bespoke'!O76,"")</f>
        <v>9.7234702728274197E-2</v>
      </c>
      <c r="AA75" s="640">
        <f ca="1">IF(Z75&lt;&gt;"",ABS(MIN(-0.6*'CDO Bespoke'!K76+'CDO Bespoke'!T76*'CDO Bespoke'!K76,0)),"")</f>
        <v>9.1695670847241617E-2</v>
      </c>
      <c r="AB75" s="640">
        <f t="shared" ca="1" si="3"/>
        <v>5.53903188103258E-3</v>
      </c>
      <c r="AC75" s="488">
        <f t="shared" ca="1" si="4"/>
        <v>0</v>
      </c>
      <c r="AD75" s="272"/>
      <c r="AE75" s="493" t="str">
        <f ca="1">IF('CDO Bespoke'!C100&lt;&gt;"",'CDO Bespoke'!C100,"")</f>
        <v>Centrica plc</v>
      </c>
      <c r="AF75" s="495">
        <f ca="1"/>
        <v>-9.6783979997017155E-4</v>
      </c>
      <c r="AG75" s="583">
        <f ca="1"/>
        <v>-2.2351638301332244E-3</v>
      </c>
      <c r="AH75" s="583">
        <f ca="1"/>
        <v>-4.8268711999588376E-3</v>
      </c>
      <c r="AI75" s="583">
        <f ca="1"/>
        <v>0.80937966591976274</v>
      </c>
      <c r="AJ75" s="496">
        <f ca="1"/>
        <v>0</v>
      </c>
      <c r="AK75" s="618">
        <f ca="1"/>
        <v>0</v>
      </c>
      <c r="AL75" s="495">
        <f ca="1"/>
        <v>2.5025187320396741E-4</v>
      </c>
      <c r="AM75" s="583">
        <f ca="1"/>
        <v>1.2443418319005306E-3</v>
      </c>
      <c r="AN75" s="583">
        <f ca="1"/>
        <v>5.0943581017016959E-3</v>
      </c>
      <c r="AO75" s="583">
        <f ca="1"/>
        <v>0.74886778440080326</v>
      </c>
      <c r="AP75" s="496">
        <f ca="1"/>
        <v>0</v>
      </c>
      <c r="AQ75" s="618">
        <f ca="1"/>
        <v>0</v>
      </c>
      <c r="AR75" s="495">
        <f ca="1"/>
        <v>-6.9439400825879738E-3</v>
      </c>
      <c r="AS75" s="496">
        <f ca="1"/>
        <v>-3.6625417687566997E-2</v>
      </c>
      <c r="AT75" s="618">
        <f ca="1"/>
        <v>0</v>
      </c>
      <c r="AU75" s="495">
        <f ca="1"/>
        <v>-5.8811910933172465E-2</v>
      </c>
      <c r="AV75" s="496">
        <f ca="1"/>
        <v>2.002813057680846E-2</v>
      </c>
      <c r="AW75" s="618">
        <f ca="1"/>
        <v>0</v>
      </c>
    </row>
    <row r="76" spans="2:49">
      <c r="B76" s="538" t="s">
        <v>534</v>
      </c>
      <c r="C76" s="539" t="s">
        <v>66</v>
      </c>
      <c r="D76" s="539" t="s">
        <v>55</v>
      </c>
      <c r="E76" s="539" t="s">
        <v>647</v>
      </c>
      <c r="F76" s="539" t="s">
        <v>646</v>
      </c>
      <c r="G76" s="540">
        <v>0.01</v>
      </c>
      <c r="H76" s="540">
        <v>5.0749999999999997E-3</v>
      </c>
      <c r="I76" s="541">
        <v>0.4</v>
      </c>
      <c r="J76" s="600">
        <v>4</v>
      </c>
      <c r="K76" s="542">
        <v>18</v>
      </c>
      <c r="L76" s="272"/>
      <c r="M76" s="272"/>
      <c r="P76" s="273"/>
      <c r="Q76" s="273"/>
      <c r="R76" s="273"/>
      <c r="S76" s="273"/>
      <c r="T76" s="575">
        <f ca="1"/>
        <v>0.03</v>
      </c>
      <c r="U76" s="572">
        <f ca="1"/>
        <v>68</v>
      </c>
      <c r="V76" s="484">
        <f ca="1">IF('CDO Bespoke'!O77&lt;&gt;"",'CDO Bespoke'!O77,"")</f>
        <v>9.8020808809804197E-2</v>
      </c>
      <c r="W76" s="640">
        <f t="shared" ca="1" si="1"/>
        <v>0</v>
      </c>
      <c r="X76" s="640">
        <f t="shared" ca="1" si="0"/>
        <v>9.8020808809804197E-2</v>
      </c>
      <c r="Y76" s="488">
        <f t="shared" ca="1" si="2"/>
        <v>0</v>
      </c>
      <c r="Z76" s="484">
        <f ca="1">IF('CDO Bespoke'!O77&lt;&gt;"",'CDO Bespoke'!O77,"")</f>
        <v>9.8020808809804197E-2</v>
      </c>
      <c r="AA76" s="640">
        <f ca="1">IF(Z76&lt;&gt;"",ABS(MIN(-0.6*'CDO Bespoke'!K77+'CDO Bespoke'!T77*'CDO Bespoke'!K77,0)),"")</f>
        <v>8.4617215139774965E-2</v>
      </c>
      <c r="AB76" s="640">
        <f t="shared" ca="1" si="3"/>
        <v>1.3403593670029232E-2</v>
      </c>
      <c r="AC76" s="488">
        <f t="shared" ca="1" si="4"/>
        <v>0</v>
      </c>
      <c r="AD76" s="272"/>
      <c r="AE76" s="493" t="str">
        <f ca="1">IF('CDO Bespoke'!C101&lt;&gt;"",'CDO Bespoke'!C101,"")</f>
        <v>E.ON SE</v>
      </c>
      <c r="AF76" s="495">
        <f ca="1"/>
        <v>-4.9511392985479574E-4</v>
      </c>
      <c r="AG76" s="583">
        <f ca="1"/>
        <v>-4.3507027980282942E-4</v>
      </c>
      <c r="AH76" s="583">
        <f ca="1"/>
        <v>1.8275965502079217E-3</v>
      </c>
      <c r="AI76" s="583">
        <f ca="1"/>
        <v>0.66279403088009836</v>
      </c>
      <c r="AJ76" s="496">
        <f ca="1"/>
        <v>0</v>
      </c>
      <c r="AK76" s="618">
        <f ca="1"/>
        <v>0</v>
      </c>
      <c r="AL76" s="495">
        <f ca="1"/>
        <v>3.4119348030041408E-4</v>
      </c>
      <c r="AM76" s="583">
        <f ca="1"/>
        <v>1.6627166713996736E-3</v>
      </c>
      <c r="AN76" s="583">
        <f ca="1"/>
        <v>7.2944306895011274E-3</v>
      </c>
      <c r="AO76" s="583">
        <f ca="1"/>
        <v>0.636647819580202</v>
      </c>
      <c r="AP76" s="496">
        <f ca="1"/>
        <v>0</v>
      </c>
      <c r="AQ76" s="618">
        <f ca="1"/>
        <v>0</v>
      </c>
      <c r="AR76" s="495">
        <f ca="1"/>
        <v>-1.3525253620316535E-2</v>
      </c>
      <c r="AS76" s="496">
        <f ca="1"/>
        <v>-3.1461234770900404E-2</v>
      </c>
      <c r="AT76" s="618">
        <f ca="1"/>
        <v>0</v>
      </c>
      <c r="AU76" s="495">
        <f ca="1"/>
        <v>-6.1629332558197858E-2</v>
      </c>
      <c r="AV76" s="496">
        <f ca="1"/>
        <v>1.0085667079572752E-2</v>
      </c>
      <c r="AW76" s="618">
        <f ca="1"/>
        <v>0</v>
      </c>
    </row>
    <row r="77" spans="2:49">
      <c r="B77" s="516" t="s">
        <v>534</v>
      </c>
      <c r="C77" s="517" t="s">
        <v>66</v>
      </c>
      <c r="D77" s="517" t="s">
        <v>57</v>
      </c>
      <c r="E77" s="517" t="s">
        <v>647</v>
      </c>
      <c r="F77" s="517" t="s">
        <v>646</v>
      </c>
      <c r="G77" s="524">
        <v>0.01</v>
      </c>
      <c r="H77" s="524">
        <v>8.8369999999999994E-3</v>
      </c>
      <c r="I77" s="526">
        <v>0.4</v>
      </c>
      <c r="J77" s="592">
        <v>4</v>
      </c>
      <c r="K77" s="518">
        <v>18</v>
      </c>
      <c r="L77" s="272"/>
      <c r="M77" s="272"/>
      <c r="P77" s="273"/>
      <c r="Q77" s="273"/>
      <c r="R77" s="273"/>
      <c r="S77" s="273"/>
      <c r="T77" s="575">
        <f ca="1"/>
        <v>0.02</v>
      </c>
      <c r="U77" s="572">
        <f ca="1"/>
        <v>69</v>
      </c>
      <c r="V77" s="484">
        <f ca="1">IF('CDO Bespoke'!O78&lt;&gt;"",'CDO Bespoke'!O78,"")</f>
        <v>9.6873139170240194E-2</v>
      </c>
      <c r="W77" s="640">
        <f t="shared" ca="1" si="1"/>
        <v>0</v>
      </c>
      <c r="X77" s="640">
        <f t="shared" ca="1" si="0"/>
        <v>9.6873139170240194E-2</v>
      </c>
      <c r="Y77" s="488">
        <f t="shared" ca="1" si="2"/>
        <v>0</v>
      </c>
      <c r="Z77" s="484">
        <f ca="1">IF('CDO Bespoke'!O78&lt;&gt;"",'CDO Bespoke'!O78,"")</f>
        <v>9.6873139170240194E-2</v>
      </c>
      <c r="AA77" s="640">
        <f ca="1">IF(Z77&lt;&gt;"",ABS(MIN(-0.6*'CDO Bespoke'!K78+'CDO Bespoke'!T78*'CDO Bespoke'!K78,0)),"")</f>
        <v>9.3649006501865889E-2</v>
      </c>
      <c r="AB77" s="640">
        <f t="shared" ca="1" si="3"/>
        <v>3.2241326683743049E-3</v>
      </c>
      <c r="AC77" s="488">
        <f t="shared" ca="1" si="4"/>
        <v>0</v>
      </c>
      <c r="AD77" s="272"/>
      <c r="AE77" s="493" t="str">
        <f ca="1">IF('CDO Bespoke'!C102&lt;&gt;"",'CDO Bespoke'!C102,"")</f>
        <v>EDP - ENERGIAS DE PORTUGAL S.A.</v>
      </c>
      <c r="AF77" s="495">
        <f ca="1"/>
        <v>-9.2071042012698001E-4</v>
      </c>
      <c r="AG77" s="583">
        <f ca="1"/>
        <v>-1.9851816401850186E-3</v>
      </c>
      <c r="AH77" s="583">
        <f ca="1"/>
        <v>-3.6275321602108335E-3</v>
      </c>
      <c r="AI77" s="583">
        <f ca="1"/>
        <v>0.79798692055987885</v>
      </c>
      <c r="AJ77" s="496">
        <f ca="1"/>
        <v>0</v>
      </c>
      <c r="AK77" s="618">
        <f ca="1"/>
        <v>0</v>
      </c>
      <c r="AL77" s="495">
        <f ca="1"/>
        <v>2.5698284220228296E-4</v>
      </c>
      <c r="AM77" s="583">
        <f ca="1"/>
        <v>1.2766928641008701E-3</v>
      </c>
      <c r="AN77" s="583">
        <f ca="1"/>
        <v>5.2909073291985617E-3</v>
      </c>
      <c r="AO77" s="583">
        <f ca="1"/>
        <v>0.74064117114199834</v>
      </c>
      <c r="AP77" s="496">
        <f ca="1"/>
        <v>0</v>
      </c>
      <c r="AQ77" s="618">
        <f ca="1"/>
        <v>0</v>
      </c>
      <c r="AR77" s="495">
        <f ca="1"/>
        <v>-7.3435651205892016E-3</v>
      </c>
      <c r="AS77" s="496">
        <f ca="1"/>
        <v>-3.6263484046171801E-2</v>
      </c>
      <c r="AT77" s="618">
        <f ca="1"/>
        <v>0</v>
      </c>
      <c r="AU77" s="495">
        <f ca="1"/>
        <v>-5.8903912426778199E-2</v>
      </c>
      <c r="AV77" s="496">
        <f ca="1"/>
        <v>1.9389554793628298E-2</v>
      </c>
      <c r="AW77" s="618">
        <f ca="1"/>
        <v>0</v>
      </c>
    </row>
    <row r="78" spans="2:49">
      <c r="B78" s="533" t="s">
        <v>534</v>
      </c>
      <c r="C78" s="534" t="s">
        <v>66</v>
      </c>
      <c r="D78" s="534" t="s">
        <v>59</v>
      </c>
      <c r="E78" s="534" t="s">
        <v>647</v>
      </c>
      <c r="F78" s="534" t="s">
        <v>646</v>
      </c>
      <c r="G78" s="535">
        <v>0.01</v>
      </c>
      <c r="H78" s="535">
        <v>1.3018E-2</v>
      </c>
      <c r="I78" s="536">
        <v>0.4</v>
      </c>
      <c r="J78" s="593">
        <v>4</v>
      </c>
      <c r="K78" s="537">
        <v>18</v>
      </c>
      <c r="L78" s="272"/>
      <c r="M78" s="272"/>
      <c r="P78" s="273"/>
      <c r="Q78" s="273"/>
      <c r="R78" s="273"/>
      <c r="S78" s="273"/>
      <c r="T78" s="575">
        <f ca="1"/>
        <v>0.06</v>
      </c>
      <c r="U78" s="572">
        <f ca="1"/>
        <v>70</v>
      </c>
      <c r="V78" s="484">
        <f ca="1">IF('CDO Bespoke'!O79&lt;&gt;"",'CDO Bespoke'!O79,"")</f>
        <v>9.6877402845365196E-2</v>
      </c>
      <c r="W78" s="640">
        <f t="shared" ca="1" si="1"/>
        <v>0</v>
      </c>
      <c r="X78" s="640">
        <f t="shared" ref="X78:X108" ca="1" si="5">IF(V78&lt;&gt;"",IF($W$8,MAX(V78-W78,0),V78),"")</f>
        <v>9.6877402845365196E-2</v>
      </c>
      <c r="Y78" s="488">
        <f t="shared" ca="1" si="2"/>
        <v>0</v>
      </c>
      <c r="Z78" s="484">
        <f ca="1">IF('CDO Bespoke'!O79&lt;&gt;"",'CDO Bespoke'!O79,"")</f>
        <v>9.6877402845365196E-2</v>
      </c>
      <c r="AA78" s="640">
        <f ca="1">IF(Z78&lt;&gt;"",ABS(MIN(-0.6*'CDO Bespoke'!K79+'CDO Bespoke'!T79*'CDO Bespoke'!K79,0)),"")</f>
        <v>9.3629088501369154E-2</v>
      </c>
      <c r="AB78" s="640">
        <f t="shared" ca="1" si="3"/>
        <v>3.2483143439960421E-3</v>
      </c>
      <c r="AC78" s="488">
        <f t="shared" ca="1" si="4"/>
        <v>0</v>
      </c>
      <c r="AD78" s="272"/>
      <c r="AE78" s="493" t="str">
        <f ca="1">IF('CDO Bespoke'!C103&lt;&gt;"",'CDO Bespoke'!C103,"")</f>
        <v>Electricite de France</v>
      </c>
      <c r="AF78" s="495">
        <f ca="1"/>
        <v>-1.0140828998750351E-3</v>
      </c>
      <c r="AG78" s="583">
        <f ca="1"/>
        <v>-2.3807020999022654E-3</v>
      </c>
      <c r="AH78" s="583">
        <f ca="1"/>
        <v>-5.2603284900198943E-3</v>
      </c>
      <c r="AI78" s="583">
        <f ca="1"/>
        <v>0.821900538079956</v>
      </c>
      <c r="AJ78" s="496">
        <f ca="1"/>
        <v>0</v>
      </c>
      <c r="AK78" s="618">
        <f ca="1"/>
        <v>0</v>
      </c>
      <c r="AL78" s="495">
        <f ca="1"/>
        <v>2.341185862016204E-4</v>
      </c>
      <c r="AM78" s="583">
        <f ca="1"/>
        <v>1.1697098935021383E-3</v>
      </c>
      <c r="AN78" s="583">
        <f ca="1"/>
        <v>4.7311946685998224E-3</v>
      </c>
      <c r="AO78" s="583">
        <f ca="1"/>
        <v>0.75798034410410031</v>
      </c>
      <c r="AP78" s="496">
        <f ca="1"/>
        <v>0</v>
      </c>
      <c r="AQ78" s="618">
        <f ca="1"/>
        <v>0</v>
      </c>
      <c r="AR78" s="495">
        <f ca="1"/>
        <v>-6.3085022530900425E-3</v>
      </c>
      <c r="AS78" s="496">
        <f ca="1"/>
        <v>-3.6991207346255939E-2</v>
      </c>
      <c r="AT78" s="618">
        <f ca="1"/>
        <v>0</v>
      </c>
      <c r="AU78" s="495">
        <f ca="1"/>
        <v>-5.8472994109134036E-2</v>
      </c>
      <c r="AV78" s="496">
        <f ca="1"/>
        <v>2.132927757475464E-2</v>
      </c>
      <c r="AW78" s="618">
        <f ca="1"/>
        <v>0</v>
      </c>
    </row>
    <row r="79" spans="2:49">
      <c r="B79" s="538" t="s">
        <v>535</v>
      </c>
      <c r="C79" s="539" t="s">
        <v>66</v>
      </c>
      <c r="D79" s="539" t="s">
        <v>55</v>
      </c>
      <c r="E79" s="539" t="s">
        <v>647</v>
      </c>
      <c r="F79" s="539" t="s">
        <v>646</v>
      </c>
      <c r="G79" s="540">
        <v>0.01</v>
      </c>
      <c r="H79" s="540">
        <v>4.0559999999999997E-3</v>
      </c>
      <c r="I79" s="541">
        <v>0.4</v>
      </c>
      <c r="J79" s="600">
        <v>4</v>
      </c>
      <c r="K79" s="542">
        <v>19</v>
      </c>
      <c r="L79" s="272"/>
      <c r="M79" s="272"/>
      <c r="P79" s="273"/>
      <c r="Q79" s="273"/>
      <c r="R79" s="273"/>
      <c r="S79" s="273"/>
      <c r="T79" s="575">
        <f ca="1"/>
        <v>0.06</v>
      </c>
      <c r="U79" s="572">
        <f ca="1"/>
        <v>71</v>
      </c>
      <c r="V79" s="484">
        <f ca="1">IF('CDO Bespoke'!O80&lt;&gt;"",'CDO Bespoke'!O80,"")</f>
        <v>9.7426431844811201E-2</v>
      </c>
      <c r="W79" s="640">
        <f t="shared" ca="1" si="1"/>
        <v>0</v>
      </c>
      <c r="X79" s="640">
        <f t="shared" ca="1" si="5"/>
        <v>9.7426431844811201E-2</v>
      </c>
      <c r="Y79" s="488">
        <f t="shared" ca="1" si="2"/>
        <v>0</v>
      </c>
      <c r="Z79" s="484">
        <f ca="1">IF('CDO Bespoke'!O80&lt;&gt;"",'CDO Bespoke'!O80,"")</f>
        <v>9.7426431844811201E-2</v>
      </c>
      <c r="AA79" s="640">
        <f ca="1">IF(Z79&lt;&gt;"",ABS(MIN(-0.6*'CDO Bespoke'!K80+'CDO Bespoke'!T80*'CDO Bespoke'!K80,0)),"")</f>
        <v>9.0400659059489241E-2</v>
      </c>
      <c r="AB79" s="640">
        <f t="shared" ca="1" si="3"/>
        <v>7.0257727853219598E-3</v>
      </c>
      <c r="AC79" s="488">
        <f t="shared" ca="1" si="4"/>
        <v>0</v>
      </c>
      <c r="AD79" s="272"/>
      <c r="AE79" s="493" t="str">
        <f ca="1">IF('CDO Bespoke'!C104&lt;&gt;"",'CDO Bespoke'!C104,"")</f>
        <v>ENEL S.P.A.</v>
      </c>
      <c r="AF79" s="495">
        <f ca="1"/>
        <v>-9.5368497987635692E-4</v>
      </c>
      <c r="AG79" s="583">
        <f ca="1"/>
        <v>-2.207342519877642E-3</v>
      </c>
      <c r="AH79" s="583">
        <f ca="1"/>
        <v>-4.8026694199343467E-3</v>
      </c>
      <c r="AI79" s="583">
        <f ca="1"/>
        <v>0.8047701434299448</v>
      </c>
      <c r="AJ79" s="496">
        <f ca="1"/>
        <v>0</v>
      </c>
      <c r="AK79" s="618">
        <f ca="1"/>
        <v>0</v>
      </c>
      <c r="AL79" s="495">
        <f ca="1"/>
        <v>2.5653613250180285E-4</v>
      </c>
      <c r="AM79" s="583">
        <f ca="1"/>
        <v>1.2732211494012949E-3</v>
      </c>
      <c r="AN79" s="583">
        <f ca="1"/>
        <v>5.231109485798538E-3</v>
      </c>
      <c r="AO79" s="583">
        <f ca="1"/>
        <v>0.74543310529519891</v>
      </c>
      <c r="AP79" s="496">
        <f ca="1"/>
        <v>0</v>
      </c>
      <c r="AQ79" s="618">
        <f ca="1"/>
        <v>0</v>
      </c>
      <c r="AR79" s="495">
        <f ca="1"/>
        <v>-7.1974001773031926E-3</v>
      </c>
      <c r="AS79" s="496">
        <f ca="1"/>
        <v>-3.6485426961795797E-2</v>
      </c>
      <c r="AT79" s="618">
        <f ca="1"/>
        <v>0</v>
      </c>
      <c r="AU79" s="495">
        <f ca="1"/>
        <v>-5.8956938990687588E-2</v>
      </c>
      <c r="AV79" s="496">
        <f ca="1"/>
        <v>1.9516299325365992E-2</v>
      </c>
      <c r="AW79" s="618">
        <f ca="1"/>
        <v>0</v>
      </c>
    </row>
    <row r="80" spans="2:49">
      <c r="B80" s="516" t="s">
        <v>535</v>
      </c>
      <c r="C80" s="517" t="s">
        <v>66</v>
      </c>
      <c r="D80" s="517" t="s">
        <v>57</v>
      </c>
      <c r="E80" s="517" t="s">
        <v>647</v>
      </c>
      <c r="F80" s="517" t="s">
        <v>646</v>
      </c>
      <c r="G80" s="524">
        <v>0.01</v>
      </c>
      <c r="H80" s="524">
        <v>7.1669999999999998E-3</v>
      </c>
      <c r="I80" s="526">
        <v>0.4</v>
      </c>
      <c r="J80" s="592">
        <v>4</v>
      </c>
      <c r="K80" s="518">
        <v>19</v>
      </c>
      <c r="L80" s="272"/>
      <c r="M80" s="272"/>
      <c r="P80" s="273"/>
      <c r="Q80" s="273"/>
      <c r="R80" s="273"/>
      <c r="S80" s="273"/>
      <c r="T80" s="575">
        <f ca="1"/>
        <v>0.06</v>
      </c>
      <c r="U80" s="572">
        <f ca="1"/>
        <v>72</v>
      </c>
      <c r="V80" s="484">
        <f ca="1">IF('CDO Bespoke'!O81&lt;&gt;"",'CDO Bespoke'!O81,"")</f>
        <v>9.7850799035241201E-2</v>
      </c>
      <c r="W80" s="640">
        <f t="shared" ref="W80:W138" ca="1" si="6">IF(V80&lt;&gt;"",0,"")</f>
        <v>0</v>
      </c>
      <c r="X80" s="640">
        <f t="shared" ca="1" si="5"/>
        <v>9.7850799035241201E-2</v>
      </c>
      <c r="Y80" s="488">
        <f t="shared" ref="Y80:Y138" ca="1" si="7">IF(V80&lt;&gt;"",IF($W$8,0,W80),"")</f>
        <v>0</v>
      </c>
      <c r="Z80" s="484">
        <f ca="1">IF('CDO Bespoke'!O81&lt;&gt;"",'CDO Bespoke'!O81,"")</f>
        <v>9.7850799035241201E-2</v>
      </c>
      <c r="AA80" s="640">
        <f ca="1">IF(Z80&lt;&gt;"",ABS(MIN(-0.6*'CDO Bespoke'!K81+'CDO Bespoke'!T81*'CDO Bespoke'!K81,0)),"")</f>
        <v>8.6622396302735521E-2</v>
      </c>
      <c r="AB80" s="640">
        <f t="shared" ref="AB80:AB138" ca="1" si="8">IF(Z80&lt;&gt;"",IF($W$8,MAX(Z80-AA80,0),Z80),"")</f>
        <v>1.122840273250568E-2</v>
      </c>
      <c r="AC80" s="488">
        <f t="shared" ref="AC80:AC138" ca="1" si="9">IF(Z80&lt;&gt;"",IF($W$8,0,AA80),"")</f>
        <v>0</v>
      </c>
      <c r="AD80" s="272"/>
      <c r="AE80" s="493" t="str">
        <f ca="1">IF('CDO Bespoke'!C105&lt;&gt;"",'CDO Bespoke'!C105,"")</f>
        <v>ENGIE</v>
      </c>
      <c r="AF80" s="495">
        <f ca="1"/>
        <v>-5.95881020082345E-4</v>
      </c>
      <c r="AG80" s="583">
        <f ca="1"/>
        <v>-8.034897602815505E-4</v>
      </c>
      <c r="AH80" s="583">
        <f ca="1"/>
        <v>5.3701580016163319E-4</v>
      </c>
      <c r="AI80" s="583">
        <f ca="1"/>
        <v>0.6983935622700832</v>
      </c>
      <c r="AJ80" s="496">
        <f ca="1"/>
        <v>0</v>
      </c>
      <c r="AK80" s="618">
        <f ca="1"/>
        <v>0</v>
      </c>
      <c r="AL80" s="495">
        <f ca="1"/>
        <v>3.2842020409630523E-4</v>
      </c>
      <c r="AM80" s="583">
        <f ca="1"/>
        <v>1.6052790953978435E-3</v>
      </c>
      <c r="AN80" s="583">
        <f ca="1"/>
        <v>6.9772897163004541E-3</v>
      </c>
      <c r="AO80" s="583">
        <f ca="1"/>
        <v>0.66500049270759931</v>
      </c>
      <c r="AP80" s="496">
        <f ca="1"/>
        <v>0</v>
      </c>
      <c r="AQ80" s="618">
        <f ca="1"/>
        <v>0</v>
      </c>
      <c r="AR80" s="495">
        <f ca="1"/>
        <v>-1.1926707896310951E-2</v>
      </c>
      <c r="AS80" s="496">
        <f ca="1"/>
        <v>-3.2824695196837061E-2</v>
      </c>
      <c r="AT80" s="618">
        <f ca="1"/>
        <v>0</v>
      </c>
      <c r="AU80" s="495">
        <f ca="1"/>
        <v>-6.0960765079176596E-2</v>
      </c>
      <c r="AV80" s="496">
        <f ca="1"/>
        <v>1.2089611904485391E-2</v>
      </c>
      <c r="AW80" s="618">
        <f ca="1"/>
        <v>0</v>
      </c>
    </row>
    <row r="81" spans="2:49">
      <c r="B81" s="533" t="s">
        <v>535</v>
      </c>
      <c r="C81" s="534" t="s">
        <v>66</v>
      </c>
      <c r="D81" s="534" t="s">
        <v>59</v>
      </c>
      <c r="E81" s="534" t="s">
        <v>647</v>
      </c>
      <c r="F81" s="534" t="s">
        <v>646</v>
      </c>
      <c r="G81" s="535">
        <v>0.01</v>
      </c>
      <c r="H81" s="535">
        <v>1.0695E-2</v>
      </c>
      <c r="I81" s="536">
        <v>0.4</v>
      </c>
      <c r="J81" s="593">
        <v>4</v>
      </c>
      <c r="K81" s="537">
        <v>19</v>
      </c>
      <c r="L81" s="272"/>
      <c r="M81" s="272"/>
      <c r="P81" s="273"/>
      <c r="Q81" s="273"/>
      <c r="R81" s="273"/>
      <c r="S81" s="273"/>
      <c r="T81" s="575">
        <f ca="1"/>
        <v>0.06</v>
      </c>
      <c r="U81" s="572">
        <f ca="1"/>
        <v>73</v>
      </c>
      <c r="V81" s="484">
        <f ca="1">IF('CDO Bespoke'!O82&lt;&gt;"",'CDO Bespoke'!O82,"")</f>
        <v>9.7325809701867202E-2</v>
      </c>
      <c r="W81" s="640">
        <f t="shared" ca="1" si="6"/>
        <v>0</v>
      </c>
      <c r="X81" s="640">
        <f t="shared" ca="1" si="5"/>
        <v>9.7325809701867202E-2</v>
      </c>
      <c r="Y81" s="488">
        <f t="shared" ca="1" si="7"/>
        <v>0</v>
      </c>
      <c r="Z81" s="484">
        <f ca="1">IF('CDO Bespoke'!O82&lt;&gt;"",'CDO Bespoke'!O82,"")</f>
        <v>9.7325809701867202E-2</v>
      </c>
      <c r="AA81" s="640">
        <f ca="1">IF(Z81&lt;&gt;"",ABS(MIN(-0.6*'CDO Bespoke'!K82+'CDO Bespoke'!T82*'CDO Bespoke'!K82,0)),"")</f>
        <v>9.1106219703761773E-2</v>
      </c>
      <c r="AB81" s="640">
        <f t="shared" ca="1" si="8"/>
        <v>6.2195899981054292E-3</v>
      </c>
      <c r="AC81" s="488">
        <f t="shared" ca="1" si="9"/>
        <v>0</v>
      </c>
      <c r="AD81" s="272"/>
      <c r="AE81" s="493" t="str">
        <f ca="1">IF('CDO Bespoke'!C106&lt;&gt;"",'CDO Bespoke'!C106,"")</f>
        <v>ENI S.P.A.</v>
      </c>
      <c r="AF81" s="495">
        <f ca="1"/>
        <v>-8.2072334983696038E-4</v>
      </c>
      <c r="AG81" s="583">
        <f ca="1"/>
        <v>-1.6308883399318574E-3</v>
      </c>
      <c r="AH81" s="583">
        <f ca="1"/>
        <v>-2.4191764302905483E-3</v>
      </c>
      <c r="AI81" s="583">
        <f ca="1"/>
        <v>0.76974394795981116</v>
      </c>
      <c r="AJ81" s="496">
        <f ca="1"/>
        <v>0</v>
      </c>
      <c r="AK81" s="618">
        <f ca="1"/>
        <v>0</v>
      </c>
      <c r="AL81" s="495">
        <f ca="1"/>
        <v>2.8416790899977312E-4</v>
      </c>
      <c r="AM81" s="583">
        <f ca="1"/>
        <v>1.4022964865993345E-3</v>
      </c>
      <c r="AN81" s="583">
        <f ca="1"/>
        <v>5.9193773384010398E-3</v>
      </c>
      <c r="AO81" s="583">
        <f ca="1"/>
        <v>0.71962756509929848</v>
      </c>
      <c r="AP81" s="496">
        <f ca="1"/>
        <v>0</v>
      </c>
      <c r="AQ81" s="618">
        <f ca="1"/>
        <v>0</v>
      </c>
      <c r="AR81" s="495">
        <f ca="1"/>
        <v>-8.6838741310403811E-3</v>
      </c>
      <c r="AS81" s="496">
        <f ca="1"/>
        <v>-3.5359164658481601E-2</v>
      </c>
      <c r="AT81" s="618">
        <f ca="1"/>
        <v>0</v>
      </c>
      <c r="AU81" s="495">
        <f ca="1"/>
        <v>-0.11093415909189933</v>
      </c>
      <c r="AV81" s="496">
        <f ca="1"/>
        <v>6.0568406464084415E-3</v>
      </c>
      <c r="AW81" s="618">
        <f ca="1"/>
        <v>0</v>
      </c>
    </row>
    <row r="82" spans="2:49">
      <c r="B82" s="538" t="s">
        <v>611</v>
      </c>
      <c r="C82" s="539" t="s">
        <v>66</v>
      </c>
      <c r="D82" s="539" t="s">
        <v>55</v>
      </c>
      <c r="E82" s="539" t="s">
        <v>648</v>
      </c>
      <c r="F82" s="539" t="s">
        <v>670</v>
      </c>
      <c r="G82" s="540">
        <v>0.01</v>
      </c>
      <c r="H82" s="540">
        <v>1.191E-3</v>
      </c>
      <c r="I82" s="541">
        <v>0.4</v>
      </c>
      <c r="J82" s="600">
        <v>4</v>
      </c>
      <c r="K82" s="542">
        <v>20</v>
      </c>
      <c r="L82" s="272"/>
      <c r="M82" s="272"/>
      <c r="P82" s="273"/>
      <c r="Q82" s="273"/>
      <c r="R82" s="273"/>
      <c r="S82" s="273"/>
      <c r="T82" s="575">
        <f ca="1"/>
        <v>0.06</v>
      </c>
      <c r="U82" s="572">
        <f ca="1"/>
        <v>74</v>
      </c>
      <c r="V82" s="484">
        <f ca="1">IF('CDO Bespoke'!O83&lt;&gt;"",'CDO Bespoke'!O83,"")</f>
        <v>9.8409913054991194E-2</v>
      </c>
      <c r="W82" s="640">
        <f t="shared" ca="1" si="6"/>
        <v>0</v>
      </c>
      <c r="X82" s="640">
        <f t="shared" ca="1" si="5"/>
        <v>9.8409913054991194E-2</v>
      </c>
      <c r="Y82" s="488">
        <f t="shared" ca="1" si="7"/>
        <v>0</v>
      </c>
      <c r="Z82" s="484">
        <f ca="1">IF('CDO Bespoke'!O83&lt;&gt;"",'CDO Bespoke'!O83,"")</f>
        <v>9.8409913054991194E-2</v>
      </c>
      <c r="AA82" s="640">
        <f ca="1">IF(Z82&lt;&gt;"",ABS(MIN(-0.6*'CDO Bespoke'!K83+'CDO Bespoke'!T83*'CDO Bespoke'!K83,0)),"")</f>
        <v>7.8254500479193176E-2</v>
      </c>
      <c r="AB82" s="640">
        <f t="shared" ca="1" si="8"/>
        <v>2.0155412575798018E-2</v>
      </c>
      <c r="AC82" s="488">
        <f t="shared" ca="1" si="9"/>
        <v>0</v>
      </c>
      <c r="AD82" s="272"/>
      <c r="AE82" s="493" t="str">
        <f ca="1">IF('CDO Bespoke'!C107&lt;&gt;"",'CDO Bespoke'!C107,"")</f>
        <v>EQUINOR ASA</v>
      </c>
      <c r="AF82" s="495">
        <f ca="1"/>
        <v>-2.2712244029943207E-4</v>
      </c>
      <c r="AG82" s="583">
        <f ca="1"/>
        <v>5.1159872005435147E-4</v>
      </c>
      <c r="AH82" s="583">
        <f ca="1"/>
        <v>4.959719999697576E-3</v>
      </c>
      <c r="AI82" s="583">
        <f ca="1"/>
        <v>0.55418651353000836</v>
      </c>
      <c r="AJ82" s="496">
        <f ca="1"/>
        <v>0</v>
      </c>
      <c r="AK82" s="618">
        <f ca="1"/>
        <v>0</v>
      </c>
      <c r="AL82" s="495">
        <f ca="1"/>
        <v>3.5149180220052367E-4</v>
      </c>
      <c r="AM82" s="583">
        <f ca="1"/>
        <v>1.7024122498992753E-3</v>
      </c>
      <c r="AN82" s="583">
        <f ca="1"/>
        <v>7.6033251305987828E-3</v>
      </c>
      <c r="AO82" s="583">
        <f ca="1"/>
        <v>0.5467295397687012</v>
      </c>
      <c r="AP82" s="496">
        <f ca="1"/>
        <v>0</v>
      </c>
      <c r="AQ82" s="618">
        <f ca="1"/>
        <v>0</v>
      </c>
      <c r="AR82" s="495">
        <f ca="1"/>
        <v>-1.839950486352393E-2</v>
      </c>
      <c r="AS82" s="496">
        <f ca="1"/>
        <v>-2.6997166795605043E-2</v>
      </c>
      <c r="AT82" s="618">
        <f ca="1"/>
        <v>0</v>
      </c>
      <c r="AU82" s="495">
        <f ca="1"/>
        <v>-0.11887155916819271</v>
      </c>
      <c r="AV82" s="496">
        <f ca="1"/>
        <v>-3.1024202000449926E-3</v>
      </c>
      <c r="AW82" s="618">
        <f ca="1"/>
        <v>0</v>
      </c>
    </row>
    <row r="83" spans="2:49">
      <c r="B83" s="516" t="s">
        <v>611</v>
      </c>
      <c r="C83" s="517" t="s">
        <v>66</v>
      </c>
      <c r="D83" s="517" t="s">
        <v>57</v>
      </c>
      <c r="E83" s="517" t="s">
        <v>648</v>
      </c>
      <c r="F83" s="517" t="s">
        <v>670</v>
      </c>
      <c r="G83" s="524">
        <v>0.01</v>
      </c>
      <c r="H83" s="524">
        <v>1.908E-3</v>
      </c>
      <c r="I83" s="526">
        <v>0.4</v>
      </c>
      <c r="J83" s="592">
        <v>4</v>
      </c>
      <c r="K83" s="518">
        <v>20</v>
      </c>
      <c r="L83" s="272"/>
      <c r="M83" s="272"/>
      <c r="P83" s="273"/>
      <c r="Q83" s="273"/>
      <c r="R83" s="273"/>
      <c r="S83" s="273"/>
      <c r="T83" s="575">
        <f ca="1"/>
        <v>0.02</v>
      </c>
      <c r="U83" s="572">
        <f ca="1"/>
        <v>75</v>
      </c>
      <c r="V83" s="484">
        <f ca="1">IF('CDO Bespoke'!O84&lt;&gt;"",'CDO Bespoke'!O84,"")</f>
        <v>9.7912882319173195E-2</v>
      </c>
      <c r="W83" s="640">
        <f t="shared" ca="1" si="6"/>
        <v>0</v>
      </c>
      <c r="X83" s="640">
        <f t="shared" ca="1" si="5"/>
        <v>9.7912882319173195E-2</v>
      </c>
      <c r="Y83" s="488">
        <f t="shared" ca="1" si="7"/>
        <v>0</v>
      </c>
      <c r="Z83" s="484">
        <f ca="1">IF('CDO Bespoke'!O84&lt;&gt;"",'CDO Bespoke'!O84,"")</f>
        <v>9.7912882319173195E-2</v>
      </c>
      <c r="AA83" s="640">
        <f ca="1">IF(Z83&lt;&gt;"",ABS(MIN(-0.6*'CDO Bespoke'!K84+'CDO Bespoke'!T84*'CDO Bespoke'!K84,0)),"")</f>
        <v>8.5930554638875598E-2</v>
      </c>
      <c r="AB83" s="640">
        <f t="shared" ca="1" si="8"/>
        <v>1.1982327680297597E-2</v>
      </c>
      <c r="AC83" s="488">
        <f t="shared" ca="1" si="9"/>
        <v>0</v>
      </c>
      <c r="AD83" s="272"/>
      <c r="AE83" s="493" t="str">
        <f ca="1">IF('CDO Bespoke'!C108&lt;&gt;"",'CDO Bespoke'!C108,"")</f>
        <v>Fortum Oyj</v>
      </c>
      <c r="AF83" s="495">
        <f ca="1"/>
        <v>-6.2882535012409591E-4</v>
      </c>
      <c r="AG83" s="583">
        <f ca="1"/>
        <v>-9.5526593024697348E-4</v>
      </c>
      <c r="AH83" s="583">
        <f ca="1"/>
        <v>-9.1381799904866057E-5</v>
      </c>
      <c r="AI83" s="583">
        <f ca="1"/>
        <v>0.70747493603973144</v>
      </c>
      <c r="AJ83" s="496">
        <f ca="1"/>
        <v>0</v>
      </c>
      <c r="AK83" s="618">
        <f ca="1"/>
        <v>0</v>
      </c>
      <c r="AL83" s="495">
        <f ca="1"/>
        <v>3.2521987169704253E-4</v>
      </c>
      <c r="AM83" s="583">
        <f ca="1"/>
        <v>1.5904574208981323E-3</v>
      </c>
      <c r="AN83" s="583">
        <f ca="1"/>
        <v>6.8886519161972734E-3</v>
      </c>
      <c r="AO83" s="583">
        <f ca="1"/>
        <v>0.67199285897160099</v>
      </c>
      <c r="AP83" s="496">
        <f ca="1"/>
        <v>0</v>
      </c>
      <c r="AQ83" s="618">
        <f ca="1"/>
        <v>0</v>
      </c>
      <c r="AR83" s="495">
        <f ca="1"/>
        <v>-1.1557210137376206E-2</v>
      </c>
      <c r="AS83" s="496">
        <f ca="1"/>
        <v>-3.3154906879997781E-2</v>
      </c>
      <c r="AT83" s="618">
        <f ca="1"/>
        <v>0</v>
      </c>
      <c r="AU83" s="495">
        <f ca="1"/>
        <v>-6.0826430511081699E-2</v>
      </c>
      <c r="AV83" s="496">
        <f ca="1"/>
        <v>1.2565925952060799E-2</v>
      </c>
      <c r="AW83" s="618">
        <f ca="1"/>
        <v>0</v>
      </c>
    </row>
    <row r="84" spans="2:49">
      <c r="B84" s="533" t="s">
        <v>611</v>
      </c>
      <c r="C84" s="534" t="s">
        <v>66</v>
      </c>
      <c r="D84" s="534" t="s">
        <v>59</v>
      </c>
      <c r="E84" s="534" t="s">
        <v>648</v>
      </c>
      <c r="F84" s="534" t="s">
        <v>670</v>
      </c>
      <c r="G84" s="535">
        <v>0.01</v>
      </c>
      <c r="H84" s="535">
        <v>2.9069999999999999E-3</v>
      </c>
      <c r="I84" s="536">
        <v>0.4</v>
      </c>
      <c r="J84" s="593">
        <v>4</v>
      </c>
      <c r="K84" s="537">
        <v>20</v>
      </c>
      <c r="L84" s="272"/>
      <c r="M84" s="272"/>
      <c r="P84" s="273"/>
      <c r="Q84" s="273"/>
      <c r="R84" s="273"/>
      <c r="S84" s="273"/>
      <c r="T84" s="575">
        <f ca="1"/>
        <v>0.03</v>
      </c>
      <c r="U84" s="572">
        <f ca="1"/>
        <v>76</v>
      </c>
      <c r="V84" s="484">
        <f ca="1">IF('CDO Bespoke'!O85&lt;&gt;"",'CDO Bespoke'!O85,"")</f>
        <v>9.8093815910684196E-2</v>
      </c>
      <c r="W84" s="640">
        <f t="shared" ca="1" si="6"/>
        <v>0</v>
      </c>
      <c r="X84" s="640">
        <f t="shared" ca="1" si="5"/>
        <v>9.8093815910684196E-2</v>
      </c>
      <c r="Y84" s="488">
        <f t="shared" ca="1" si="7"/>
        <v>0</v>
      </c>
      <c r="Z84" s="484">
        <f ca="1">IF('CDO Bespoke'!O85&lt;&gt;"",'CDO Bespoke'!O85,"")</f>
        <v>9.8093815910684196E-2</v>
      </c>
      <c r="AA84" s="640">
        <f ca="1">IF(Z84&lt;&gt;"",ABS(MIN(-0.6*'CDO Bespoke'!K85+'CDO Bespoke'!T85*'CDO Bespoke'!K85,0)),"")</f>
        <v>8.3638274168441731E-2</v>
      </c>
      <c r="AB84" s="640">
        <f t="shared" ca="1" si="8"/>
        <v>1.4455541742242464E-2</v>
      </c>
      <c r="AC84" s="488">
        <f t="shared" ca="1" si="9"/>
        <v>0</v>
      </c>
      <c r="AD84" s="272"/>
      <c r="AE84" s="493" t="str">
        <f ca="1">IF('CDO Bespoke'!C109&lt;&gt;"",'CDO Bespoke'!C109,"")</f>
        <v>Iberdrola, S.A.</v>
      </c>
      <c r="AF84" s="495">
        <f ca="1"/>
        <v>-4.8233036009648345E-4</v>
      </c>
      <c r="AG84" s="583">
        <f ca="1"/>
        <v>-4.0463419004321821E-4</v>
      </c>
      <c r="AH84" s="583">
        <f ca="1"/>
        <v>1.8867405798816961E-3</v>
      </c>
      <c r="AI84" s="583">
        <f ca="1"/>
        <v>0.656720987829984</v>
      </c>
      <c r="AJ84" s="496">
        <f ca="1"/>
        <v>0</v>
      </c>
      <c r="AK84" s="618">
        <f ca="1"/>
        <v>0</v>
      </c>
      <c r="AL84" s="495">
        <f ca="1"/>
        <v>3.4321074680182528E-4</v>
      </c>
      <c r="AM84" s="583">
        <f ca="1"/>
        <v>1.6715168569018599E-3</v>
      </c>
      <c r="AN84" s="583">
        <f ca="1"/>
        <v>7.3407317512010767E-3</v>
      </c>
      <c r="AO84" s="583">
        <f ca="1"/>
        <v>0.63166335704569954</v>
      </c>
      <c r="AP84" s="496">
        <f ca="1"/>
        <v>0</v>
      </c>
      <c r="AQ84" s="618">
        <f ca="1"/>
        <v>0</v>
      </c>
      <c r="AR84" s="495">
        <f ca="1"/>
        <v>-1.3816378416738717E-2</v>
      </c>
      <c r="AS84" s="496">
        <f ca="1"/>
        <v>-3.1217424384766268E-2</v>
      </c>
      <c r="AT84" s="618">
        <f ca="1"/>
        <v>0</v>
      </c>
      <c r="AU84" s="495">
        <f ca="1"/>
        <v>-6.1759247315394436E-2</v>
      </c>
      <c r="AV84" s="496">
        <f ca="1"/>
        <v>9.7367582115584338E-3</v>
      </c>
      <c r="AW84" s="618">
        <f ca="1"/>
        <v>0</v>
      </c>
    </row>
    <row r="85" spans="2:49">
      <c r="B85" s="538" t="s">
        <v>520</v>
      </c>
      <c r="C85" s="539" t="s">
        <v>66</v>
      </c>
      <c r="D85" s="539" t="s">
        <v>55</v>
      </c>
      <c r="E85" s="539" t="s">
        <v>645</v>
      </c>
      <c r="F85" s="539" t="s">
        <v>670</v>
      </c>
      <c r="G85" s="540">
        <v>0.01</v>
      </c>
      <c r="H85" s="540">
        <v>1.2049999999999999E-3</v>
      </c>
      <c r="I85" s="541">
        <v>0.4</v>
      </c>
      <c r="J85" s="600">
        <v>4</v>
      </c>
      <c r="K85" s="542">
        <v>21</v>
      </c>
      <c r="L85" s="272"/>
      <c r="M85" s="272"/>
      <c r="P85" s="273"/>
      <c r="Q85" s="273"/>
      <c r="R85" s="273"/>
      <c r="S85" s="273"/>
      <c r="T85" s="575">
        <f ca="1"/>
        <v>0.06</v>
      </c>
      <c r="U85" s="572">
        <f ca="1"/>
        <v>77</v>
      </c>
      <c r="V85" s="484">
        <f ca="1">IF('CDO Bespoke'!O86&lt;&gt;"",'CDO Bespoke'!O86,"")</f>
        <v>9.7132453026711196E-2</v>
      </c>
      <c r="W85" s="640">
        <f t="shared" ca="1" si="6"/>
        <v>0</v>
      </c>
      <c r="X85" s="640">
        <f t="shared" ca="1" si="5"/>
        <v>9.7132453026711196E-2</v>
      </c>
      <c r="Y85" s="488">
        <f t="shared" ca="1" si="7"/>
        <v>0</v>
      </c>
      <c r="Z85" s="484">
        <f ca="1">IF('CDO Bespoke'!O86&lt;&gt;"",'CDO Bespoke'!O86,"")</f>
        <v>9.7132453026711196E-2</v>
      </c>
      <c r="AA85" s="640">
        <f ca="1">IF(Z85&lt;&gt;"",ABS(MIN(-0.6*'CDO Bespoke'!K86+'CDO Bespoke'!T86*'CDO Bespoke'!K86,0)),"")</f>
        <v>9.230670147404571E-2</v>
      </c>
      <c r="AB85" s="640">
        <f t="shared" ca="1" si="8"/>
        <v>4.8257515526654859E-3</v>
      </c>
      <c r="AC85" s="488">
        <f t="shared" ca="1" si="9"/>
        <v>0</v>
      </c>
      <c r="AD85" s="272"/>
      <c r="AE85" s="493" t="str">
        <f ca="1">IF('CDO Bespoke'!C110&lt;&gt;"",'CDO Bespoke'!C110,"")</f>
        <v>NATIONAL GRID PLC</v>
      </c>
      <c r="AF85" s="495">
        <f ca="1"/>
        <v>-8.5843570030164074E-4</v>
      </c>
      <c r="AG85" s="583">
        <f ca="1"/>
        <v>-1.7585862299718258E-3</v>
      </c>
      <c r="AH85" s="583">
        <f ca="1"/>
        <v>-2.8335282797886663E-3</v>
      </c>
      <c r="AI85" s="583">
        <f ca="1"/>
        <v>0.78088082111016366</v>
      </c>
      <c r="AJ85" s="496">
        <f ca="1"/>
        <v>0</v>
      </c>
      <c r="AK85" s="618">
        <f ca="1"/>
        <v>0</v>
      </c>
      <c r="AL85" s="495">
        <f ca="1"/>
        <v>2.7387970300083581E-4</v>
      </c>
      <c r="AM85" s="583">
        <f ca="1"/>
        <v>1.3548739600990206E-3</v>
      </c>
      <c r="AN85" s="583">
        <f ca="1"/>
        <v>5.6830796250992993E-3</v>
      </c>
      <c r="AO85" s="583">
        <f ca="1"/>
        <v>0.72799193329880008</v>
      </c>
      <c r="AP85" s="496">
        <f ca="1"/>
        <v>0</v>
      </c>
      <c r="AQ85" s="618">
        <f ca="1"/>
        <v>0</v>
      </c>
      <c r="AR85" s="495">
        <f ca="1"/>
        <v>-8.1497700453129207E-3</v>
      </c>
      <c r="AS85" s="496">
        <f ca="1"/>
        <v>-3.5724053593723049E-2</v>
      </c>
      <c r="AT85" s="618">
        <f ca="1"/>
        <v>0</v>
      </c>
      <c r="AU85" s="495">
        <f ca="1"/>
        <v>-5.9290007263535414E-2</v>
      </c>
      <c r="AV85" s="496">
        <f ca="1"/>
        <v>1.7906585392612112E-2</v>
      </c>
      <c r="AW85" s="618">
        <f ca="1"/>
        <v>0</v>
      </c>
    </row>
    <row r="86" spans="2:49">
      <c r="B86" s="516" t="s">
        <v>520</v>
      </c>
      <c r="C86" s="517" t="s">
        <v>66</v>
      </c>
      <c r="D86" s="517" t="s">
        <v>57</v>
      </c>
      <c r="E86" s="517" t="s">
        <v>645</v>
      </c>
      <c r="F86" s="517" t="s">
        <v>670</v>
      </c>
      <c r="G86" s="524">
        <v>0.01</v>
      </c>
      <c r="H86" s="524">
        <v>1.9740000000000001E-3</v>
      </c>
      <c r="I86" s="526">
        <v>0.4</v>
      </c>
      <c r="J86" s="592">
        <v>4</v>
      </c>
      <c r="K86" s="518">
        <v>21</v>
      </c>
      <c r="L86" s="272"/>
      <c r="M86" s="272"/>
      <c r="P86" s="273"/>
      <c r="Q86" s="273"/>
      <c r="R86" s="273"/>
      <c r="S86" s="273"/>
      <c r="T86" s="575">
        <f ca="1"/>
        <v>0.06</v>
      </c>
      <c r="U86" s="572">
        <f ca="1"/>
        <v>78</v>
      </c>
      <c r="V86" s="484">
        <f ca="1">IF('CDO Bespoke'!O87&lt;&gt;"",'CDO Bespoke'!O87,"")</f>
        <v>9.7650141954244193E-2</v>
      </c>
      <c r="W86" s="640">
        <f t="shared" ca="1" si="6"/>
        <v>0</v>
      </c>
      <c r="X86" s="640">
        <f t="shared" ca="1" si="5"/>
        <v>9.7650141954244193E-2</v>
      </c>
      <c r="Y86" s="488">
        <f t="shared" ca="1" si="7"/>
        <v>0</v>
      </c>
      <c r="Z86" s="484">
        <f ca="1">IF('CDO Bespoke'!O87&lt;&gt;"",'CDO Bespoke'!O87,"")</f>
        <v>9.7650141954244193E-2</v>
      </c>
      <c r="AA86" s="640">
        <f ca="1">IF(Z86&lt;&gt;"",ABS(MIN(-0.6*'CDO Bespoke'!K87+'CDO Bespoke'!T87*'CDO Bespoke'!K87,0)),"")</f>
        <v>8.8592429993710087E-2</v>
      </c>
      <c r="AB86" s="640">
        <f t="shared" ca="1" si="8"/>
        <v>9.0577119605341067E-3</v>
      </c>
      <c r="AC86" s="488">
        <f t="shared" ca="1" si="9"/>
        <v>0</v>
      </c>
      <c r="AD86" s="272"/>
      <c r="AE86" s="493" t="str">
        <f ca="1">IF('CDO Bespoke'!C111&lt;&gt;"",'CDO Bespoke'!C111,"")</f>
        <v>NATURGY ENERGY GROUP, S.A.</v>
      </c>
      <c r="AF86" s="495">
        <f ca="1"/>
        <v>-6.3952212026041622E-4</v>
      </c>
      <c r="AG86" s="583">
        <f ca="1"/>
        <v>-9.3753497021342724E-4</v>
      </c>
      <c r="AH86" s="583">
        <f ca="1"/>
        <v>1.46631959907495E-4</v>
      </c>
      <c r="AI86" s="583">
        <f ca="1"/>
        <v>0.7146002295599363</v>
      </c>
      <c r="AJ86" s="496">
        <f ca="1"/>
        <v>0</v>
      </c>
      <c r="AK86" s="618">
        <f ca="1"/>
        <v>0</v>
      </c>
      <c r="AL86" s="495">
        <f ca="1"/>
        <v>3.1979732200045075E-4</v>
      </c>
      <c r="AM86" s="583">
        <f ca="1"/>
        <v>1.5664062895989067E-3</v>
      </c>
      <c r="AN86" s="583">
        <f ca="1"/>
        <v>6.777995100997608E-3</v>
      </c>
      <c r="AO86" s="583">
        <f ca="1"/>
        <v>0.67783307163359929</v>
      </c>
      <c r="AP86" s="496">
        <f ca="1"/>
        <v>0</v>
      </c>
      <c r="AQ86" s="618">
        <f ca="1"/>
        <v>0</v>
      </c>
      <c r="AR86" s="495">
        <f ca="1"/>
        <v>-1.1160365072258482E-2</v>
      </c>
      <c r="AS86" s="496">
        <f ca="1"/>
        <v>-3.3431243745066508E-2</v>
      </c>
      <c r="AT86" s="618">
        <f ca="1"/>
        <v>0</v>
      </c>
      <c r="AU86" s="495">
        <f ca="1"/>
        <v>-6.0612795480084455E-2</v>
      </c>
      <c r="AV86" s="496">
        <f ca="1"/>
        <v>1.3158938854425858E-2</v>
      </c>
      <c r="AW86" s="618">
        <f ca="1"/>
        <v>0</v>
      </c>
    </row>
    <row r="87" spans="2:49">
      <c r="B87" s="533" t="s">
        <v>520</v>
      </c>
      <c r="C87" s="534" t="s">
        <v>66</v>
      </c>
      <c r="D87" s="534" t="s">
        <v>59</v>
      </c>
      <c r="E87" s="534" t="s">
        <v>645</v>
      </c>
      <c r="F87" s="534" t="s">
        <v>670</v>
      </c>
      <c r="G87" s="535">
        <v>0.01</v>
      </c>
      <c r="H87" s="535">
        <v>3.055E-3</v>
      </c>
      <c r="I87" s="536">
        <v>0.4</v>
      </c>
      <c r="J87" s="593">
        <v>4</v>
      </c>
      <c r="K87" s="537">
        <v>21</v>
      </c>
      <c r="L87" s="272"/>
      <c r="M87" s="272"/>
      <c r="P87" s="273"/>
      <c r="Q87" s="273"/>
      <c r="R87" s="273"/>
      <c r="S87" s="273"/>
      <c r="T87" s="575">
        <f ca="1"/>
        <v>0.06</v>
      </c>
      <c r="U87" s="572">
        <f ca="1"/>
        <v>79</v>
      </c>
      <c r="V87" s="484">
        <f ca="1">IF('CDO Bespoke'!O88&lt;&gt;"",'CDO Bespoke'!O88,"")</f>
        <v>9.6956074413302201E-2</v>
      </c>
      <c r="W87" s="640">
        <f t="shared" ca="1" si="6"/>
        <v>0</v>
      </c>
      <c r="X87" s="640">
        <f t="shared" ca="1" si="5"/>
        <v>9.6956074413302201E-2</v>
      </c>
      <c r="Y87" s="488">
        <f t="shared" ca="1" si="7"/>
        <v>0</v>
      </c>
      <c r="Z87" s="484">
        <f ca="1">IF('CDO Bespoke'!O88&lt;&gt;"",'CDO Bespoke'!O88,"")</f>
        <v>9.6956074413302201E-2</v>
      </c>
      <c r="AA87" s="640">
        <f ca="1">IF(Z87&lt;&gt;"",ABS(MIN(-0.6*'CDO Bespoke'!K88+'CDO Bespoke'!T88*'CDO Bespoke'!K88,0)),"")</f>
        <v>9.3249334172094328E-2</v>
      </c>
      <c r="AB87" s="640">
        <f t="shared" ca="1" si="8"/>
        <v>3.7067402412078732E-3</v>
      </c>
      <c r="AC87" s="488">
        <f t="shared" ca="1" si="9"/>
        <v>0</v>
      </c>
      <c r="AD87" s="272"/>
      <c r="AE87" s="493" t="str">
        <f ca="1">IF('CDO Bespoke'!C112&lt;&gt;"",'CDO Bespoke'!C112,"")</f>
        <v>REPSOL, S.A.</v>
      </c>
      <c r="AF87" s="495">
        <f ca="1"/>
        <v>-9.0557546017500101E-4</v>
      </c>
      <c r="AG87" s="583">
        <f ca="1"/>
        <v>-1.9321440702935178E-3</v>
      </c>
      <c r="AH87" s="583">
        <f ca="1"/>
        <v>-3.4513777702471771E-3</v>
      </c>
      <c r="AI87" s="583">
        <f ca="1"/>
        <v>0.79390321518990614</v>
      </c>
      <c r="AJ87" s="496">
        <f ca="1"/>
        <v>0</v>
      </c>
      <c r="AK87" s="618">
        <f ca="1"/>
        <v>0</v>
      </c>
      <c r="AL87" s="495">
        <f ca="1"/>
        <v>2.6139544890158711E-4</v>
      </c>
      <c r="AM87" s="583">
        <f ca="1"/>
        <v>1.2970867554031387E-3</v>
      </c>
      <c r="AN87" s="583">
        <f ca="1"/>
        <v>5.3917747147016679E-3</v>
      </c>
      <c r="AO87" s="583">
        <f ca="1"/>
        <v>0.73763724862560287</v>
      </c>
      <c r="AP87" s="496">
        <f ca="1"/>
        <v>0</v>
      </c>
      <c r="AQ87" s="618">
        <f ca="1"/>
        <v>0</v>
      </c>
      <c r="AR87" s="495">
        <f ca="1"/>
        <v>-7.541013230690452E-3</v>
      </c>
      <c r="AS87" s="496">
        <f ca="1"/>
        <v>-3.6137652055509506E-2</v>
      </c>
      <c r="AT87" s="618">
        <f ca="1"/>
        <v>0</v>
      </c>
      <c r="AU87" s="495">
        <f ca="1"/>
        <v>-0.10987691441692413</v>
      </c>
      <c r="AV87" s="496">
        <f ca="1"/>
        <v>7.8443169082680238E-3</v>
      </c>
      <c r="AW87" s="618">
        <f ca="1"/>
        <v>0</v>
      </c>
    </row>
    <row r="88" spans="2:49">
      <c r="B88" s="538" t="s">
        <v>612</v>
      </c>
      <c r="C88" s="539" t="s">
        <v>66</v>
      </c>
      <c r="D88" s="539" t="s">
        <v>55</v>
      </c>
      <c r="E88" s="539" t="s">
        <v>647</v>
      </c>
      <c r="F88" s="539" t="s">
        <v>670</v>
      </c>
      <c r="G88" s="540">
        <v>0.01</v>
      </c>
      <c r="H88" s="540">
        <v>1.1557E-2</v>
      </c>
      <c r="I88" s="541">
        <v>0.4</v>
      </c>
      <c r="J88" s="600">
        <v>4</v>
      </c>
      <c r="K88" s="542">
        <v>22</v>
      </c>
      <c r="L88" s="272"/>
      <c r="M88" s="272"/>
      <c r="P88" s="273"/>
      <c r="Q88" s="273"/>
      <c r="R88" s="273"/>
      <c r="S88" s="273"/>
      <c r="T88" s="575">
        <f ca="1"/>
        <v>0.06</v>
      </c>
      <c r="U88" s="572">
        <f ca="1"/>
        <v>80</v>
      </c>
      <c r="V88" s="484">
        <f ca="1">IF('CDO Bespoke'!O89&lt;&gt;"",'CDO Bespoke'!O89,"")</f>
        <v>9.83195606102302E-2</v>
      </c>
      <c r="W88" s="640">
        <f t="shared" ca="1" si="6"/>
        <v>0</v>
      </c>
      <c r="X88" s="640">
        <f t="shared" ca="1" si="5"/>
        <v>9.83195606102302E-2</v>
      </c>
      <c r="Y88" s="488">
        <f t="shared" ca="1" si="7"/>
        <v>0</v>
      </c>
      <c r="Z88" s="484">
        <f ca="1">IF('CDO Bespoke'!O89&lt;&gt;"",'CDO Bespoke'!O89,"")</f>
        <v>9.83195606102302E-2</v>
      </c>
      <c r="AA88" s="640">
        <f ca="1">IF(Z88&lt;&gt;"",ABS(MIN(-0.6*'CDO Bespoke'!K89+'CDO Bespoke'!T89*'CDO Bespoke'!K89,0)),"")</f>
        <v>8.0023052275700751E-2</v>
      </c>
      <c r="AB88" s="640">
        <f t="shared" ca="1" si="8"/>
        <v>1.8296508334529449E-2</v>
      </c>
      <c r="AC88" s="488">
        <f t="shared" ca="1" si="9"/>
        <v>0</v>
      </c>
      <c r="AD88" s="272"/>
      <c r="AE88" s="493" t="str">
        <f ca="1">IF('CDO Bespoke'!C113&lt;&gt;"",'CDO Bespoke'!C113,"")</f>
        <v>SHELL PLC</v>
      </c>
      <c r="AF88" s="495">
        <f ca="1"/>
        <v>-3.171871598706133E-4</v>
      </c>
      <c r="AG88" s="583">
        <f ca="1"/>
        <v>1.8728384010291421E-4</v>
      </c>
      <c r="AH88" s="583">
        <f ca="1"/>
        <v>3.8857892398214133E-3</v>
      </c>
      <c r="AI88" s="583">
        <f ca="1"/>
        <v>0.59181147294973258</v>
      </c>
      <c r="AJ88" s="496">
        <f ca="1"/>
        <v>0</v>
      </c>
      <c r="AK88" s="618">
        <f ca="1"/>
        <v>0</v>
      </c>
      <c r="AL88" s="495">
        <f ca="1"/>
        <v>3.5247864249750294E-4</v>
      </c>
      <c r="AM88" s="583">
        <f ca="1"/>
        <v>1.7100329869962003E-3</v>
      </c>
      <c r="AN88" s="583">
        <f ca="1"/>
        <v>7.598425610798494E-3</v>
      </c>
      <c r="AO88" s="583">
        <f ca="1"/>
        <v>0.57836620816699602</v>
      </c>
      <c r="AP88" s="496">
        <f ca="1"/>
        <v>0</v>
      </c>
      <c r="AQ88" s="618">
        <f ca="1"/>
        <v>0</v>
      </c>
      <c r="AR88" s="495">
        <f ca="1"/>
        <v>-1.6722295346437654E-2</v>
      </c>
      <c r="AS88" s="496">
        <f ca="1"/>
        <v>-2.8583718483623288E-2</v>
      </c>
      <c r="AT88" s="618">
        <f ca="1"/>
        <v>0</v>
      </c>
      <c r="AU88" s="495">
        <f ca="1"/>
        <v>-0.11756469836614644</v>
      </c>
      <c r="AV88" s="496">
        <f ca="1"/>
        <v>-2.1100736845000474E-3</v>
      </c>
      <c r="AW88" s="618">
        <f ca="1"/>
        <v>0</v>
      </c>
    </row>
    <row r="89" spans="2:49">
      <c r="B89" s="516" t="s">
        <v>612</v>
      </c>
      <c r="C89" s="517" t="s">
        <v>66</v>
      </c>
      <c r="D89" s="517" t="s">
        <v>57</v>
      </c>
      <c r="E89" s="517" t="s">
        <v>647</v>
      </c>
      <c r="F89" s="517" t="s">
        <v>670</v>
      </c>
      <c r="G89" s="524">
        <v>0.01</v>
      </c>
      <c r="H89" s="524">
        <v>1.7305000000000001E-2</v>
      </c>
      <c r="I89" s="526">
        <v>0.4</v>
      </c>
      <c r="J89" s="592">
        <v>4</v>
      </c>
      <c r="K89" s="518">
        <v>22</v>
      </c>
      <c r="L89" s="272"/>
      <c r="M89" s="272"/>
      <c r="P89" s="273"/>
      <c r="Q89" s="273"/>
      <c r="R89" s="273"/>
      <c r="S89" s="273"/>
      <c r="T89" s="575">
        <f ca="1"/>
        <v>0.06</v>
      </c>
      <c r="U89" s="572">
        <f ca="1"/>
        <v>81</v>
      </c>
      <c r="V89" s="484">
        <f ca="1">IF('CDO Bespoke'!O90&lt;&gt;"",'CDO Bespoke'!O90,"")</f>
        <v>9.8421568222774203E-2</v>
      </c>
      <c r="W89" s="640">
        <f t="shared" ca="1" si="6"/>
        <v>0</v>
      </c>
      <c r="X89" s="640">
        <f t="shared" ca="1" si="5"/>
        <v>9.8421568222774203E-2</v>
      </c>
      <c r="Y89" s="488">
        <f t="shared" ca="1" si="7"/>
        <v>0</v>
      </c>
      <c r="Z89" s="484">
        <f ca="1">IF('CDO Bespoke'!O90&lt;&gt;"",'CDO Bespoke'!O90,"")</f>
        <v>9.8421568222774203E-2</v>
      </c>
      <c r="AA89" s="640">
        <f ca="1">IF(Z89&lt;&gt;"",ABS(MIN(-0.6*'CDO Bespoke'!K90+'CDO Bespoke'!T90*'CDO Bespoke'!K90,0)),"")</f>
        <v>7.8009539197698013E-2</v>
      </c>
      <c r="AB89" s="640">
        <f t="shared" ca="1" si="8"/>
        <v>2.0412029025076189E-2</v>
      </c>
      <c r="AC89" s="488">
        <f t="shared" ca="1" si="9"/>
        <v>0</v>
      </c>
      <c r="AD89" s="272"/>
      <c r="AE89" s="493" t="str">
        <f ca="1">IF('CDO Bespoke'!C114&lt;&gt;"",'CDO Bespoke'!C114,"")</f>
        <v>TotalEnergies SE</v>
      </c>
      <c r="AF89" s="495">
        <f ca="1"/>
        <v>-2.8949463992677948E-4</v>
      </c>
      <c r="AG89" s="583">
        <f ca="1"/>
        <v>2.5617797994037517E-4</v>
      </c>
      <c r="AH89" s="583">
        <f ca="1"/>
        <v>4.0311569199369401E-3</v>
      </c>
      <c r="AI89" s="583">
        <f ca="1"/>
        <v>0.57663529280993497</v>
      </c>
      <c r="AJ89" s="496">
        <f ca="1"/>
        <v>0</v>
      </c>
      <c r="AK89" s="618">
        <f ca="1"/>
        <v>0</v>
      </c>
      <c r="AL89" s="495">
        <f ca="1"/>
        <v>3.5295424710094642E-4</v>
      </c>
      <c r="AM89" s="583">
        <f ca="1"/>
        <v>1.7107309929981565E-3</v>
      </c>
      <c r="AN89" s="583">
        <f ca="1"/>
        <v>7.6147593526011692E-3</v>
      </c>
      <c r="AO89" s="583">
        <f ca="1"/>
        <v>0.56545540708940156</v>
      </c>
      <c r="AP89" s="496">
        <f ca="1"/>
        <v>0</v>
      </c>
      <c r="AQ89" s="618">
        <f ca="1"/>
        <v>0</v>
      </c>
      <c r="AR89" s="495">
        <f ca="1"/>
        <v>-1.7431447940222722E-2</v>
      </c>
      <c r="AS89" s="496">
        <f ca="1"/>
        <v>-2.7934181196998253E-2</v>
      </c>
      <c r="AT89" s="618">
        <f ca="1"/>
        <v>0</v>
      </c>
      <c r="AU89" s="495">
        <f ca="1"/>
        <v>-0.11814247176879555</v>
      </c>
      <c r="AV89" s="496">
        <f ca="1"/>
        <v>-2.569863560506952E-3</v>
      </c>
      <c r="AW89" s="618">
        <f ca="1"/>
        <v>0</v>
      </c>
    </row>
    <row r="90" spans="2:49">
      <c r="B90" s="533" t="s">
        <v>612</v>
      </c>
      <c r="C90" s="534" t="s">
        <v>66</v>
      </c>
      <c r="D90" s="534" t="s">
        <v>59</v>
      </c>
      <c r="E90" s="534" t="s">
        <v>647</v>
      </c>
      <c r="F90" s="534" t="s">
        <v>670</v>
      </c>
      <c r="G90" s="535">
        <v>0.01</v>
      </c>
      <c r="H90" s="535">
        <v>2.0903000000000001E-2</v>
      </c>
      <c r="I90" s="536">
        <v>0.4</v>
      </c>
      <c r="J90" s="593">
        <v>4</v>
      </c>
      <c r="K90" s="537">
        <v>22</v>
      </c>
      <c r="L90" s="272"/>
      <c r="M90" s="272"/>
      <c r="P90" s="273"/>
      <c r="Q90" s="273"/>
      <c r="R90" s="273"/>
      <c r="S90" s="273"/>
      <c r="T90" s="575">
        <f ca="1"/>
        <v>0.06</v>
      </c>
      <c r="U90" s="572">
        <f ca="1"/>
        <v>82</v>
      </c>
      <c r="V90" s="484">
        <f ca="1">IF('CDO Bespoke'!O91&lt;&gt;"",'CDO Bespoke'!O91,"")</f>
        <v>9.7966750355202206E-2</v>
      </c>
      <c r="W90" s="640">
        <f t="shared" ca="1" si="6"/>
        <v>0</v>
      </c>
      <c r="X90" s="640">
        <f t="shared" ca="1" si="5"/>
        <v>9.7966750355202206E-2</v>
      </c>
      <c r="Y90" s="488">
        <f t="shared" ca="1" si="7"/>
        <v>0</v>
      </c>
      <c r="Z90" s="484">
        <f ca="1">IF('CDO Bespoke'!O91&lt;&gt;"",'CDO Bespoke'!O91,"")</f>
        <v>9.7966750355202206E-2</v>
      </c>
      <c r="AA90" s="640">
        <f ca="1">IF(Z90&lt;&gt;"",ABS(MIN(-0.6*'CDO Bespoke'!K91+'CDO Bespoke'!T91*'CDO Bespoke'!K91,0)),"")</f>
        <v>8.5293660739548305E-2</v>
      </c>
      <c r="AB90" s="640">
        <f t="shared" ca="1" si="8"/>
        <v>1.2673089615653901E-2</v>
      </c>
      <c r="AC90" s="488">
        <f t="shared" ca="1" si="9"/>
        <v>0</v>
      </c>
      <c r="AD90" s="272"/>
      <c r="AE90" s="493" t="str">
        <f ca="1">IF('CDO Bespoke'!C115&lt;&gt;"",'CDO Bespoke'!C115,"")</f>
        <v>VEOLIA ENVIRONNEMENT</v>
      </c>
      <c r="AF90" s="495">
        <f ca="1"/>
        <v>-5.6154855987422536E-4</v>
      </c>
      <c r="AG90" s="583">
        <f ca="1"/>
        <v>-6.9243707989663505E-4</v>
      </c>
      <c r="AH90" s="583">
        <f ca="1"/>
        <v>8.8525172969866617E-4</v>
      </c>
      <c r="AI90" s="583">
        <f ca="1"/>
        <v>0.68542739968979749</v>
      </c>
      <c r="AJ90" s="496">
        <f ca="1"/>
        <v>0</v>
      </c>
      <c r="AK90" s="618">
        <f ca="1"/>
        <v>0</v>
      </c>
      <c r="AL90" s="495">
        <f ca="1"/>
        <v>3.3410472519666834E-4</v>
      </c>
      <c r="AM90" s="583">
        <f ca="1"/>
        <v>1.6308133620000081E-3</v>
      </c>
      <c r="AN90" s="583">
        <f ca="1"/>
        <v>7.1120229492996692E-3</v>
      </c>
      <c r="AO90" s="583">
        <f ca="1"/>
        <v>0.65466215454269572</v>
      </c>
      <c r="AP90" s="496">
        <f ca="1"/>
        <v>0</v>
      </c>
      <c r="AQ90" s="618">
        <f ca="1"/>
        <v>0</v>
      </c>
      <c r="AR90" s="495">
        <f ca="1"/>
        <v>-1.2528095684606722E-2</v>
      </c>
      <c r="AS90" s="496">
        <f ca="1"/>
        <v>-3.2330192470039265E-2</v>
      </c>
      <c r="AT90" s="618">
        <f ca="1"/>
        <v>0</v>
      </c>
      <c r="AU90" s="495">
        <f ca="1"/>
        <v>-6.1224060159945526E-2</v>
      </c>
      <c r="AV90" s="496">
        <f ca="1"/>
        <v>1.129900051980252E-2</v>
      </c>
      <c r="AW90" s="618">
        <f ca="1"/>
        <v>0</v>
      </c>
    </row>
    <row r="91" spans="2:49">
      <c r="B91" s="538" t="s">
        <v>536</v>
      </c>
      <c r="C91" s="539" t="s">
        <v>66</v>
      </c>
      <c r="D91" s="539" t="s">
        <v>55</v>
      </c>
      <c r="E91" s="539" t="s">
        <v>647</v>
      </c>
      <c r="F91" s="539" t="s">
        <v>646</v>
      </c>
      <c r="G91" s="540">
        <v>0.01</v>
      </c>
      <c r="H91" s="540">
        <v>3.4970000000000001E-3</v>
      </c>
      <c r="I91" s="541">
        <v>0.4</v>
      </c>
      <c r="J91" s="600">
        <v>4</v>
      </c>
      <c r="K91" s="542">
        <v>23</v>
      </c>
      <c r="L91" s="272"/>
      <c r="M91" s="272"/>
      <c r="P91" s="273"/>
      <c r="Q91" s="273"/>
      <c r="R91" s="273"/>
      <c r="S91" s="273"/>
      <c r="T91" s="575">
        <f ca="1"/>
        <v>0.06</v>
      </c>
      <c r="U91" s="572">
        <f ca="1"/>
        <v>83</v>
      </c>
      <c r="V91" s="484">
        <f ca="1">IF('CDO Bespoke'!O92&lt;&gt;"",'CDO Bespoke'!O92,"")</f>
        <v>9.8196040385388206E-2</v>
      </c>
      <c r="W91" s="640">
        <f t="shared" ca="1" si="6"/>
        <v>0</v>
      </c>
      <c r="X91" s="640">
        <f t="shared" ca="1" si="5"/>
        <v>9.8196040385388206E-2</v>
      </c>
      <c r="Y91" s="488">
        <f t="shared" ca="1" si="7"/>
        <v>0</v>
      </c>
      <c r="Z91" s="484">
        <f ca="1">IF('CDO Bespoke'!O92&lt;&gt;"",'CDO Bespoke'!O92,"")</f>
        <v>9.8196040385388206E-2</v>
      </c>
      <c r="AA91" s="640">
        <f ca="1">IF(Z91&lt;&gt;"",ABS(MIN(-0.6*'CDO Bespoke'!K92+'CDO Bespoke'!T92*'CDO Bespoke'!K92,0)),"")</f>
        <v>8.2123516967449781E-2</v>
      </c>
      <c r="AB91" s="640">
        <f t="shared" ca="1" si="8"/>
        <v>1.6072523417938425E-2</v>
      </c>
      <c r="AC91" s="488">
        <f t="shared" ca="1" si="9"/>
        <v>0</v>
      </c>
      <c r="AD91" s="272"/>
      <c r="AE91" s="493" t="str">
        <f ca="1">IF('CDO Bespoke'!C116&lt;&gt;"",'CDO Bespoke'!C116,"")</f>
        <v>Bertelsmann SE &amp; Co. KGaA</v>
      </c>
      <c r="AF91" s="495">
        <f ca="1"/>
        <v>-3.5063425996018083E-4</v>
      </c>
      <c r="AG91" s="583">
        <f ca="1"/>
        <v>9.7652499975175999E-5</v>
      </c>
      <c r="AH91" s="583">
        <f ca="1"/>
        <v>3.6752825099961584E-3</v>
      </c>
      <c r="AI91" s="583">
        <f ca="1"/>
        <v>0.60862249515014621</v>
      </c>
      <c r="AJ91" s="496">
        <f ca="1"/>
        <v>0</v>
      </c>
      <c r="AK91" s="618">
        <f ca="1"/>
        <v>0</v>
      </c>
      <c r="AL91" s="495">
        <f ca="1"/>
        <v>3.510083868007996E-4</v>
      </c>
      <c r="AM91" s="583">
        <f ca="1"/>
        <v>1.7047815597994592E-3</v>
      </c>
      <c r="AN91" s="583">
        <f ca="1"/>
        <v>7.559093408299189E-3</v>
      </c>
      <c r="AO91" s="583">
        <f ca="1"/>
        <v>0.59252350919849683</v>
      </c>
      <c r="AP91" s="496">
        <f ca="1"/>
        <v>0</v>
      </c>
      <c r="AQ91" s="618">
        <f ca="1"/>
        <v>0</v>
      </c>
      <c r="AR91" s="495">
        <f ca="1"/>
        <v>-1.593780511074111E-2</v>
      </c>
      <c r="AS91" s="496">
        <f ca="1"/>
        <v>-2.9292103554694859E-2</v>
      </c>
      <c r="AT91" s="618">
        <f ca="1"/>
        <v>0</v>
      </c>
      <c r="AU91" s="495">
        <f ca="1"/>
        <v>-0.1169194951197372</v>
      </c>
      <c r="AV91" s="496">
        <f ca="1"/>
        <v>-1.5554276688182871E-3</v>
      </c>
      <c r="AW91" s="618">
        <f ca="1"/>
        <v>0</v>
      </c>
    </row>
    <row r="92" spans="2:49">
      <c r="B92" s="516" t="s">
        <v>536</v>
      </c>
      <c r="C92" s="517" t="s">
        <v>66</v>
      </c>
      <c r="D92" s="517" t="s">
        <v>57</v>
      </c>
      <c r="E92" s="517" t="s">
        <v>647</v>
      </c>
      <c r="F92" s="517" t="s">
        <v>646</v>
      </c>
      <c r="G92" s="524">
        <v>0.01</v>
      </c>
      <c r="H92" s="524">
        <v>6.7010000000000004E-3</v>
      </c>
      <c r="I92" s="526">
        <v>0.4</v>
      </c>
      <c r="J92" s="592">
        <v>4</v>
      </c>
      <c r="K92" s="518">
        <v>23</v>
      </c>
      <c r="L92" s="272"/>
      <c r="M92" s="272"/>
      <c r="P92" s="273"/>
      <c r="Q92" s="273"/>
      <c r="R92" s="273"/>
      <c r="S92" s="273"/>
      <c r="T92" s="575">
        <f ca="1"/>
        <v>0.06</v>
      </c>
      <c r="U92" s="572">
        <f ca="1"/>
        <v>84</v>
      </c>
      <c r="V92" s="484">
        <f ca="1">IF('CDO Bespoke'!O93&lt;&gt;"",'CDO Bespoke'!O93,"")</f>
        <v>9.7112886470318197E-2</v>
      </c>
      <c r="W92" s="640">
        <f t="shared" ca="1" si="6"/>
        <v>0</v>
      </c>
      <c r="X92" s="640">
        <f t="shared" ca="1" si="5"/>
        <v>9.7112886470318197E-2</v>
      </c>
      <c r="Y92" s="488">
        <f t="shared" ca="1" si="7"/>
        <v>0</v>
      </c>
      <c r="Z92" s="484">
        <f ca="1">IF('CDO Bespoke'!O93&lt;&gt;"",'CDO Bespoke'!O93,"")</f>
        <v>9.7112886470318197E-2</v>
      </c>
      <c r="AA92" s="640">
        <f ca="1">IF(Z92&lt;&gt;"",ABS(MIN(-0.6*'CDO Bespoke'!K93+'CDO Bespoke'!T93*'CDO Bespoke'!K93,0)),"")</f>
        <v>9.2417956750118171E-2</v>
      </c>
      <c r="AB92" s="640">
        <f t="shared" ca="1" si="8"/>
        <v>4.6949297202000251E-3</v>
      </c>
      <c r="AC92" s="488">
        <f t="shared" ca="1" si="9"/>
        <v>0</v>
      </c>
      <c r="AD92" s="272"/>
      <c r="AE92" s="493" t="str">
        <f ca="1">IF('CDO Bespoke'!C117&lt;&gt;"",'CDO Bespoke'!C117,"")</f>
        <v>BRITISH TELECOMMUNICATIONS public limited company</v>
      </c>
      <c r="AF92" s="495">
        <f ca="1"/>
        <v>-1.1764303098349416E-3</v>
      </c>
      <c r="AG92" s="583">
        <f ca="1"/>
        <v>-3.1034255898454433E-3</v>
      </c>
      <c r="AH92" s="583">
        <f ca="1"/>
        <v>-8.3635968700646046E-3</v>
      </c>
      <c r="AI92" s="583">
        <f ca="1"/>
        <v>0.86054829177006908</v>
      </c>
      <c r="AJ92" s="496">
        <f ca="1"/>
        <v>0</v>
      </c>
      <c r="AK92" s="618">
        <f ca="1"/>
        <v>0</v>
      </c>
      <c r="AL92" s="495">
        <f ca="1"/>
        <v>1.921155347002837E-4</v>
      </c>
      <c r="AM92" s="583">
        <f ca="1"/>
        <v>9.7218348669991794E-4</v>
      </c>
      <c r="AN92" s="583">
        <f ca="1"/>
        <v>3.6907398206012521E-3</v>
      </c>
      <c r="AO92" s="583">
        <f ca="1"/>
        <v>0.78533076224380094</v>
      </c>
      <c r="AP92" s="496">
        <f ca="1"/>
        <v>0</v>
      </c>
      <c r="AQ92" s="618">
        <f ca="1"/>
        <v>0</v>
      </c>
      <c r="AR92" s="495">
        <f ca="1"/>
        <v>-4.6848601982287796E-3</v>
      </c>
      <c r="AS92" s="496">
        <f ca="1"/>
        <v>-3.8083401018635221E-2</v>
      </c>
      <c r="AT92" s="618">
        <f ca="1"/>
        <v>0</v>
      </c>
      <c r="AU92" s="495">
        <f ca="1"/>
        <v>-7.5265954977330352E-2</v>
      </c>
      <c r="AV92" s="496">
        <f ca="1"/>
        <v>2.067449841386635E-2</v>
      </c>
      <c r="AW92" s="618">
        <f ca="1"/>
        <v>0</v>
      </c>
    </row>
    <row r="93" spans="2:49">
      <c r="B93" s="533" t="s">
        <v>536</v>
      </c>
      <c r="C93" s="534" t="s">
        <v>66</v>
      </c>
      <c r="D93" s="534" t="s">
        <v>59</v>
      </c>
      <c r="E93" s="534" t="s">
        <v>647</v>
      </c>
      <c r="F93" s="534" t="s">
        <v>646</v>
      </c>
      <c r="G93" s="535">
        <v>0.01</v>
      </c>
      <c r="H93" s="535">
        <v>1.042E-2</v>
      </c>
      <c r="I93" s="536">
        <v>0.4</v>
      </c>
      <c r="J93" s="593">
        <v>4</v>
      </c>
      <c r="K93" s="537">
        <v>23</v>
      </c>
      <c r="L93" s="272"/>
      <c r="M93" s="272"/>
      <c r="P93" s="273"/>
      <c r="Q93" s="273"/>
      <c r="R93" s="273"/>
      <c r="S93" s="273"/>
      <c r="T93" s="575">
        <f ca="1"/>
        <v>0.06</v>
      </c>
      <c r="U93" s="572">
        <f ca="1"/>
        <v>85</v>
      </c>
      <c r="V93" s="484">
        <f ca="1">IF('CDO Bespoke'!O94&lt;&gt;"",'CDO Bespoke'!O94,"")</f>
        <v>9.8199106873026201E-2</v>
      </c>
      <c r="W93" s="640">
        <f t="shared" ca="1" si="6"/>
        <v>0</v>
      </c>
      <c r="X93" s="640">
        <f t="shared" ca="1" si="5"/>
        <v>9.8199106873026201E-2</v>
      </c>
      <c r="Y93" s="488">
        <f t="shared" ca="1" si="7"/>
        <v>0</v>
      </c>
      <c r="Z93" s="484">
        <f ca="1">IF('CDO Bespoke'!O94&lt;&gt;"",'CDO Bespoke'!O94,"")</f>
        <v>9.8199106873026201E-2</v>
      </c>
      <c r="AA93" s="640">
        <f ca="1">IF(Z93&lt;&gt;"",ABS(MIN(-0.6*'CDO Bespoke'!K94+'CDO Bespoke'!T94*'CDO Bespoke'!K94,0)),"")</f>
        <v>8.2075191574477416E-2</v>
      </c>
      <c r="AB93" s="640">
        <f t="shared" ca="1" si="8"/>
        <v>1.6123915298548785E-2</v>
      </c>
      <c r="AC93" s="488">
        <f t="shared" ca="1" si="9"/>
        <v>0</v>
      </c>
      <c r="AD93" s="272"/>
      <c r="AE93" s="493" t="str">
        <f ca="1">IF('CDO Bespoke'!C118&lt;&gt;"",'CDO Bespoke'!C118,"")</f>
        <v>Deutsche Telekom AG</v>
      </c>
      <c r="AF93" s="495">
        <f ca="1"/>
        <v>-3.1901722985505643E-4</v>
      </c>
      <c r="AG93" s="583">
        <f ca="1"/>
        <v>2.2442692981794465E-4</v>
      </c>
      <c r="AH93" s="583">
        <f ca="1"/>
        <v>4.139340639697231E-3</v>
      </c>
      <c r="AI93" s="583">
        <f ca="1"/>
        <v>0.59730885592967908</v>
      </c>
      <c r="AJ93" s="496">
        <f ca="1"/>
        <v>0</v>
      </c>
      <c r="AK93" s="618">
        <f ca="1"/>
        <v>0</v>
      </c>
      <c r="AL93" s="495">
        <f ca="1"/>
        <v>3.5160871929718757E-4</v>
      </c>
      <c r="AM93" s="583">
        <f ca="1"/>
        <v>1.7068590608005502E-3</v>
      </c>
      <c r="AN93" s="583">
        <f ca="1"/>
        <v>7.5834653250972731E-3</v>
      </c>
      <c r="AO93" s="583">
        <f ca="1"/>
        <v>0.58322959269619867</v>
      </c>
      <c r="AP93" s="496">
        <f ca="1"/>
        <v>0</v>
      </c>
      <c r="AQ93" s="618">
        <f ca="1"/>
        <v>0</v>
      </c>
      <c r="AR93" s="495">
        <f ca="1"/>
        <v>-1.642867684907906E-2</v>
      </c>
      <c r="AS93" s="496">
        <f ca="1"/>
        <v>-2.883086993230094E-2</v>
      </c>
      <c r="AT93" s="618">
        <f ca="1"/>
        <v>0</v>
      </c>
      <c r="AU93" s="495">
        <f ca="1"/>
        <v>-8.183640544670652E-2</v>
      </c>
      <c r="AV93" s="496">
        <f ca="1"/>
        <v>4.0412254689388295E-3</v>
      </c>
      <c r="AW93" s="618">
        <f ca="1"/>
        <v>0</v>
      </c>
    </row>
    <row r="94" spans="2:49">
      <c r="B94" s="538" t="s">
        <v>521</v>
      </c>
      <c r="C94" s="539" t="s">
        <v>66</v>
      </c>
      <c r="D94" s="539" t="s">
        <v>55</v>
      </c>
      <c r="E94" s="539" t="s">
        <v>645</v>
      </c>
      <c r="F94" s="539" t="s">
        <v>668</v>
      </c>
      <c r="G94" s="540">
        <v>0.01</v>
      </c>
      <c r="H94" s="540">
        <v>2.7599999999999999E-3</v>
      </c>
      <c r="I94" s="541">
        <v>0.4</v>
      </c>
      <c r="J94" s="600">
        <v>5</v>
      </c>
      <c r="K94" s="542">
        <v>24</v>
      </c>
      <c r="L94" s="272"/>
      <c r="M94" s="272"/>
      <c r="P94" s="273"/>
      <c r="Q94" s="273"/>
      <c r="R94" s="273"/>
      <c r="S94" s="273"/>
      <c r="T94" s="575">
        <f ca="1"/>
        <v>0.06</v>
      </c>
      <c r="U94" s="572">
        <f ca="1"/>
        <v>86</v>
      </c>
      <c r="V94" s="484">
        <f ca="1">IF('CDO Bespoke'!O95&lt;&gt;"",'CDO Bespoke'!O95,"")</f>
        <v>9.6244252951484199E-2</v>
      </c>
      <c r="W94" s="640">
        <f t="shared" ca="1" si="6"/>
        <v>0</v>
      </c>
      <c r="X94" s="640">
        <f t="shared" ca="1" si="5"/>
        <v>9.6244252951484199E-2</v>
      </c>
      <c r="Y94" s="488">
        <f t="shared" ca="1" si="7"/>
        <v>0</v>
      </c>
      <c r="Z94" s="484">
        <f ca="1">IF('CDO Bespoke'!O95&lt;&gt;"",'CDO Bespoke'!O95,"")</f>
        <v>9.6244252951484199E-2</v>
      </c>
      <c r="AA94" s="640">
        <f ca="1">IF(Z94&lt;&gt;"",ABS(MIN(-0.6*'CDO Bespoke'!K95+'CDO Bespoke'!T95*'CDO Bespoke'!K95,0)),"")</f>
        <v>9.5968332283425065E-2</v>
      </c>
      <c r="AB94" s="640">
        <f t="shared" ca="1" si="8"/>
        <v>2.7592066805913473E-4</v>
      </c>
      <c r="AC94" s="488">
        <f t="shared" ca="1" si="9"/>
        <v>0</v>
      </c>
      <c r="AD94" s="272"/>
      <c r="AE94" s="493" t="str">
        <f ca="1">IF('CDO Bespoke'!C119&lt;&gt;"",'CDO Bespoke'!C119,"")</f>
        <v>ITV PLC</v>
      </c>
      <c r="AF94" s="495">
        <f ca="1"/>
        <v>-1.6738685298944844E-3</v>
      </c>
      <c r="AG94" s="583">
        <f ca="1"/>
        <v>-5.1606588002961473E-3</v>
      </c>
      <c r="AH94" s="583">
        <f ca="1"/>
        <v>-1.6388204420181296E-2</v>
      </c>
      <c r="AI94" s="583">
        <f ca="1"/>
        <v>0.95974857197977936</v>
      </c>
      <c r="AJ94" s="496">
        <f ca="1"/>
        <v>0</v>
      </c>
      <c r="AK94" s="618">
        <f ca="1"/>
        <v>0</v>
      </c>
      <c r="AL94" s="495">
        <f ca="1"/>
        <v>5.9535473198504135E-6</v>
      </c>
      <c r="AM94" s="583">
        <f ca="1"/>
        <v>9.5910620710108578E-5</v>
      </c>
      <c r="AN94" s="583">
        <f ca="1"/>
        <v>-2.9212819618016934E-4</v>
      </c>
      <c r="AO94" s="583">
        <f ca="1"/>
        <v>0.85121046946510981</v>
      </c>
      <c r="AP94" s="496">
        <f ca="1"/>
        <v>0</v>
      </c>
      <c r="AQ94" s="618">
        <f ca="1"/>
        <v>0</v>
      </c>
      <c r="AR94" s="495">
        <f ca="1"/>
        <v>-5.8998630577622446E-5</v>
      </c>
      <c r="AS94" s="496">
        <f ca="1"/>
        <v>-4.0010280765991391E-2</v>
      </c>
      <c r="AT94" s="618">
        <f ca="1"/>
        <v>0</v>
      </c>
      <c r="AU94" s="495">
        <f ca="1"/>
        <v>-0.10325134558605742</v>
      </c>
      <c r="AV94" s="496">
        <f ca="1"/>
        <v>2.4397022637184716E-2</v>
      </c>
      <c r="AW94" s="618">
        <f ca="1"/>
        <v>0</v>
      </c>
    </row>
    <row r="95" spans="2:49">
      <c r="B95" s="516" t="s">
        <v>521</v>
      </c>
      <c r="C95" s="517" t="s">
        <v>66</v>
      </c>
      <c r="D95" s="517" t="s">
        <v>57</v>
      </c>
      <c r="E95" s="517" t="s">
        <v>645</v>
      </c>
      <c r="F95" s="517" t="s">
        <v>668</v>
      </c>
      <c r="G95" s="524">
        <v>0.01</v>
      </c>
      <c r="H95" s="524">
        <v>4.8069999999999996E-3</v>
      </c>
      <c r="I95" s="526">
        <v>0.4</v>
      </c>
      <c r="J95" s="592">
        <v>5</v>
      </c>
      <c r="K95" s="518">
        <v>24</v>
      </c>
      <c r="L95" s="272"/>
      <c r="M95" s="272"/>
      <c r="P95" s="273"/>
      <c r="Q95" s="273"/>
      <c r="R95" s="273"/>
      <c r="S95" s="273"/>
      <c r="T95" s="575">
        <f ca="1"/>
        <v>0.03</v>
      </c>
      <c r="U95" s="572">
        <f ca="1"/>
        <v>87</v>
      </c>
      <c r="V95" s="484">
        <f ca="1">IF('CDO Bespoke'!O96&lt;&gt;"",'CDO Bespoke'!O96,"")</f>
        <v>9.7829985456531196E-2</v>
      </c>
      <c r="W95" s="640">
        <f t="shared" ca="1" si="6"/>
        <v>0</v>
      </c>
      <c r="X95" s="640">
        <f t="shared" ca="1" si="5"/>
        <v>9.7829985456531196E-2</v>
      </c>
      <c r="Y95" s="488">
        <f t="shared" ca="1" si="7"/>
        <v>0</v>
      </c>
      <c r="Z95" s="484">
        <f ca="1">IF('CDO Bespoke'!O96&lt;&gt;"",'CDO Bespoke'!O96,"")</f>
        <v>9.7829985456531196E-2</v>
      </c>
      <c r="AA95" s="640">
        <f ca="1">IF(Z95&lt;&gt;"",ABS(MIN(-0.6*'CDO Bespoke'!K96+'CDO Bespoke'!T96*'CDO Bespoke'!K96,0)),"")</f>
        <v>8.6844891787225986E-2</v>
      </c>
      <c r="AB95" s="640">
        <f t="shared" ca="1" si="8"/>
        <v>1.098509366930521E-2</v>
      </c>
      <c r="AC95" s="488">
        <f t="shared" ca="1" si="9"/>
        <v>0</v>
      </c>
      <c r="AD95" s="272"/>
      <c r="AE95" s="493" t="str">
        <f ca="1">IF('CDO Bespoke'!C120&lt;&gt;"",'CDO Bespoke'!C120,"")</f>
        <v>Koninklijke KPN N.V.</v>
      </c>
      <c r="AF95" s="495">
        <f ca="1"/>
        <v>-6.3055029031477972E-4</v>
      </c>
      <c r="AG95" s="583">
        <f ca="1"/>
        <v>-9.4148831009110978E-4</v>
      </c>
      <c r="AH95" s="583">
        <f ca="1"/>
        <v>1.5542059861317625E-5</v>
      </c>
      <c r="AI95" s="583">
        <f ca="1"/>
        <v>0.70942845648014341</v>
      </c>
      <c r="AJ95" s="496">
        <f ca="1"/>
        <v>0</v>
      </c>
      <c r="AK95" s="618">
        <f ca="1"/>
        <v>0</v>
      </c>
      <c r="AL95" s="495">
        <f ca="1"/>
        <v>3.2367278079981077E-4</v>
      </c>
      <c r="AM95" s="583">
        <f ca="1"/>
        <v>1.5836112975987915E-3</v>
      </c>
      <c r="AN95" s="583">
        <f ca="1"/>
        <v>6.8577965112994951E-3</v>
      </c>
      <c r="AO95" s="583">
        <f ca="1"/>
        <v>0.67362258150870102</v>
      </c>
      <c r="AP95" s="496">
        <f ca="1"/>
        <v>0</v>
      </c>
      <c r="AQ95" s="618">
        <f ca="1"/>
        <v>0</v>
      </c>
      <c r="AR95" s="495">
        <f ca="1"/>
        <v>-1.1443524494959056E-2</v>
      </c>
      <c r="AS95" s="496">
        <f ca="1"/>
        <v>-3.3232642369537935E-2</v>
      </c>
      <c r="AT95" s="618">
        <f ca="1"/>
        <v>0</v>
      </c>
      <c r="AU95" s="495">
        <f ca="1"/>
        <v>-7.9139678883149017E-2</v>
      </c>
      <c r="AV95" s="496">
        <f ca="1"/>
        <v>9.322980881699916E-3</v>
      </c>
      <c r="AW95" s="618">
        <f ca="1"/>
        <v>0</v>
      </c>
    </row>
    <row r="96" spans="2:49">
      <c r="B96" s="533" t="s">
        <v>521</v>
      </c>
      <c r="C96" s="534" t="s">
        <v>66</v>
      </c>
      <c r="D96" s="534" t="s">
        <v>59</v>
      </c>
      <c r="E96" s="534" t="s">
        <v>645</v>
      </c>
      <c r="F96" s="534" t="s">
        <v>668</v>
      </c>
      <c r="G96" s="535">
        <v>0.01</v>
      </c>
      <c r="H96" s="535">
        <v>6.9220000000000002E-3</v>
      </c>
      <c r="I96" s="536">
        <v>0.4</v>
      </c>
      <c r="J96" s="593">
        <v>5</v>
      </c>
      <c r="K96" s="537">
        <v>24</v>
      </c>
      <c r="L96" s="272"/>
      <c r="M96" s="272"/>
      <c r="P96" s="273"/>
      <c r="Q96" s="273"/>
      <c r="R96" s="273"/>
      <c r="S96" s="273"/>
      <c r="T96" s="575">
        <f ca="1"/>
        <v>0.06</v>
      </c>
      <c r="U96" s="572">
        <f ca="1"/>
        <v>88</v>
      </c>
      <c r="V96" s="484">
        <f ca="1">IF('CDO Bespoke'!O97&lt;&gt;"",'CDO Bespoke'!O97,"")</f>
        <v>9.8428543418085199E-2</v>
      </c>
      <c r="W96" s="640">
        <f t="shared" ca="1" si="6"/>
        <v>0</v>
      </c>
      <c r="X96" s="640">
        <f t="shared" ca="1" si="5"/>
        <v>9.8428543418085199E-2</v>
      </c>
      <c r="Y96" s="488">
        <f t="shared" ca="1" si="7"/>
        <v>0</v>
      </c>
      <c r="Z96" s="484">
        <f ca="1">IF('CDO Bespoke'!O97&lt;&gt;"",'CDO Bespoke'!O97,"")</f>
        <v>9.8428543418085199E-2</v>
      </c>
      <c r="AA96" s="640">
        <f ca="1">IF(Z96&lt;&gt;"",ABS(MIN(-0.6*'CDO Bespoke'!K97+'CDO Bespoke'!T97*'CDO Bespoke'!K97,0)),"")</f>
        <v>7.7860937058823923E-2</v>
      </c>
      <c r="AB96" s="640">
        <f t="shared" ca="1" si="8"/>
        <v>2.0567606359261276E-2</v>
      </c>
      <c r="AC96" s="488">
        <f t="shared" ca="1" si="9"/>
        <v>0</v>
      </c>
      <c r="AD96" s="272"/>
      <c r="AE96" s="493" t="str">
        <f ca="1">IF('CDO Bespoke'!C121&lt;&gt;"",'CDO Bespoke'!C121,"")</f>
        <v>Orange</v>
      </c>
      <c r="AF96" s="495">
        <f ca="1"/>
        <v>-3.2473132016708206E-4</v>
      </c>
      <c r="AG96" s="583">
        <f ca="1"/>
        <v>1.1121174980921467E-4</v>
      </c>
      <c r="AH96" s="583">
        <f ca="1"/>
        <v>3.5013058596877755E-3</v>
      </c>
      <c r="AI96" s="583">
        <f ca="1"/>
        <v>0.5890369036698484</v>
      </c>
      <c r="AJ96" s="496">
        <f ca="1"/>
        <v>0</v>
      </c>
      <c r="AK96" s="618">
        <f ca="1"/>
        <v>0</v>
      </c>
      <c r="AL96" s="495">
        <f ca="1"/>
        <v>3.5316596829707697E-4</v>
      </c>
      <c r="AM96" s="583">
        <f ca="1"/>
        <v>1.7124788565968038E-3</v>
      </c>
      <c r="AN96" s="583">
        <f ca="1"/>
        <v>7.6069891484986316E-3</v>
      </c>
      <c r="AO96" s="583">
        <f ca="1"/>
        <v>0.57571634677059791</v>
      </c>
      <c r="AP96" s="496">
        <f ca="1"/>
        <v>0</v>
      </c>
      <c r="AQ96" s="618">
        <f ca="1"/>
        <v>0</v>
      </c>
      <c r="AR96" s="495">
        <f ca="1"/>
        <v>-1.6897511295660084E-2</v>
      </c>
      <c r="AS96" s="496">
        <f ca="1"/>
        <v>-2.8445682378626935E-2</v>
      </c>
      <c r="AT96" s="618">
        <f ca="1"/>
        <v>0</v>
      </c>
      <c r="AU96" s="495">
        <f ca="1"/>
        <v>-8.2139468511932989E-2</v>
      </c>
      <c r="AV96" s="496">
        <f ca="1"/>
        <v>3.6060142784258911E-3</v>
      </c>
      <c r="AW96" s="618">
        <f ca="1"/>
        <v>0</v>
      </c>
    </row>
    <row r="97" spans="2:49">
      <c r="B97" s="538" t="s">
        <v>537</v>
      </c>
      <c r="C97" s="539" t="s">
        <v>66</v>
      </c>
      <c r="D97" s="539" t="s">
        <v>55</v>
      </c>
      <c r="E97" s="539" t="s">
        <v>647</v>
      </c>
      <c r="F97" s="539" t="s">
        <v>646</v>
      </c>
      <c r="G97" s="540">
        <v>0.01</v>
      </c>
      <c r="H97" s="540">
        <v>8.0549999999999997E-3</v>
      </c>
      <c r="I97" s="541">
        <v>0.4</v>
      </c>
      <c r="J97" s="600">
        <v>4</v>
      </c>
      <c r="K97" s="542">
        <v>25</v>
      </c>
      <c r="L97" s="272"/>
      <c r="M97" s="272"/>
      <c r="P97" s="273"/>
      <c r="Q97" s="273"/>
      <c r="R97" s="273"/>
      <c r="S97" s="273"/>
      <c r="T97" s="575">
        <f ca="1"/>
        <v>0.06</v>
      </c>
      <c r="U97" s="572">
        <f ca="1"/>
        <v>89</v>
      </c>
      <c r="V97" s="484">
        <f ca="1">IF('CDO Bespoke'!O98&lt;&gt;"",'CDO Bespoke'!O98,"")</f>
        <v>9.7573237966549195E-2</v>
      </c>
      <c r="W97" s="640">
        <f t="shared" ca="1" si="6"/>
        <v>0</v>
      </c>
      <c r="X97" s="640">
        <f t="shared" ca="1" si="5"/>
        <v>9.7573237966549195E-2</v>
      </c>
      <c r="Y97" s="488">
        <f t="shared" ca="1" si="7"/>
        <v>0</v>
      </c>
      <c r="Z97" s="484">
        <f ca="1">IF('CDO Bespoke'!O98&lt;&gt;"",'CDO Bespoke'!O98,"")</f>
        <v>9.7573237966549195E-2</v>
      </c>
      <c r="AA97" s="640">
        <f ca="1">IF(Z97&lt;&gt;"",ABS(MIN(-0.6*'CDO Bespoke'!K98+'CDO Bespoke'!T98*'CDO Bespoke'!K98,0)),"")</f>
        <v>8.9254982021914897E-2</v>
      </c>
      <c r="AB97" s="640">
        <f t="shared" ca="1" si="8"/>
        <v>8.318255944634298E-3</v>
      </c>
      <c r="AC97" s="488">
        <f t="shared" ca="1" si="9"/>
        <v>0</v>
      </c>
      <c r="AD97" s="272"/>
      <c r="AE97" s="493" t="str">
        <f ca="1">IF('CDO Bespoke'!C122&lt;&gt;"",'CDO Bespoke'!C122,"")</f>
        <v>PEARSON plc</v>
      </c>
      <c r="AF97" s="495">
        <f ca="1"/>
        <v>-7.9345574999223345E-4</v>
      </c>
      <c r="AG97" s="583">
        <f ca="1"/>
        <v>-1.5621012500188769E-3</v>
      </c>
      <c r="AH97" s="583">
        <f ca="1"/>
        <v>-2.2772409102866931E-3</v>
      </c>
      <c r="AI97" s="583">
        <f ca="1"/>
        <v>0.76037842322018712</v>
      </c>
      <c r="AJ97" s="496">
        <f ca="1"/>
        <v>0</v>
      </c>
      <c r="AK97" s="618">
        <f ca="1"/>
        <v>0</v>
      </c>
      <c r="AL97" s="495">
        <f ca="1"/>
        <v>2.9325248029812151E-4</v>
      </c>
      <c r="AM97" s="583">
        <f ca="1"/>
        <v>1.4437973303981638E-3</v>
      </c>
      <c r="AN97" s="583">
        <f ca="1"/>
        <v>6.1199304616978839E-3</v>
      </c>
      <c r="AO97" s="583">
        <f ca="1"/>
        <v>0.71284408854469827</v>
      </c>
      <c r="AP97" s="496">
        <f ca="1"/>
        <v>0</v>
      </c>
      <c r="AQ97" s="618">
        <f ca="1"/>
        <v>0</v>
      </c>
      <c r="AR97" s="495">
        <f ca="1"/>
        <v>-9.1612510806565184E-3</v>
      </c>
      <c r="AS97" s="496">
        <f ca="1"/>
        <v>-3.504165844184548E-2</v>
      </c>
      <c r="AT97" s="618">
        <f ca="1"/>
        <v>0</v>
      </c>
      <c r="AU97" s="495">
        <f ca="1"/>
        <v>-0.11139559151018824</v>
      </c>
      <c r="AV97" s="496">
        <f ca="1"/>
        <v>5.3217130185719275E-3</v>
      </c>
      <c r="AW97" s="618">
        <f ca="1"/>
        <v>0</v>
      </c>
    </row>
    <row r="98" spans="2:49">
      <c r="B98" s="516" t="s">
        <v>537</v>
      </c>
      <c r="C98" s="517" t="s">
        <v>66</v>
      </c>
      <c r="D98" s="517" t="s">
        <v>57</v>
      </c>
      <c r="E98" s="517" t="s">
        <v>647</v>
      </c>
      <c r="F98" s="517" t="s">
        <v>646</v>
      </c>
      <c r="G98" s="524">
        <v>0.01</v>
      </c>
      <c r="H98" s="524">
        <v>1.2508999999999999E-2</v>
      </c>
      <c r="I98" s="526">
        <v>0.4</v>
      </c>
      <c r="J98" s="592">
        <v>4</v>
      </c>
      <c r="K98" s="518">
        <v>25</v>
      </c>
      <c r="L98" s="272"/>
      <c r="M98" s="272"/>
      <c r="P98" s="273"/>
      <c r="Q98" s="273"/>
      <c r="R98" s="273"/>
      <c r="S98" s="273"/>
      <c r="T98" s="575">
        <f ca="1"/>
        <v>0.03</v>
      </c>
      <c r="U98" s="572">
        <f ca="1"/>
        <v>90</v>
      </c>
      <c r="V98" s="484">
        <f ca="1">IF('CDO Bespoke'!O99&lt;&gt;"",'CDO Bespoke'!O99,"")</f>
        <v>9.7978874026528204E-2</v>
      </c>
      <c r="W98" s="640">
        <f t="shared" ca="1" si="6"/>
        <v>0</v>
      </c>
      <c r="X98" s="640">
        <f t="shared" ca="1" si="5"/>
        <v>9.7978874026528204E-2</v>
      </c>
      <c r="Y98" s="488">
        <f t="shared" ca="1" si="7"/>
        <v>0</v>
      </c>
      <c r="Z98" s="484">
        <f ca="1">IF('CDO Bespoke'!O99&lt;&gt;"",'CDO Bespoke'!O99,"")</f>
        <v>9.7978874026528204E-2</v>
      </c>
      <c r="AA98" s="640">
        <f ca="1">IF(Z98&lt;&gt;"",ABS(MIN(-0.6*'CDO Bespoke'!K99+'CDO Bespoke'!T99*'CDO Bespoke'!K99,0)),"")</f>
        <v>8.5145318052414418E-2</v>
      </c>
      <c r="AB98" s="640">
        <f t="shared" ca="1" si="8"/>
        <v>1.2833555974113786E-2</v>
      </c>
      <c r="AC98" s="488">
        <f t="shared" ca="1" si="9"/>
        <v>0</v>
      </c>
      <c r="AD98" s="272"/>
      <c r="AE98" s="493" t="str">
        <f ca="1">IF('CDO Bespoke'!C123&lt;&gt;"",'CDO Bespoke'!C123,"")</f>
        <v>PUBLICIS GROUPE SA</v>
      </c>
      <c r="AF98" s="495">
        <f ca="1"/>
        <v>-6.231307603243863E-4</v>
      </c>
      <c r="AG98" s="583">
        <f ca="1"/>
        <v>-9.494517400066016E-4</v>
      </c>
      <c r="AH98" s="583">
        <f ca="1"/>
        <v>-1.1157743007306209E-4</v>
      </c>
      <c r="AI98" s="583">
        <f ca="1"/>
        <v>0.70442931965009059</v>
      </c>
      <c r="AJ98" s="496">
        <f ca="1"/>
        <v>0</v>
      </c>
      <c r="AK98" s="618">
        <f ca="1"/>
        <v>0</v>
      </c>
      <c r="AL98" s="495">
        <f ca="1"/>
        <v>3.2706614269770867E-4</v>
      </c>
      <c r="AM98" s="583">
        <f ca="1"/>
        <v>1.5986940196969709E-3</v>
      </c>
      <c r="AN98" s="583">
        <f ca="1"/>
        <v>6.9287103417973311E-3</v>
      </c>
      <c r="AO98" s="583">
        <f ca="1"/>
        <v>0.66952337772869897</v>
      </c>
      <c r="AP98" s="496">
        <f ca="1"/>
        <v>0</v>
      </c>
      <c r="AQ98" s="618">
        <f ca="1"/>
        <v>0</v>
      </c>
      <c r="AR98" s="495">
        <f ca="1"/>
        <v>-1.1712911316487662E-2</v>
      </c>
      <c r="AS98" s="496">
        <f ca="1"/>
        <v>-3.3037228055889323E-2</v>
      </c>
      <c r="AT98" s="618">
        <f ca="1"/>
        <v>0</v>
      </c>
      <c r="AU98" s="495">
        <f ca="1"/>
        <v>-0.11356682832984488</v>
      </c>
      <c r="AV98" s="496">
        <f ca="1"/>
        <v>2.1706910444533739E-3</v>
      </c>
      <c r="AW98" s="618">
        <f ca="1"/>
        <v>0</v>
      </c>
    </row>
    <row r="99" spans="2:49">
      <c r="B99" s="533" t="s">
        <v>537</v>
      </c>
      <c r="C99" s="534" t="s">
        <v>66</v>
      </c>
      <c r="D99" s="534" t="s">
        <v>59</v>
      </c>
      <c r="E99" s="534" t="s">
        <v>647</v>
      </c>
      <c r="F99" s="534" t="s">
        <v>646</v>
      </c>
      <c r="G99" s="535">
        <v>0.01</v>
      </c>
      <c r="H99" s="535">
        <v>1.5117E-2</v>
      </c>
      <c r="I99" s="536">
        <v>0.4</v>
      </c>
      <c r="J99" s="593">
        <v>4</v>
      </c>
      <c r="K99" s="537">
        <v>25</v>
      </c>
      <c r="L99" s="272"/>
      <c r="M99" s="272"/>
      <c r="P99" s="273"/>
      <c r="Q99" s="273"/>
      <c r="R99" s="273"/>
      <c r="S99" s="273"/>
      <c r="T99" s="575">
        <f ca="1"/>
        <v>0.06</v>
      </c>
      <c r="U99" s="572">
        <f ca="1"/>
        <v>91</v>
      </c>
      <c r="V99" s="484">
        <f ca="1">IF('CDO Bespoke'!O100&lt;&gt;"",'CDO Bespoke'!O100,"")</f>
        <v>9.2761864524586193E-2</v>
      </c>
      <c r="W99" s="640">
        <f t="shared" ca="1" si="6"/>
        <v>0</v>
      </c>
      <c r="X99" s="640">
        <f t="shared" ca="1" si="5"/>
        <v>9.2761864524586193E-2</v>
      </c>
      <c r="Y99" s="488">
        <f t="shared" ca="1" si="7"/>
        <v>0</v>
      </c>
      <c r="Z99" s="484">
        <f ca="1">IF('CDO Bespoke'!O100&lt;&gt;"",'CDO Bespoke'!O100,"")</f>
        <v>9.2761864524586193E-2</v>
      </c>
      <c r="AA99" s="640">
        <f ca="1">IF(Z99&lt;&gt;"",ABS(MIN(-0.6*'CDO Bespoke'!K100+'CDO Bespoke'!T100*'CDO Bespoke'!K100,0)),"")</f>
        <v>9.8247025554554904E-2</v>
      </c>
      <c r="AB99" s="640">
        <f t="shared" ca="1" si="8"/>
        <v>0</v>
      </c>
      <c r="AC99" s="488">
        <f t="shared" ca="1" si="9"/>
        <v>0</v>
      </c>
      <c r="AD99" s="272"/>
      <c r="AE99" s="493" t="str">
        <f ca="1">IF('CDO Bespoke'!C124&lt;&gt;"",'CDO Bespoke'!C124,"")</f>
        <v>SES</v>
      </c>
      <c r="AF99" s="495">
        <f ca="1"/>
        <v>-2.5747363602279805E-3</v>
      </c>
      <c r="AG99" s="583">
        <f ca="1"/>
        <v>-9.0701818800109635E-3</v>
      </c>
      <c r="AH99" s="583">
        <f ca="1"/>
        <v>-3.2924085159868888E-2</v>
      </c>
      <c r="AI99" s="583">
        <f ca="1"/>
        <v>1.0663694654799993</v>
      </c>
      <c r="AJ99" s="496">
        <f ca="1"/>
        <v>0</v>
      </c>
      <c r="AK99" s="618">
        <f ca="1"/>
        <v>0</v>
      </c>
      <c r="AL99" s="495">
        <f ca="1"/>
        <v>-4.3601464539549939E-4</v>
      </c>
      <c r="AM99" s="583">
        <f ca="1"/>
        <v>-2.0120017101953741E-3</v>
      </c>
      <c r="AN99" s="583">
        <f ca="1"/>
        <v>-1.0440728945302138E-2</v>
      </c>
      <c r="AO99" s="583">
        <f ca="1"/>
        <v>0.90232430206839753</v>
      </c>
      <c r="AP99" s="496">
        <f ca="1"/>
        <v>0</v>
      </c>
      <c r="AQ99" s="618">
        <f ca="1"/>
        <v>0</v>
      </c>
      <c r="AR99" s="495">
        <f ca="1"/>
        <v>5.7635577300625962E-3</v>
      </c>
      <c r="AS99" s="496">
        <f ca="1"/>
        <v>-3.8531787046430566E-2</v>
      </c>
      <c r="AT99" s="618">
        <f ca="1"/>
        <v>0</v>
      </c>
      <c r="AU99" s="495">
        <f ca="1"/>
        <v>-6.7569979220732421E-2</v>
      </c>
      <c r="AV99" s="496">
        <f ca="1"/>
        <v>5.9466100526550117E-2</v>
      </c>
      <c r="AW99" s="618">
        <f ca="1"/>
        <v>0</v>
      </c>
    </row>
    <row r="100" spans="2:49">
      <c r="B100" s="538" t="s">
        <v>522</v>
      </c>
      <c r="C100" s="539" t="s">
        <v>66</v>
      </c>
      <c r="D100" s="539" t="s">
        <v>55</v>
      </c>
      <c r="E100" s="539" t="s">
        <v>647</v>
      </c>
      <c r="F100" s="539" t="s">
        <v>646</v>
      </c>
      <c r="G100" s="540">
        <v>0.01</v>
      </c>
      <c r="H100" s="540">
        <v>3.4320000000000002E-3</v>
      </c>
      <c r="I100" s="541">
        <v>0.4</v>
      </c>
      <c r="J100" s="600">
        <v>4</v>
      </c>
      <c r="K100" s="542">
        <v>26</v>
      </c>
      <c r="L100" s="272"/>
      <c r="M100" s="272"/>
      <c r="P100" s="273"/>
      <c r="Q100" s="273"/>
      <c r="R100" s="273"/>
      <c r="S100" s="273"/>
      <c r="T100" s="575">
        <f ca="1"/>
        <v>0.06</v>
      </c>
      <c r="U100" s="572">
        <f ca="1"/>
        <v>92</v>
      </c>
      <c r="V100" s="484">
        <f ca="1">IF('CDO Bespoke'!O101&lt;&gt;"",'CDO Bespoke'!O101,"")</f>
        <v>9.8933696406085195E-2</v>
      </c>
      <c r="W100" s="640">
        <f t="shared" ca="1" si="6"/>
        <v>0</v>
      </c>
      <c r="X100" s="640">
        <f t="shared" ca="1" si="5"/>
        <v>9.8933696406085195E-2</v>
      </c>
      <c r="Y100" s="488">
        <f t="shared" ca="1" si="7"/>
        <v>0</v>
      </c>
      <c r="Z100" s="484">
        <f ca="1">IF('CDO Bespoke'!O101&lt;&gt;"",'CDO Bespoke'!O101,"")</f>
        <v>9.8933696406085195E-2</v>
      </c>
      <c r="AA100" s="640">
        <f ca="1">IF(Z100&lt;&gt;"",ABS(MIN(-0.6*'CDO Bespoke'!K101+'CDO Bespoke'!T101*'CDO Bespoke'!K101,0)),"")</f>
        <v>5.9685129425177522E-2</v>
      </c>
      <c r="AB100" s="640">
        <f t="shared" ca="1" si="8"/>
        <v>3.9248566980907673E-2</v>
      </c>
      <c r="AC100" s="488">
        <f t="shared" ca="1" si="9"/>
        <v>0</v>
      </c>
      <c r="AD100" s="272"/>
      <c r="AE100" s="493" t="str">
        <f ca="1">IF('CDO Bespoke'!C125&lt;&gt;"",'CDO Bespoke'!C125,"")</f>
        <v>SKY LIMITED</v>
      </c>
      <c r="AF100" s="495">
        <f ca="1"/>
        <v>3.2083339873700822E-5</v>
      </c>
      <c r="AG100" s="583">
        <f ca="1"/>
        <v>1.1741110400587118E-3</v>
      </c>
      <c r="AH100" s="583">
        <f ca="1"/>
        <v>6.3360248298005573E-3</v>
      </c>
      <c r="AI100" s="583">
        <f ca="1"/>
        <v>0.38215446601985725</v>
      </c>
      <c r="AJ100" s="496">
        <f ca="1"/>
        <v>0</v>
      </c>
      <c r="AK100" s="618">
        <f ca="1"/>
        <v>0</v>
      </c>
      <c r="AL100" s="495">
        <f ca="1"/>
        <v>3.0051584620077731E-4</v>
      </c>
      <c r="AM100" s="583">
        <f ca="1"/>
        <v>1.4471516628002806E-3</v>
      </c>
      <c r="AN100" s="583">
        <f ca="1"/>
        <v>6.5441342872972486E-3</v>
      </c>
      <c r="AO100" s="583">
        <f ca="1"/>
        <v>0.3925625211037998</v>
      </c>
      <c r="AP100" s="496">
        <f ca="1"/>
        <v>0</v>
      </c>
      <c r="AQ100" s="618">
        <f ca="1"/>
        <v>0</v>
      </c>
      <c r="AR100" s="495">
        <f ca="1"/>
        <v>-2.6336889572846467E-2</v>
      </c>
      <c r="AS100" s="496">
        <f ca="1"/>
        <v>-1.9169787267024507E-2</v>
      </c>
      <c r="AT100" s="618">
        <f ca="1"/>
        <v>0</v>
      </c>
      <c r="AU100" s="495">
        <f ca="1"/>
        <v>-0.12499154311170346</v>
      </c>
      <c r="AV100" s="496">
        <f ca="1"/>
        <v>-5.5361008846971423E-3</v>
      </c>
      <c r="AW100" s="618">
        <f ca="1"/>
        <v>0</v>
      </c>
    </row>
    <row r="101" spans="2:49">
      <c r="B101" s="516" t="s">
        <v>522</v>
      </c>
      <c r="C101" s="517" t="s">
        <v>66</v>
      </c>
      <c r="D101" s="517" t="s">
        <v>57</v>
      </c>
      <c r="E101" s="517" t="s">
        <v>647</v>
      </c>
      <c r="F101" s="517" t="s">
        <v>646</v>
      </c>
      <c r="G101" s="524">
        <v>0.01</v>
      </c>
      <c r="H101" s="524">
        <v>5.6519999999999999E-3</v>
      </c>
      <c r="I101" s="526">
        <v>0.4</v>
      </c>
      <c r="J101" s="592">
        <v>4</v>
      </c>
      <c r="K101" s="518">
        <v>26</v>
      </c>
      <c r="L101" s="272"/>
      <c r="M101" s="272"/>
      <c r="P101" s="273"/>
      <c r="Q101" s="273"/>
      <c r="R101" s="273"/>
      <c r="S101" s="273"/>
      <c r="T101" s="575">
        <f ca="1"/>
        <v>0.06</v>
      </c>
      <c r="U101" s="572">
        <f ca="1"/>
        <v>93</v>
      </c>
      <c r="V101" s="484">
        <f ca="1">IF('CDO Bespoke'!O102&lt;&gt;"",'CDO Bespoke'!O102,"")</f>
        <v>9.8365290385925203E-2</v>
      </c>
      <c r="W101" s="640">
        <f t="shared" ca="1" si="6"/>
        <v>0</v>
      </c>
      <c r="X101" s="640">
        <f t="shared" ca="1" si="5"/>
        <v>9.8365290385925203E-2</v>
      </c>
      <c r="Y101" s="488">
        <f t="shared" ca="1" si="7"/>
        <v>0</v>
      </c>
      <c r="Z101" s="484">
        <f ca="1">IF('CDO Bespoke'!O102&lt;&gt;"",'CDO Bespoke'!O102,"")</f>
        <v>9.8365290385925203E-2</v>
      </c>
      <c r="AA101" s="640">
        <f ca="1">IF(Z101&lt;&gt;"",ABS(MIN(-0.6*'CDO Bespoke'!K102+'CDO Bespoke'!T102*'CDO Bespoke'!K102,0)),"")</f>
        <v>7.9155569249397317E-2</v>
      </c>
      <c r="AB101" s="640">
        <f t="shared" ca="1" si="8"/>
        <v>1.9209721136527885E-2</v>
      </c>
      <c r="AC101" s="488">
        <f t="shared" ca="1" si="9"/>
        <v>0</v>
      </c>
      <c r="AD101" s="272"/>
      <c r="AE101" s="493" t="str">
        <f ca="1">IF('CDO Bespoke'!C126&lt;&gt;"",'CDO Bespoke'!C126,"")</f>
        <v>STMicroelectronics N.V.</v>
      </c>
      <c r="AF101" s="495">
        <f ca="1"/>
        <v>-3.0570210030056444E-4</v>
      </c>
      <c r="AG101" s="583">
        <f ca="1"/>
        <v>2.1506846969998605E-4</v>
      </c>
      <c r="AH101" s="583">
        <f ca="1"/>
        <v>3.940896289855722E-3</v>
      </c>
      <c r="AI101" s="583">
        <f ca="1"/>
        <v>0.5855083443001563</v>
      </c>
      <c r="AJ101" s="496">
        <f ca="1"/>
        <v>0</v>
      </c>
      <c r="AK101" s="618">
        <f ca="1"/>
        <v>0</v>
      </c>
      <c r="AL101" s="495">
        <f ca="1"/>
        <v>3.5279291989934874E-4</v>
      </c>
      <c r="AM101" s="583">
        <f ca="1"/>
        <v>1.7108309899012755E-3</v>
      </c>
      <c r="AN101" s="583">
        <f ca="1"/>
        <v>7.6074833042002327E-3</v>
      </c>
      <c r="AO101" s="583">
        <f ca="1"/>
        <v>0.57301151516420123</v>
      </c>
      <c r="AP101" s="496">
        <f ca="1"/>
        <v>0</v>
      </c>
      <c r="AQ101" s="618">
        <f ca="1"/>
        <v>0</v>
      </c>
      <c r="AR101" s="495">
        <f ca="1"/>
        <v>-1.7017859275940406E-2</v>
      </c>
      <c r="AS101" s="496">
        <f ca="1"/>
        <v>-2.831458020841654E-2</v>
      </c>
      <c r="AT101" s="618">
        <f ca="1"/>
        <v>0</v>
      </c>
      <c r="AU101" s="495">
        <f ca="1"/>
        <v>-8.218365149048755E-2</v>
      </c>
      <c r="AV101" s="496">
        <f ca="1"/>
        <v>3.5198736940579567E-3</v>
      </c>
      <c r="AW101" s="618">
        <f ca="1"/>
        <v>0</v>
      </c>
    </row>
    <row r="102" spans="2:49">
      <c r="B102" s="533" t="s">
        <v>522</v>
      </c>
      <c r="C102" s="534" t="s">
        <v>66</v>
      </c>
      <c r="D102" s="534" t="s">
        <v>59</v>
      </c>
      <c r="E102" s="534" t="s">
        <v>647</v>
      </c>
      <c r="F102" s="534" t="s">
        <v>646</v>
      </c>
      <c r="G102" s="535">
        <v>0.01</v>
      </c>
      <c r="H102" s="535">
        <v>8.0560000000000007E-3</v>
      </c>
      <c r="I102" s="536">
        <v>0.4</v>
      </c>
      <c r="J102" s="593">
        <v>4</v>
      </c>
      <c r="K102" s="537">
        <v>26</v>
      </c>
      <c r="L102" s="272"/>
      <c r="M102" s="272"/>
      <c r="P102" s="273"/>
      <c r="Q102" s="273"/>
      <c r="R102" s="273"/>
      <c r="S102" s="273"/>
      <c r="T102" s="575">
        <f ca="1"/>
        <v>0.06</v>
      </c>
      <c r="U102" s="572">
        <f ca="1"/>
        <v>94</v>
      </c>
      <c r="V102" s="484">
        <f ca="1">IF('CDO Bespoke'!O103&lt;&gt;"",'CDO Bespoke'!O103,"")</f>
        <v>9.7044886766454203E-2</v>
      </c>
      <c r="W102" s="640">
        <f t="shared" ca="1" si="6"/>
        <v>0</v>
      </c>
      <c r="X102" s="640">
        <f t="shared" ca="1" si="5"/>
        <v>9.7044886766454203E-2</v>
      </c>
      <c r="Y102" s="488">
        <f t="shared" ca="1" si="7"/>
        <v>0</v>
      </c>
      <c r="Z102" s="484">
        <f ca="1">IF('CDO Bespoke'!O103&lt;&gt;"",'CDO Bespoke'!O103,"")</f>
        <v>9.7044886766454203E-2</v>
      </c>
      <c r="AA102" s="640">
        <f ca="1">IF(Z102&lt;&gt;"",ABS(MIN(-0.6*'CDO Bespoke'!K103+'CDO Bespoke'!T103*'CDO Bespoke'!K103,0)),"")</f>
        <v>9.2791273569832106E-2</v>
      </c>
      <c r="AB102" s="640">
        <f t="shared" ca="1" si="8"/>
        <v>4.2536131966220969E-3</v>
      </c>
      <c r="AC102" s="488">
        <f t="shared" ca="1" si="9"/>
        <v>0</v>
      </c>
      <c r="AD102" s="272"/>
      <c r="AE102" s="493" t="str">
        <f ca="1">IF('CDO Bespoke'!C127&lt;&gt;"",'CDO Bespoke'!C127,"")</f>
        <v>TELEFONICA, S.A.</v>
      </c>
      <c r="AF102" s="495">
        <f ca="1"/>
        <v>-1.0410421202866615E-3</v>
      </c>
      <c r="AG102" s="583">
        <f ca="1"/>
        <v>-2.5172552697849682E-3</v>
      </c>
      <c r="AH102" s="583">
        <f ca="1"/>
        <v>-5.9006413799522761E-3</v>
      </c>
      <c r="AI102" s="583">
        <f ca="1"/>
        <v>0.82836994343971071</v>
      </c>
      <c r="AJ102" s="496">
        <f ca="1"/>
        <v>0</v>
      </c>
      <c r="AK102" s="618">
        <f ca="1"/>
        <v>0</v>
      </c>
      <c r="AL102" s="495">
        <f ca="1"/>
        <v>2.2913917739793288E-4</v>
      </c>
      <c r="AM102" s="583">
        <f ca="1"/>
        <v>1.1459644056995358E-3</v>
      </c>
      <c r="AN102" s="583">
        <f ca="1"/>
        <v>4.5954614924991963E-3</v>
      </c>
      <c r="AO102" s="583">
        <f ca="1"/>
        <v>0.76260469943529707</v>
      </c>
      <c r="AP102" s="496">
        <f ca="1"/>
        <v>0</v>
      </c>
      <c r="AQ102" s="618">
        <f ca="1"/>
        <v>0</v>
      </c>
      <c r="AR102" s="495">
        <f ca="1"/>
        <v>-6.0696894693766379E-3</v>
      </c>
      <c r="AS102" s="496">
        <f ca="1"/>
        <v>-3.7187373052076311E-2</v>
      </c>
      <c r="AT102" s="618">
        <f ca="1"/>
        <v>0</v>
      </c>
      <c r="AU102" s="495">
        <f ca="1"/>
        <v>-7.6025177067389135E-2</v>
      </c>
      <c r="AV102" s="496">
        <f ca="1"/>
        <v>1.7911039464719624E-2</v>
      </c>
      <c r="AW102" s="618">
        <f ca="1"/>
        <v>0</v>
      </c>
    </row>
    <row r="103" spans="2:49">
      <c r="B103" s="538" t="s">
        <v>523</v>
      </c>
      <c r="C103" s="539" t="s">
        <v>66</v>
      </c>
      <c r="D103" s="539" t="s">
        <v>55</v>
      </c>
      <c r="E103" s="539" t="s">
        <v>649</v>
      </c>
      <c r="F103" s="539" t="s">
        <v>669</v>
      </c>
      <c r="G103" s="540">
        <v>0.01</v>
      </c>
      <c r="H103" s="540">
        <v>2.0699999999999998E-3</v>
      </c>
      <c r="I103" s="541">
        <v>0.4</v>
      </c>
      <c r="J103" s="600">
        <v>7</v>
      </c>
      <c r="K103" s="542">
        <v>27</v>
      </c>
      <c r="L103" s="272"/>
      <c r="M103" s="272"/>
      <c r="P103" s="273"/>
      <c r="Q103" s="273"/>
      <c r="R103" s="273"/>
      <c r="S103" s="273"/>
      <c r="T103" s="575">
        <f ca="1"/>
        <v>0.06</v>
      </c>
      <c r="U103" s="572">
        <f ca="1"/>
        <v>95</v>
      </c>
      <c r="V103" s="484">
        <f ca="1">IF('CDO Bespoke'!O104&lt;&gt;"",'CDO Bespoke'!O104,"")</f>
        <v>9.8676701892642202E-2</v>
      </c>
      <c r="W103" s="640">
        <f t="shared" ca="1" si="6"/>
        <v>0</v>
      </c>
      <c r="X103" s="640">
        <f t="shared" ca="1" si="5"/>
        <v>9.8676701892642202E-2</v>
      </c>
      <c r="Y103" s="488">
        <f t="shared" ca="1" si="7"/>
        <v>0</v>
      </c>
      <c r="Z103" s="484">
        <f ca="1">IF('CDO Bespoke'!O104&lt;&gt;"",'CDO Bespoke'!O104,"")</f>
        <v>9.8676701892642202E-2</v>
      </c>
      <c r="AA103" s="640">
        <f ca="1">IF(Z103&lt;&gt;"",ABS(MIN(-0.6*'CDO Bespoke'!K104+'CDO Bespoke'!T104*'CDO Bespoke'!K104,0)),"")</f>
        <v>7.1318961746504594E-2</v>
      </c>
      <c r="AB103" s="640">
        <f t="shared" ca="1" si="8"/>
        <v>2.7357740146137607E-2</v>
      </c>
      <c r="AC103" s="488">
        <f t="shared" ca="1" si="9"/>
        <v>0</v>
      </c>
      <c r="AD103" s="272"/>
      <c r="AE103" s="493" t="str">
        <f ca="1">IF('CDO Bespoke'!C128&lt;&gt;"",'CDO Bespoke'!C128,"")</f>
        <v>Telekom Austria Aktiengesellschaft</v>
      </c>
      <c r="AF103" s="495">
        <f ca="1"/>
        <v>-1.599098498061835E-4</v>
      </c>
      <c r="AG103" s="583">
        <f ca="1"/>
        <v>6.3818488993394595E-4</v>
      </c>
      <c r="AH103" s="583">
        <f ca="1"/>
        <v>5.064522040076902E-3</v>
      </c>
      <c r="AI103" s="583">
        <f ca="1"/>
        <v>0.50739457776005636</v>
      </c>
      <c r="AJ103" s="496">
        <f ca="1"/>
        <v>0</v>
      </c>
      <c r="AK103" s="618">
        <f ca="1"/>
        <v>0</v>
      </c>
      <c r="AL103" s="495">
        <f ca="1"/>
        <v>3.4532913940291815E-4</v>
      </c>
      <c r="AM103" s="583">
        <f ca="1"/>
        <v>1.6687108784010918E-3</v>
      </c>
      <c r="AN103" s="583">
        <f ca="1"/>
        <v>7.4814062954019905E-3</v>
      </c>
      <c r="AO103" s="583">
        <f ca="1"/>
        <v>0.50571729675710164</v>
      </c>
      <c r="AP103" s="496">
        <f ca="1"/>
        <v>0</v>
      </c>
      <c r="AQ103" s="618">
        <f ca="1"/>
        <v>0</v>
      </c>
      <c r="AR103" s="495">
        <f ca="1"/>
        <v>-2.0598562602515968E-2</v>
      </c>
      <c r="AS103" s="496">
        <f ca="1"/>
        <v>-2.4911320822858019E-2</v>
      </c>
      <c r="AT103" s="618">
        <f ca="1"/>
        <v>0</v>
      </c>
      <c r="AU103" s="495">
        <f ca="1"/>
        <v>-8.4085476387465358E-2</v>
      </c>
      <c r="AV103" s="496">
        <f ca="1"/>
        <v>9.9004972446424706E-4</v>
      </c>
      <c r="AW103" s="618">
        <f ca="1"/>
        <v>0</v>
      </c>
    </row>
    <row r="104" spans="2:49">
      <c r="B104" s="516" t="s">
        <v>523</v>
      </c>
      <c r="C104" s="517" t="s">
        <v>66</v>
      </c>
      <c r="D104" s="517" t="s">
        <v>57</v>
      </c>
      <c r="E104" s="517" t="s">
        <v>649</v>
      </c>
      <c r="F104" s="517" t="s">
        <v>669</v>
      </c>
      <c r="G104" s="524">
        <v>0.01</v>
      </c>
      <c r="H104" s="524">
        <v>3.297E-3</v>
      </c>
      <c r="I104" s="526">
        <v>0.4</v>
      </c>
      <c r="J104" s="592">
        <v>7</v>
      </c>
      <c r="K104" s="518">
        <v>27</v>
      </c>
      <c r="L104" s="272"/>
      <c r="M104" s="272"/>
      <c r="P104" s="273"/>
      <c r="Q104" s="273"/>
      <c r="R104" s="273"/>
      <c r="S104" s="273"/>
      <c r="T104" s="575">
        <f ca="1"/>
        <v>0.15</v>
      </c>
      <c r="U104" s="572">
        <f ca="1"/>
        <v>96</v>
      </c>
      <c r="V104" s="484">
        <f ca="1">IF('CDO Bespoke'!O105&lt;&gt;"",'CDO Bespoke'!O105,"")</f>
        <v>9.85455247656912E-2</v>
      </c>
      <c r="W104" s="640">
        <f t="shared" ca="1" si="6"/>
        <v>0</v>
      </c>
      <c r="X104" s="640">
        <f t="shared" ca="1" si="5"/>
        <v>9.85455247656912E-2</v>
      </c>
      <c r="Y104" s="488">
        <f t="shared" ca="1" si="7"/>
        <v>0</v>
      </c>
      <c r="Z104" s="484">
        <f ca="1">IF('CDO Bespoke'!O105&lt;&gt;"",'CDO Bespoke'!O105,"")</f>
        <v>9.85455247656912E-2</v>
      </c>
      <c r="AA104" s="640">
        <f ca="1">IF(Z104&lt;&gt;"",ABS(MIN(-0.6*'CDO Bespoke'!K105+'CDO Bespoke'!T105*'CDO Bespoke'!K105,0)),"")</f>
        <v>7.5117404768179491E-2</v>
      </c>
      <c r="AB104" s="640">
        <f t="shared" ca="1" si="8"/>
        <v>2.3428119997511709E-2</v>
      </c>
      <c r="AC104" s="488">
        <f t="shared" ca="1" si="9"/>
        <v>0</v>
      </c>
      <c r="AD104" s="272"/>
      <c r="AE104" s="493" t="str">
        <f ca="1">IF('CDO Bespoke'!C129&lt;&gt;"",'CDO Bespoke'!C129,"")</f>
        <v>TELENOR ASA</v>
      </c>
      <c r="AF104" s="495">
        <f ca="1"/>
        <v>-2.0037981995901788E-4</v>
      </c>
      <c r="AG104" s="583">
        <f ca="1"/>
        <v>5.5329857973074326E-4</v>
      </c>
      <c r="AH104" s="583">
        <f ca="1"/>
        <v>4.9451315897730552E-3</v>
      </c>
      <c r="AI104" s="583">
        <f ca="1"/>
        <v>0.53512262444987968</v>
      </c>
      <c r="AJ104" s="496">
        <f ca="1"/>
        <v>0</v>
      </c>
      <c r="AK104" s="618">
        <f ca="1"/>
        <v>0</v>
      </c>
      <c r="AL104" s="495">
        <f ca="1"/>
        <v>3.4986469840160572E-4</v>
      </c>
      <c r="AM104" s="583">
        <f ca="1"/>
        <v>1.6927381024005664E-3</v>
      </c>
      <c r="AN104" s="583">
        <f ca="1"/>
        <v>7.5717824966990005E-3</v>
      </c>
      <c r="AO104" s="583">
        <f ca="1"/>
        <v>0.53008339331949916</v>
      </c>
      <c r="AP104" s="496">
        <f ca="1"/>
        <v>0</v>
      </c>
      <c r="AQ104" s="618">
        <f ca="1"/>
        <v>0</v>
      </c>
      <c r="AR104" s="495">
        <f ca="1"/>
        <v>-1.9304474300389785E-2</v>
      </c>
      <c r="AS104" s="496">
        <f ca="1"/>
        <v>-2.6151250958182215E-2</v>
      </c>
      <c r="AT104" s="618">
        <f ca="1"/>
        <v>0</v>
      </c>
      <c r="AU104" s="495">
        <f ca="1"/>
        <v>-8.3396190663460795E-2</v>
      </c>
      <c r="AV104" s="496">
        <f ca="1"/>
        <v>1.8146393034373966E-3</v>
      </c>
      <c r="AW104" s="618">
        <f ca="1"/>
        <v>0</v>
      </c>
    </row>
    <row r="105" spans="2:49">
      <c r="B105" s="533" t="s">
        <v>523</v>
      </c>
      <c r="C105" s="534" t="s">
        <v>66</v>
      </c>
      <c r="D105" s="534" t="s">
        <v>59</v>
      </c>
      <c r="E105" s="534" t="s">
        <v>649</v>
      </c>
      <c r="F105" s="534" t="s">
        <v>669</v>
      </c>
      <c r="G105" s="535">
        <v>0.01</v>
      </c>
      <c r="H105" s="535">
        <v>4.411E-3</v>
      </c>
      <c r="I105" s="536">
        <v>0.4</v>
      </c>
      <c r="J105" s="593">
        <v>7</v>
      </c>
      <c r="K105" s="537">
        <v>27</v>
      </c>
      <c r="L105" s="272"/>
      <c r="M105" s="272"/>
      <c r="P105" s="273"/>
      <c r="Q105" s="273"/>
      <c r="R105" s="273"/>
      <c r="S105" s="273"/>
      <c r="T105" s="575">
        <f ca="1"/>
        <v>0.15</v>
      </c>
      <c r="U105" s="572">
        <f ca="1"/>
        <v>97</v>
      </c>
      <c r="V105" s="484">
        <f ca="1">IF('CDO Bespoke'!O106&lt;&gt;"",'CDO Bespoke'!O106,"")</f>
        <v>9.8512859065170197E-2</v>
      </c>
      <c r="W105" s="640">
        <f t="shared" ca="1" si="6"/>
        <v>0</v>
      </c>
      <c r="X105" s="640">
        <f t="shared" ca="1" si="5"/>
        <v>9.8512859065170197E-2</v>
      </c>
      <c r="Y105" s="488">
        <f t="shared" ca="1" si="7"/>
        <v>0</v>
      </c>
      <c r="Z105" s="484">
        <f ca="1">IF('CDO Bespoke'!O106&lt;&gt;"",'CDO Bespoke'!O106,"")</f>
        <v>9.8512859065170197E-2</v>
      </c>
      <c r="AA105" s="640">
        <f ca="1">IF(Z105&lt;&gt;"",ABS(MIN(-0.6*'CDO Bespoke'!K106+'CDO Bespoke'!T106*'CDO Bespoke'!K106,0)),"")</f>
        <v>7.5935193007083748E-2</v>
      </c>
      <c r="AB105" s="640">
        <f t="shared" ca="1" si="8"/>
        <v>2.2577666058086449E-2</v>
      </c>
      <c r="AC105" s="488">
        <f t="shared" ca="1" si="9"/>
        <v>0</v>
      </c>
      <c r="AD105" s="272"/>
      <c r="AE105" s="493" t="str">
        <f ca="1">IF('CDO Bespoke'!C130&lt;&gt;"",'CDO Bespoke'!C130,"")</f>
        <v>Telia Company AB</v>
      </c>
      <c r="AF105" s="495">
        <f ca="1"/>
        <v>-2.224592099420164E-4</v>
      </c>
      <c r="AG105" s="583">
        <f ca="1"/>
        <v>4.8189219004068917E-4</v>
      </c>
      <c r="AH105" s="583">
        <f ca="1"/>
        <v>4.7336579300782944E-3</v>
      </c>
      <c r="AI105" s="583">
        <f ca="1"/>
        <v>0.54593662407009802</v>
      </c>
      <c r="AJ105" s="496">
        <f ca="1"/>
        <v>0</v>
      </c>
      <c r="AK105" s="618">
        <f ca="1"/>
        <v>0</v>
      </c>
      <c r="AL105" s="495">
        <f ca="1"/>
        <v>3.5114035359939955E-4</v>
      </c>
      <c r="AM105" s="583">
        <f ca="1"/>
        <v>1.6996477413986841E-3</v>
      </c>
      <c r="AN105" s="583">
        <f ca="1"/>
        <v>7.593844669798698E-3</v>
      </c>
      <c r="AO105" s="583">
        <f ca="1"/>
        <v>0.53937727984819983</v>
      </c>
      <c r="AP105" s="496">
        <f ca="1"/>
        <v>0</v>
      </c>
      <c r="AQ105" s="618">
        <f ca="1"/>
        <v>0</v>
      </c>
      <c r="AR105" s="495">
        <f ca="1"/>
        <v>-1.8814814919640266E-2</v>
      </c>
      <c r="AS105" s="496">
        <f ca="1"/>
        <v>-2.6621107373701769E-2</v>
      </c>
      <c r="AT105" s="618">
        <f ca="1"/>
        <v>0</v>
      </c>
      <c r="AU105" s="495">
        <f ca="1"/>
        <v>-8.3139189762908475E-2</v>
      </c>
      <c r="AV105" s="496">
        <f ca="1"/>
        <v>2.1504028347639672E-3</v>
      </c>
      <c r="AW105" s="618">
        <f ca="1"/>
        <v>0</v>
      </c>
    </row>
    <row r="106" spans="2:49">
      <c r="B106" s="538" t="s">
        <v>524</v>
      </c>
      <c r="C106" s="539" t="s">
        <v>66</v>
      </c>
      <c r="D106" s="539" t="s">
        <v>55</v>
      </c>
      <c r="E106" s="539" t="s">
        <v>649</v>
      </c>
      <c r="F106" s="539" t="s">
        <v>669</v>
      </c>
      <c r="G106" s="540">
        <v>0.01</v>
      </c>
      <c r="H106" s="540">
        <v>2.3649999999999999E-3</v>
      </c>
      <c r="I106" s="541">
        <v>0.4</v>
      </c>
      <c r="J106" s="600">
        <v>7</v>
      </c>
      <c r="K106" s="542">
        <v>28</v>
      </c>
      <c r="L106" s="272"/>
      <c r="M106" s="272"/>
      <c r="P106" s="273"/>
      <c r="Q106" s="273"/>
      <c r="R106" s="273"/>
      <c r="S106" s="273"/>
      <c r="T106" s="575">
        <f ca="1"/>
        <v>0.15</v>
      </c>
      <c r="U106" s="572">
        <f ca="1"/>
        <v>98</v>
      </c>
      <c r="V106" s="484">
        <f ca="1">IF('CDO Bespoke'!O107&lt;&gt;"",'CDO Bespoke'!O107,"")</f>
        <v>9.7623466218957206E-2</v>
      </c>
      <c r="W106" s="640">
        <f t="shared" ca="1" si="6"/>
        <v>0</v>
      </c>
      <c r="X106" s="640">
        <f t="shared" ca="1" si="5"/>
        <v>9.7623466218957206E-2</v>
      </c>
      <c r="Y106" s="488">
        <f t="shared" ca="1" si="7"/>
        <v>0</v>
      </c>
      <c r="Z106" s="484">
        <f ca="1">IF('CDO Bespoke'!O107&lt;&gt;"",'CDO Bespoke'!O107,"")</f>
        <v>9.7623466218957206E-2</v>
      </c>
      <c r="AA106" s="640">
        <f ca="1">IF(Z106&lt;&gt;"",ABS(MIN(-0.6*'CDO Bespoke'!K107+'CDO Bespoke'!T107*'CDO Bespoke'!K107,0)),"")</f>
        <v>8.8827502169399733E-2</v>
      </c>
      <c r="AB106" s="640">
        <f t="shared" ca="1" si="8"/>
        <v>8.7959640495574726E-3</v>
      </c>
      <c r="AC106" s="488">
        <f t="shared" ca="1" si="9"/>
        <v>0</v>
      </c>
      <c r="AD106" s="272"/>
      <c r="AE106" s="493" t="str">
        <f ca="1">IF('CDO Bespoke'!C131&lt;&gt;"",'CDO Bespoke'!C131,"")</f>
        <v>Vivendi SE</v>
      </c>
      <c r="AF106" s="495">
        <f ca="1"/>
        <v>-8.2613742014014946E-4</v>
      </c>
      <c r="AG106" s="583">
        <f ca="1"/>
        <v>-1.7089625398147845E-3</v>
      </c>
      <c r="AH106" s="583">
        <f ca="1"/>
        <v>-2.890304259817178E-3</v>
      </c>
      <c r="AI106" s="583">
        <f ca="1"/>
        <v>0.7690244696101356</v>
      </c>
      <c r="AJ106" s="496">
        <f ca="1"/>
        <v>0</v>
      </c>
      <c r="AK106" s="618">
        <f ca="1"/>
        <v>0</v>
      </c>
      <c r="AL106" s="495">
        <f ca="1"/>
        <v>2.8757247159949539E-4</v>
      </c>
      <c r="AM106" s="583">
        <f ca="1"/>
        <v>1.41720882679882E-3</v>
      </c>
      <c r="AN106" s="583">
        <f ca="1"/>
        <v>5.975114898601995E-3</v>
      </c>
      <c r="AO106" s="583">
        <f ca="1"/>
        <v>0.71889113951620165</v>
      </c>
      <c r="AP106" s="496">
        <f ca="1"/>
        <v>0</v>
      </c>
      <c r="AQ106" s="618">
        <f ca="1"/>
        <v>0</v>
      </c>
      <c r="AR106" s="495">
        <f ca="1"/>
        <v>-8.8033554210148468E-3</v>
      </c>
      <c r="AS106" s="496">
        <f ca="1"/>
        <v>-3.5331127799000162E-2</v>
      </c>
      <c r="AT106" s="618">
        <f ca="1"/>
        <v>0</v>
      </c>
      <c r="AU106" s="495">
        <f ca="1"/>
        <v>-0.11113952454547354</v>
      </c>
      <c r="AV106" s="496">
        <f ca="1"/>
        <v>5.8043900796680425E-3</v>
      </c>
      <c r="AW106" s="618">
        <f ca="1"/>
        <v>0</v>
      </c>
    </row>
    <row r="107" spans="2:49">
      <c r="B107" s="516" t="s">
        <v>524</v>
      </c>
      <c r="C107" s="517" t="s">
        <v>66</v>
      </c>
      <c r="D107" s="517" t="s">
        <v>57</v>
      </c>
      <c r="E107" s="517" t="s">
        <v>649</v>
      </c>
      <c r="F107" s="517" t="s">
        <v>669</v>
      </c>
      <c r="G107" s="524">
        <v>0.01</v>
      </c>
      <c r="H107" s="524">
        <v>3.4499999999999999E-3</v>
      </c>
      <c r="I107" s="526">
        <v>0.4</v>
      </c>
      <c r="J107" s="592">
        <v>7</v>
      </c>
      <c r="K107" s="518">
        <v>28</v>
      </c>
      <c r="L107" s="272"/>
      <c r="M107" s="272"/>
      <c r="P107" s="273"/>
      <c r="Q107" s="273"/>
      <c r="R107" s="273"/>
      <c r="S107" s="273"/>
      <c r="T107" s="575">
        <f ca="1"/>
        <v>0.15</v>
      </c>
      <c r="U107" s="572">
        <f ca="1"/>
        <v>99</v>
      </c>
      <c r="V107" s="484">
        <f ca="1">IF('CDO Bespoke'!O108&lt;&gt;"",'CDO Bespoke'!O108,"")</f>
        <v>9.7140132118393202E-2</v>
      </c>
      <c r="W107" s="640">
        <f t="shared" ca="1" si="6"/>
        <v>0</v>
      </c>
      <c r="X107" s="640">
        <f t="shared" ca="1" si="5"/>
        <v>9.7140132118393202E-2</v>
      </c>
      <c r="Y107" s="488">
        <f t="shared" ca="1" si="7"/>
        <v>0</v>
      </c>
      <c r="Z107" s="484">
        <f ca="1">IF('CDO Bespoke'!O108&lt;&gt;"",'CDO Bespoke'!O108,"")</f>
        <v>9.7140132118393202E-2</v>
      </c>
      <c r="AA107" s="640">
        <f ca="1">IF(Z107&lt;&gt;"",ABS(MIN(-0.6*'CDO Bespoke'!K108+'CDO Bespoke'!T108*'CDO Bespoke'!K108,0)),"")</f>
        <v>9.2262555563956211E-2</v>
      </c>
      <c r="AB107" s="640">
        <f t="shared" ca="1" si="8"/>
        <v>4.8775765544369909E-3</v>
      </c>
      <c r="AC107" s="488">
        <f t="shared" ca="1" si="9"/>
        <v>0</v>
      </c>
      <c r="AD107" s="272"/>
      <c r="AE107" s="493" t="str">
        <f ca="1">IF('CDO Bespoke'!C132&lt;&gt;"",'CDO Bespoke'!C132,"")</f>
        <v>VODAFONE GROUP PUBLIC LIMITED COMPANY</v>
      </c>
      <c r="AF107" s="495">
        <f ca="1"/>
        <v>-1.0302962499819657E-3</v>
      </c>
      <c r="AG107" s="583">
        <f ca="1"/>
        <v>-2.4852522001461708E-3</v>
      </c>
      <c r="AH107" s="583">
        <f ca="1"/>
        <v>-5.8107672001872501E-3</v>
      </c>
      <c r="AI107" s="583">
        <f ca="1"/>
        <v>0.82547749368000467</v>
      </c>
      <c r="AJ107" s="496">
        <f ca="1"/>
        <v>0</v>
      </c>
      <c r="AK107" s="618">
        <f ca="1"/>
        <v>0</v>
      </c>
      <c r="AL107" s="495">
        <f ca="1"/>
        <v>2.3322679450037131E-4</v>
      </c>
      <c r="AM107" s="583">
        <f ca="1"/>
        <v>1.1648887691039986E-3</v>
      </c>
      <c r="AN107" s="583">
        <f ca="1"/>
        <v>4.6869525142023347E-3</v>
      </c>
      <c r="AO107" s="583">
        <f ca="1"/>
        <v>0.7605161486140023</v>
      </c>
      <c r="AP107" s="496">
        <f ca="1"/>
        <v>0</v>
      </c>
      <c r="AQ107" s="618">
        <f ca="1"/>
        <v>0</v>
      </c>
      <c r="AR107" s="495">
        <f ca="1"/>
        <v>-6.2201083019215453E-3</v>
      </c>
      <c r="AS107" s="496">
        <f ca="1"/>
        <v>-3.7105958412764484E-2</v>
      </c>
      <c r="AT107" s="618">
        <f ca="1"/>
        <v>0</v>
      </c>
      <c r="AU107" s="495">
        <f ca="1"/>
        <v>-7.6133933663670827E-2</v>
      </c>
      <c r="AV107" s="496">
        <f ca="1"/>
        <v>1.7600321479941221E-2</v>
      </c>
      <c r="AW107" s="618">
        <f ca="1"/>
        <v>0</v>
      </c>
    </row>
    <row r="108" spans="2:49">
      <c r="B108" s="533" t="s">
        <v>524</v>
      </c>
      <c r="C108" s="534" t="s">
        <v>66</v>
      </c>
      <c r="D108" s="534" t="s">
        <v>59</v>
      </c>
      <c r="E108" s="534" t="s">
        <v>649</v>
      </c>
      <c r="F108" s="534" t="s">
        <v>669</v>
      </c>
      <c r="G108" s="535">
        <v>0.01</v>
      </c>
      <c r="H108" s="535">
        <v>4.6579999999999998E-3</v>
      </c>
      <c r="I108" s="536">
        <v>0.4</v>
      </c>
      <c r="J108" s="593">
        <v>7</v>
      </c>
      <c r="K108" s="537">
        <v>28</v>
      </c>
      <c r="L108" s="272"/>
      <c r="M108" s="272"/>
      <c r="P108" s="273"/>
      <c r="Q108" s="273"/>
      <c r="R108" s="273"/>
      <c r="S108" s="273"/>
      <c r="T108" s="575">
        <f ca="1"/>
        <v>0.15</v>
      </c>
      <c r="U108" s="572">
        <f ca="1"/>
        <v>100</v>
      </c>
      <c r="V108" s="484">
        <f ca="1">IF('CDO Bespoke'!O109&lt;&gt;"",'CDO Bespoke'!O109,"")</f>
        <v>9.7065251177891207E-2</v>
      </c>
      <c r="W108" s="640">
        <f t="shared" ca="1" si="6"/>
        <v>0</v>
      </c>
      <c r="X108" s="640">
        <f t="shared" ca="1" si="5"/>
        <v>9.7065251177891207E-2</v>
      </c>
      <c r="Y108" s="488">
        <f t="shared" ca="1" si="7"/>
        <v>0</v>
      </c>
      <c r="Z108" s="484">
        <f ca="1">IF('CDO Bespoke'!O109&lt;&gt;"",'CDO Bespoke'!O109,"")</f>
        <v>9.7065251177891207E-2</v>
      </c>
      <c r="AA108" s="640">
        <f ca="1">IF(Z108&lt;&gt;"",ABS(MIN(-0.6*'CDO Bespoke'!K109+'CDO Bespoke'!T109*'CDO Bespoke'!K109,0)),"")</f>
        <v>9.2681599237693785E-2</v>
      </c>
      <c r="AB108" s="640">
        <f t="shared" ca="1" si="8"/>
        <v>4.3836519401974222E-3</v>
      </c>
      <c r="AC108" s="488">
        <f t="shared" ca="1" si="9"/>
        <v>0</v>
      </c>
      <c r="AD108" s="272"/>
      <c r="AE108" s="493" t="str">
        <f ca="1">IF('CDO Bespoke'!C133&lt;&gt;"",'CDO Bespoke'!C133,"")</f>
        <v>WPP 2005 LIMITED</v>
      </c>
      <c r="AF108" s="495">
        <f ca="1"/>
        <v>-9.9340576986683971E-4</v>
      </c>
      <c r="AG108" s="583">
        <f ca="1"/>
        <v>-2.3181296199270562E-3</v>
      </c>
      <c r="AH108" s="583">
        <f ca="1"/>
        <v>-5.0885182700799447E-3</v>
      </c>
      <c r="AI108" s="583">
        <f ca="1"/>
        <v>0.81641329383985717</v>
      </c>
      <c r="AJ108" s="496">
        <f ca="1"/>
        <v>0</v>
      </c>
      <c r="AK108" s="618">
        <f ca="1"/>
        <v>0</v>
      </c>
      <c r="AL108" s="495">
        <f ca="1"/>
        <v>2.4165781689969301E-4</v>
      </c>
      <c r="AM108" s="583">
        <f ca="1"/>
        <v>1.2045579396002121E-3</v>
      </c>
      <c r="AN108" s="583">
        <f ca="1"/>
        <v>4.8991483196994534E-3</v>
      </c>
      <c r="AO108" s="583">
        <f ca="1"/>
        <v>0.75400528482200047</v>
      </c>
      <c r="AP108" s="496">
        <f ca="1"/>
        <v>0</v>
      </c>
      <c r="AQ108" s="618">
        <f ca="1"/>
        <v>0</v>
      </c>
      <c r="AR108" s="495">
        <f ca="1"/>
        <v>-6.5940286230018463E-3</v>
      </c>
      <c r="AS108" s="496">
        <f ca="1"/>
        <v>-3.683455901430116E-2</v>
      </c>
      <c r="AT108" s="618">
        <f ca="1"/>
        <v>0</v>
      </c>
      <c r="AU108" s="495">
        <f ca="1"/>
        <v>-0.10914498944387661</v>
      </c>
      <c r="AV108" s="496">
        <f ca="1"/>
        <v>9.3241833425011071E-3</v>
      </c>
      <c r="AW108" s="618">
        <f ca="1"/>
        <v>0</v>
      </c>
    </row>
    <row r="109" spans="2:49">
      <c r="B109" s="538" t="s">
        <v>538</v>
      </c>
      <c r="C109" s="539" t="s">
        <v>66</v>
      </c>
      <c r="D109" s="539" t="s">
        <v>55</v>
      </c>
      <c r="E109" s="539" t="s">
        <v>647</v>
      </c>
      <c r="F109" s="539" t="s">
        <v>646</v>
      </c>
      <c r="G109" s="540">
        <v>0.01</v>
      </c>
      <c r="H109" s="540">
        <v>2.9680000000000002E-3</v>
      </c>
      <c r="I109" s="541">
        <v>0.4</v>
      </c>
      <c r="J109" s="600">
        <v>4</v>
      </c>
      <c r="K109" s="542">
        <v>29</v>
      </c>
      <c r="L109" s="272"/>
      <c r="M109" s="272"/>
      <c r="P109" s="273"/>
      <c r="Q109" s="273"/>
      <c r="R109" s="273"/>
      <c r="S109" s="273"/>
      <c r="T109" s="575">
        <f ca="1"/>
        <v>0.15</v>
      </c>
      <c r="U109" s="572">
        <f ca="1"/>
        <v>101</v>
      </c>
      <c r="V109" s="484" t="str">
        <f ca="1">IF('CDO Bespoke'!O110&lt;&gt;"",'CDO Bespoke'!O110,"")</f>
        <v/>
      </c>
      <c r="W109" s="640" t="str">
        <f t="shared" ca="1" si="6"/>
        <v/>
      </c>
      <c r="X109" s="640" t="str">
        <f ca="1">IF(V109&lt;&gt;"",IF($W$8,MAX(V109-W109,0),V109),"")</f>
        <v/>
      </c>
      <c r="Y109" s="488" t="str">
        <f t="shared" ca="1" si="7"/>
        <v/>
      </c>
      <c r="Z109" s="484" t="str">
        <f ca="1">IF('CDO Bespoke'!O110&lt;&gt;"",'CDO Bespoke'!O110,"")</f>
        <v/>
      </c>
      <c r="AA109" s="640" t="str">
        <f ca="1">IF(Z109&lt;&gt;"",ABS(MIN(-0.6*'CDO Bespoke'!K110+'CDO Bespoke'!T110*'CDO Bespoke'!K110,0)),"")</f>
        <v/>
      </c>
      <c r="AB109" s="640" t="str">
        <f t="shared" ca="1" si="8"/>
        <v/>
      </c>
      <c r="AC109" s="488" t="str">
        <f t="shared" ca="1" si="9"/>
        <v/>
      </c>
      <c r="AD109" s="272"/>
      <c r="AE109" s="493" t="str">
        <f ca="1">IF('CDO Bespoke'!C134&lt;&gt;"",'CDO Bespoke'!C134,"")</f>
        <v/>
      </c>
      <c r="AF109" s="495"/>
      <c r="AG109" s="583"/>
      <c r="AH109" s="583"/>
      <c r="AI109" s="583"/>
      <c r="AJ109" s="496"/>
      <c r="AK109" s="618"/>
      <c r="AL109" s="495"/>
      <c r="AM109" s="583"/>
      <c r="AN109" s="583"/>
      <c r="AO109" s="583"/>
      <c r="AP109" s="496"/>
      <c r="AQ109" s="618"/>
      <c r="AR109" s="495"/>
      <c r="AS109" s="496"/>
      <c r="AT109" s="618"/>
      <c r="AU109" s="495"/>
      <c r="AV109" s="496"/>
      <c r="AW109" s="618"/>
    </row>
    <row r="110" spans="2:49">
      <c r="B110" s="516" t="s">
        <v>538</v>
      </c>
      <c r="C110" s="517" t="s">
        <v>66</v>
      </c>
      <c r="D110" s="517" t="s">
        <v>57</v>
      </c>
      <c r="E110" s="517" t="s">
        <v>647</v>
      </c>
      <c r="F110" s="517" t="s">
        <v>646</v>
      </c>
      <c r="G110" s="524">
        <v>0.01</v>
      </c>
      <c r="H110" s="524">
        <v>4.8170000000000001E-3</v>
      </c>
      <c r="I110" s="526">
        <v>0.4</v>
      </c>
      <c r="J110" s="592">
        <v>4</v>
      </c>
      <c r="K110" s="518">
        <v>29</v>
      </c>
      <c r="L110" s="272"/>
      <c r="M110" s="272"/>
      <c r="P110" s="273"/>
      <c r="Q110" s="273"/>
      <c r="R110" s="273"/>
      <c r="S110" s="273"/>
      <c r="T110" s="575">
        <f ca="1"/>
        <v>0.15</v>
      </c>
      <c r="U110" s="572">
        <f ca="1"/>
        <v>102</v>
      </c>
      <c r="V110" s="484" t="str">
        <f ca="1">IF('CDO Bespoke'!O111&lt;&gt;"",'CDO Bespoke'!O111,"")</f>
        <v/>
      </c>
      <c r="W110" s="640" t="str">
        <f t="shared" ca="1" si="6"/>
        <v/>
      </c>
      <c r="X110" s="640" t="str">
        <f t="shared" ref="X110:X138" ca="1" si="10">IF(V110&lt;&gt;"",IF($W$8,MAX(V110-W110,0),V110),"")</f>
        <v/>
      </c>
      <c r="Y110" s="488" t="str">
        <f t="shared" ca="1" si="7"/>
        <v/>
      </c>
      <c r="Z110" s="484" t="str">
        <f ca="1">IF('CDO Bespoke'!O111&lt;&gt;"",'CDO Bespoke'!O111,"")</f>
        <v/>
      </c>
      <c r="AA110" s="640" t="str">
        <f ca="1">IF(Z110&lt;&gt;"",ABS(MIN(-0.6*'CDO Bespoke'!K111+'CDO Bespoke'!T111*'CDO Bespoke'!K111,0)),"")</f>
        <v/>
      </c>
      <c r="AB110" s="640" t="str">
        <f t="shared" ca="1" si="8"/>
        <v/>
      </c>
      <c r="AC110" s="488" t="str">
        <f t="shared" ca="1" si="9"/>
        <v/>
      </c>
      <c r="AD110" s="272"/>
      <c r="AE110" s="493" t="str">
        <f ca="1">IF('CDO Bespoke'!C135&lt;&gt;"",'CDO Bespoke'!C135,"")</f>
        <v/>
      </c>
      <c r="AF110" s="495"/>
      <c r="AG110" s="583"/>
      <c r="AH110" s="583"/>
      <c r="AI110" s="583"/>
      <c r="AJ110" s="496"/>
      <c r="AK110" s="618"/>
      <c r="AL110" s="495"/>
      <c r="AM110" s="583"/>
      <c r="AN110" s="583"/>
      <c r="AO110" s="583"/>
      <c r="AP110" s="496"/>
      <c r="AQ110" s="618"/>
      <c r="AR110" s="627"/>
      <c r="AS110" s="628"/>
      <c r="AT110" s="618"/>
      <c r="AU110" s="627"/>
      <c r="AV110" s="628"/>
      <c r="AW110" s="618"/>
    </row>
    <row r="111" spans="2:49">
      <c r="B111" s="533" t="s">
        <v>538</v>
      </c>
      <c r="C111" s="534" t="s">
        <v>66</v>
      </c>
      <c r="D111" s="534" t="s">
        <v>59</v>
      </c>
      <c r="E111" s="534" t="s">
        <v>647</v>
      </c>
      <c r="F111" s="534" t="s">
        <v>646</v>
      </c>
      <c r="G111" s="535">
        <v>0.01</v>
      </c>
      <c r="H111" s="535">
        <v>7.1079999999999997E-3</v>
      </c>
      <c r="I111" s="536">
        <v>0.4</v>
      </c>
      <c r="J111" s="593">
        <v>4</v>
      </c>
      <c r="K111" s="537">
        <v>29</v>
      </c>
      <c r="L111" s="272"/>
      <c r="M111" s="272"/>
      <c r="P111" s="273"/>
      <c r="Q111" s="273"/>
      <c r="R111" s="273"/>
      <c r="S111" s="273"/>
      <c r="T111" s="575">
        <f ca="1"/>
        <v>0.15</v>
      </c>
      <c r="U111" s="572">
        <f ca="1"/>
        <v>103</v>
      </c>
      <c r="V111" s="484" t="str">
        <f ca="1">IF('CDO Bespoke'!O112&lt;&gt;"",'CDO Bespoke'!O112,"")</f>
        <v/>
      </c>
      <c r="W111" s="640" t="str">
        <f t="shared" ca="1" si="6"/>
        <v/>
      </c>
      <c r="X111" s="640" t="str">
        <f t="shared" ca="1" si="10"/>
        <v/>
      </c>
      <c r="Y111" s="488" t="str">
        <f t="shared" ca="1" si="7"/>
        <v/>
      </c>
      <c r="Z111" s="484" t="str">
        <f ca="1">IF('CDO Bespoke'!O112&lt;&gt;"",'CDO Bespoke'!O112,"")</f>
        <v/>
      </c>
      <c r="AA111" s="640" t="str">
        <f ca="1">IF(Z111&lt;&gt;"",ABS(MIN(-0.6*'CDO Bespoke'!K112+'CDO Bespoke'!T112*'CDO Bespoke'!K112,0)),"")</f>
        <v/>
      </c>
      <c r="AB111" s="640" t="str">
        <f t="shared" ca="1" si="8"/>
        <v/>
      </c>
      <c r="AC111" s="488" t="str">
        <f t="shared" ca="1" si="9"/>
        <v/>
      </c>
      <c r="AD111" s="272"/>
      <c r="AE111" s="493" t="str">
        <f ca="1">IF('CDO Bespoke'!C136&lt;&gt;"",'CDO Bespoke'!C136,"")</f>
        <v/>
      </c>
      <c r="AF111" s="495"/>
      <c r="AG111" s="583"/>
      <c r="AH111" s="583"/>
      <c r="AI111" s="583"/>
      <c r="AJ111" s="496"/>
      <c r="AK111" s="618"/>
      <c r="AL111" s="495"/>
      <c r="AM111" s="583"/>
      <c r="AN111" s="583"/>
      <c r="AO111" s="583"/>
      <c r="AP111" s="496"/>
      <c r="AQ111" s="618"/>
      <c r="AR111" s="505"/>
      <c r="AS111" s="629"/>
      <c r="AT111" s="618"/>
      <c r="AU111" s="505"/>
      <c r="AV111" s="581"/>
      <c r="AW111" s="618"/>
    </row>
    <row r="112" spans="2:49">
      <c r="B112" s="538" t="s">
        <v>539</v>
      </c>
      <c r="C112" s="539" t="s">
        <v>66</v>
      </c>
      <c r="D112" s="539" t="s">
        <v>55</v>
      </c>
      <c r="E112" s="539" t="s">
        <v>647</v>
      </c>
      <c r="F112" s="539" t="s">
        <v>670</v>
      </c>
      <c r="G112" s="540">
        <v>0.01</v>
      </c>
      <c r="H112" s="540">
        <v>5.1580000000000003E-3</v>
      </c>
      <c r="I112" s="541">
        <v>0.4</v>
      </c>
      <c r="J112" s="600">
        <v>4</v>
      </c>
      <c r="K112" s="542">
        <v>30</v>
      </c>
      <c r="L112" s="272"/>
      <c r="M112" s="272"/>
      <c r="P112" s="273"/>
      <c r="Q112" s="273"/>
      <c r="R112" s="273"/>
      <c r="S112" s="273"/>
      <c r="T112" s="575">
        <f ca="1"/>
        <v>0.15</v>
      </c>
      <c r="U112" s="572">
        <f ca="1"/>
        <v>104</v>
      </c>
      <c r="V112" s="484" t="str">
        <f ca="1">IF('CDO Bespoke'!O113&lt;&gt;"",'CDO Bespoke'!O113,"")</f>
        <v/>
      </c>
      <c r="W112" s="640" t="str">
        <f t="shared" ca="1" si="6"/>
        <v/>
      </c>
      <c r="X112" s="640" t="str">
        <f t="shared" ca="1" si="10"/>
        <v/>
      </c>
      <c r="Y112" s="488" t="str">
        <f t="shared" ca="1" si="7"/>
        <v/>
      </c>
      <c r="Z112" s="484" t="str">
        <f ca="1">IF('CDO Bespoke'!O113&lt;&gt;"",'CDO Bespoke'!O113,"")</f>
        <v/>
      </c>
      <c r="AA112" s="640" t="str">
        <f ca="1">IF(Z112&lt;&gt;"",ABS(MIN(-0.6*'CDO Bespoke'!K113+'CDO Bespoke'!T113*'CDO Bespoke'!K113,0)),"")</f>
        <v/>
      </c>
      <c r="AB112" s="640" t="str">
        <f t="shared" ca="1" si="8"/>
        <v/>
      </c>
      <c r="AC112" s="488" t="str">
        <f t="shared" ca="1" si="9"/>
        <v/>
      </c>
      <c r="AD112" s="272"/>
      <c r="AE112" s="493" t="str">
        <f ca="1">IF('CDO Bespoke'!C137&lt;&gt;"",'CDO Bespoke'!C137,"")</f>
        <v/>
      </c>
      <c r="AF112" s="495"/>
      <c r="AG112" s="583"/>
      <c r="AH112" s="583"/>
      <c r="AI112" s="583"/>
      <c r="AJ112" s="496"/>
      <c r="AK112" s="618"/>
      <c r="AL112" s="495"/>
      <c r="AM112" s="583"/>
      <c r="AN112" s="583"/>
      <c r="AO112" s="583"/>
      <c r="AP112" s="496"/>
      <c r="AQ112" s="618"/>
      <c r="AR112" s="505"/>
      <c r="AS112" s="629"/>
      <c r="AT112" s="618"/>
      <c r="AU112" s="505"/>
      <c r="AV112" s="581"/>
      <c r="AW112" s="618"/>
    </row>
    <row r="113" spans="2:49">
      <c r="B113" s="516" t="s">
        <v>539</v>
      </c>
      <c r="C113" s="517" t="s">
        <v>66</v>
      </c>
      <c r="D113" s="517" t="s">
        <v>57</v>
      </c>
      <c r="E113" s="517" t="s">
        <v>647</v>
      </c>
      <c r="F113" s="517" t="s">
        <v>670</v>
      </c>
      <c r="G113" s="524">
        <v>0.01</v>
      </c>
      <c r="H113" s="524">
        <v>8.1840000000000003E-3</v>
      </c>
      <c r="I113" s="526">
        <v>0.4</v>
      </c>
      <c r="J113" s="592">
        <v>4</v>
      </c>
      <c r="K113" s="518">
        <v>30</v>
      </c>
      <c r="L113" s="272"/>
      <c r="M113" s="272"/>
      <c r="P113" s="273"/>
      <c r="Q113" s="273"/>
      <c r="R113" s="273"/>
      <c r="S113" s="273"/>
      <c r="T113" s="575">
        <f ca="1"/>
        <v>0.15</v>
      </c>
      <c r="U113" s="572">
        <f ca="1"/>
        <v>105</v>
      </c>
      <c r="V113" s="484" t="str">
        <f ca="1">IF('CDO Bespoke'!O114&lt;&gt;"",'CDO Bespoke'!O114,"")</f>
        <v/>
      </c>
      <c r="W113" s="640" t="str">
        <f t="shared" ca="1" si="6"/>
        <v/>
      </c>
      <c r="X113" s="640" t="str">
        <f t="shared" ca="1" si="10"/>
        <v/>
      </c>
      <c r="Y113" s="488" t="str">
        <f t="shared" ca="1" si="7"/>
        <v/>
      </c>
      <c r="Z113" s="484" t="str">
        <f ca="1">IF('CDO Bespoke'!O114&lt;&gt;"",'CDO Bespoke'!O114,"")</f>
        <v/>
      </c>
      <c r="AA113" s="640" t="str">
        <f ca="1">IF(Z113&lt;&gt;"",ABS(MIN(-0.6*'CDO Bespoke'!K114+'CDO Bespoke'!T114*'CDO Bespoke'!K114,0)),"")</f>
        <v/>
      </c>
      <c r="AB113" s="640" t="str">
        <f t="shared" ca="1" si="8"/>
        <v/>
      </c>
      <c r="AC113" s="488" t="str">
        <f t="shared" ca="1" si="9"/>
        <v/>
      </c>
      <c r="AD113" s="272"/>
      <c r="AE113" s="493" t="str">
        <f ca="1">IF('CDO Bespoke'!C138&lt;&gt;"",'CDO Bespoke'!C138,"")</f>
        <v/>
      </c>
      <c r="AF113" s="495"/>
      <c r="AG113" s="583"/>
      <c r="AH113" s="583"/>
      <c r="AI113" s="583"/>
      <c r="AJ113" s="496"/>
      <c r="AK113" s="618"/>
      <c r="AL113" s="495"/>
      <c r="AM113" s="583"/>
      <c r="AN113" s="583"/>
      <c r="AO113" s="583"/>
      <c r="AP113" s="496"/>
      <c r="AQ113" s="618"/>
      <c r="AR113" s="505"/>
      <c r="AS113" s="629"/>
      <c r="AT113" s="618"/>
      <c r="AU113" s="505"/>
      <c r="AV113" s="581"/>
      <c r="AW113" s="618"/>
    </row>
    <row r="114" spans="2:49">
      <c r="B114" s="533" t="s">
        <v>539</v>
      </c>
      <c r="C114" s="534" t="s">
        <v>66</v>
      </c>
      <c r="D114" s="534" t="s">
        <v>59</v>
      </c>
      <c r="E114" s="534" t="s">
        <v>647</v>
      </c>
      <c r="F114" s="534" t="s">
        <v>670</v>
      </c>
      <c r="G114" s="535">
        <v>0.01</v>
      </c>
      <c r="H114" s="535">
        <v>1.0449999999999999E-2</v>
      </c>
      <c r="I114" s="536">
        <v>0.4</v>
      </c>
      <c r="J114" s="593">
        <v>4</v>
      </c>
      <c r="K114" s="537">
        <v>30</v>
      </c>
      <c r="L114" s="272"/>
      <c r="M114" s="272"/>
      <c r="P114" s="273"/>
      <c r="Q114" s="273"/>
      <c r="R114" s="273"/>
      <c r="S114" s="273"/>
      <c r="T114" s="575">
        <f ca="1"/>
        <v>0.15</v>
      </c>
      <c r="U114" s="572">
        <f ca="1"/>
        <v>106</v>
      </c>
      <c r="V114" s="484" t="str">
        <f ca="1">IF('CDO Bespoke'!O115&lt;&gt;"",'CDO Bespoke'!O115,"")</f>
        <v/>
      </c>
      <c r="W114" s="640" t="str">
        <f t="shared" ca="1" si="6"/>
        <v/>
      </c>
      <c r="X114" s="640" t="str">
        <f t="shared" ca="1" si="10"/>
        <v/>
      </c>
      <c r="Y114" s="488" t="str">
        <f t="shared" ca="1" si="7"/>
        <v/>
      </c>
      <c r="Z114" s="484" t="str">
        <f ca="1">IF('CDO Bespoke'!O115&lt;&gt;"",'CDO Bespoke'!O115,"")</f>
        <v/>
      </c>
      <c r="AA114" s="640" t="str">
        <f ca="1">IF(Z114&lt;&gt;"",ABS(MIN(-0.6*'CDO Bespoke'!K115+'CDO Bespoke'!T115*'CDO Bespoke'!K115,0)),"")</f>
        <v/>
      </c>
      <c r="AB114" s="640" t="str">
        <f t="shared" ca="1" si="8"/>
        <v/>
      </c>
      <c r="AC114" s="488" t="str">
        <f t="shared" ca="1" si="9"/>
        <v/>
      </c>
      <c r="AD114" s="272"/>
      <c r="AE114" s="493" t="str">
        <f ca="1">IF('CDO Bespoke'!C139&lt;&gt;"",'CDO Bespoke'!C139,"")</f>
        <v/>
      </c>
      <c r="AF114" s="495"/>
      <c r="AG114" s="583"/>
      <c r="AH114" s="583"/>
      <c r="AI114" s="583"/>
      <c r="AJ114" s="496"/>
      <c r="AK114" s="618"/>
      <c r="AL114" s="495"/>
      <c r="AM114" s="583"/>
      <c r="AN114" s="583"/>
      <c r="AO114" s="583"/>
      <c r="AP114" s="496"/>
      <c r="AQ114" s="618"/>
      <c r="AR114" s="505"/>
      <c r="AS114" s="629"/>
      <c r="AT114" s="618"/>
      <c r="AU114" s="505"/>
      <c r="AV114" s="581"/>
      <c r="AW114" s="618"/>
    </row>
    <row r="115" spans="2:49">
      <c r="B115" s="538" t="s">
        <v>540</v>
      </c>
      <c r="C115" s="539" t="s">
        <v>66</v>
      </c>
      <c r="D115" s="539" t="s">
        <v>55</v>
      </c>
      <c r="E115" s="539" t="s">
        <v>647</v>
      </c>
      <c r="F115" s="539" t="s">
        <v>668</v>
      </c>
      <c r="G115" s="540">
        <v>0.01</v>
      </c>
      <c r="H115" s="540">
        <v>5.8869999999999999E-3</v>
      </c>
      <c r="I115" s="541">
        <v>0.4</v>
      </c>
      <c r="J115" s="600">
        <v>5</v>
      </c>
      <c r="K115" s="542">
        <v>31</v>
      </c>
      <c r="L115" s="272"/>
      <c r="M115" s="272"/>
      <c r="P115" s="273"/>
      <c r="Q115" s="273"/>
      <c r="R115" s="273"/>
      <c r="S115" s="273"/>
      <c r="T115" s="575">
        <f ca="1"/>
        <v>0.15</v>
      </c>
      <c r="U115" s="572">
        <f ca="1"/>
        <v>107</v>
      </c>
      <c r="V115" s="484" t="str">
        <f ca="1">IF('CDO Bespoke'!O116&lt;&gt;"",'CDO Bespoke'!O116,"")</f>
        <v/>
      </c>
      <c r="W115" s="640" t="str">
        <f t="shared" ca="1" si="6"/>
        <v/>
      </c>
      <c r="X115" s="640" t="str">
        <f t="shared" ca="1" si="10"/>
        <v/>
      </c>
      <c r="Y115" s="488" t="str">
        <f t="shared" ca="1" si="7"/>
        <v/>
      </c>
      <c r="Z115" s="484" t="str">
        <f ca="1">IF('CDO Bespoke'!O116&lt;&gt;"",'CDO Bespoke'!O116,"")</f>
        <v/>
      </c>
      <c r="AA115" s="640" t="str">
        <f ca="1">IF(Z115&lt;&gt;"",ABS(MIN(-0.6*'CDO Bespoke'!K116+'CDO Bespoke'!T116*'CDO Bespoke'!K116,0)),"")</f>
        <v/>
      </c>
      <c r="AB115" s="640" t="str">
        <f t="shared" ca="1" si="8"/>
        <v/>
      </c>
      <c r="AC115" s="488" t="str">
        <f t="shared" ca="1" si="9"/>
        <v/>
      </c>
      <c r="AD115" s="272"/>
      <c r="AE115" s="493" t="str">
        <f ca="1">IF('CDO Bespoke'!C140&lt;&gt;"",'CDO Bespoke'!C140,"")</f>
        <v/>
      </c>
      <c r="AF115" s="495"/>
      <c r="AG115" s="583"/>
      <c r="AH115" s="583"/>
      <c r="AI115" s="583"/>
      <c r="AJ115" s="496"/>
      <c r="AK115" s="618"/>
      <c r="AL115" s="495"/>
      <c r="AM115" s="583"/>
      <c r="AN115" s="583"/>
      <c r="AO115" s="583"/>
      <c r="AP115" s="496"/>
      <c r="AQ115" s="618"/>
      <c r="AR115" s="505"/>
      <c r="AS115" s="629"/>
      <c r="AT115" s="618"/>
      <c r="AU115" s="505"/>
      <c r="AV115" s="581"/>
      <c r="AW115" s="618"/>
    </row>
    <row r="116" spans="2:49">
      <c r="B116" s="516" t="s">
        <v>540</v>
      </c>
      <c r="C116" s="517" t="s">
        <v>66</v>
      </c>
      <c r="D116" s="517" t="s">
        <v>57</v>
      </c>
      <c r="E116" s="517" t="s">
        <v>647</v>
      </c>
      <c r="F116" s="517" t="s">
        <v>668</v>
      </c>
      <c r="G116" s="524">
        <v>0.01</v>
      </c>
      <c r="H116" s="524">
        <v>1.0245000000000001E-2</v>
      </c>
      <c r="I116" s="526">
        <v>0.4</v>
      </c>
      <c r="J116" s="592">
        <v>5</v>
      </c>
      <c r="K116" s="518">
        <v>31</v>
      </c>
      <c r="L116" s="272"/>
      <c r="M116" s="272"/>
      <c r="P116" s="273"/>
      <c r="Q116" s="273"/>
      <c r="R116" s="273"/>
      <c r="S116" s="273"/>
      <c r="T116" s="575">
        <f ca="1"/>
        <v>0.15</v>
      </c>
      <c r="U116" s="572">
        <f ca="1"/>
        <v>108</v>
      </c>
      <c r="V116" s="484" t="str">
        <f ca="1">IF('CDO Bespoke'!O117&lt;&gt;"",'CDO Bespoke'!O117,"")</f>
        <v/>
      </c>
      <c r="W116" s="640" t="str">
        <f t="shared" ca="1" si="6"/>
        <v/>
      </c>
      <c r="X116" s="640" t="str">
        <f t="shared" ca="1" si="10"/>
        <v/>
      </c>
      <c r="Y116" s="488" t="str">
        <f t="shared" ca="1" si="7"/>
        <v/>
      </c>
      <c r="Z116" s="484" t="str">
        <f ca="1">IF('CDO Bespoke'!O117&lt;&gt;"",'CDO Bespoke'!O117,"")</f>
        <v/>
      </c>
      <c r="AA116" s="640" t="str">
        <f ca="1">IF(Z116&lt;&gt;"",ABS(MIN(-0.6*'CDO Bespoke'!K117+'CDO Bespoke'!T117*'CDO Bespoke'!K117,0)),"")</f>
        <v/>
      </c>
      <c r="AB116" s="640" t="str">
        <f t="shared" ca="1" si="8"/>
        <v/>
      </c>
      <c r="AC116" s="488" t="str">
        <f t="shared" ca="1" si="9"/>
        <v/>
      </c>
      <c r="AD116" s="272"/>
      <c r="AE116" s="493" t="str">
        <f ca="1">IF('CDO Bespoke'!C141&lt;&gt;"",'CDO Bespoke'!C141,"")</f>
        <v/>
      </c>
      <c r="AF116" s="495"/>
      <c r="AG116" s="583"/>
      <c r="AH116" s="583"/>
      <c r="AI116" s="583"/>
      <c r="AJ116" s="496"/>
      <c r="AK116" s="618"/>
      <c r="AL116" s="495"/>
      <c r="AM116" s="583"/>
      <c r="AN116" s="583"/>
      <c r="AO116" s="583"/>
      <c r="AP116" s="496"/>
      <c r="AQ116" s="618"/>
      <c r="AR116" s="505"/>
      <c r="AS116" s="629"/>
      <c r="AT116" s="618"/>
      <c r="AU116" s="505"/>
      <c r="AV116" s="581"/>
      <c r="AW116" s="618"/>
    </row>
    <row r="117" spans="2:49">
      <c r="B117" s="533" t="s">
        <v>540</v>
      </c>
      <c r="C117" s="534" t="s">
        <v>66</v>
      </c>
      <c r="D117" s="534" t="s">
        <v>59</v>
      </c>
      <c r="E117" s="534" t="s">
        <v>647</v>
      </c>
      <c r="F117" s="534" t="s">
        <v>668</v>
      </c>
      <c r="G117" s="535">
        <v>0.01</v>
      </c>
      <c r="H117" s="535">
        <v>1.4839E-2</v>
      </c>
      <c r="I117" s="536">
        <v>0.4</v>
      </c>
      <c r="J117" s="593">
        <v>5</v>
      </c>
      <c r="K117" s="537">
        <v>31</v>
      </c>
      <c r="L117" s="272"/>
      <c r="M117" s="272"/>
      <c r="P117" s="273"/>
      <c r="Q117" s="273"/>
      <c r="R117" s="273"/>
      <c r="S117" s="273"/>
      <c r="T117" s="575">
        <f ca="1"/>
        <v>0.15</v>
      </c>
      <c r="U117" s="572">
        <f ca="1"/>
        <v>109</v>
      </c>
      <c r="V117" s="484" t="str">
        <f ca="1">IF('CDO Bespoke'!O118&lt;&gt;"",'CDO Bespoke'!O118,"")</f>
        <v/>
      </c>
      <c r="W117" s="640" t="str">
        <f t="shared" ca="1" si="6"/>
        <v/>
      </c>
      <c r="X117" s="640" t="str">
        <f t="shared" ca="1" si="10"/>
        <v/>
      </c>
      <c r="Y117" s="488" t="str">
        <f t="shared" ca="1" si="7"/>
        <v/>
      </c>
      <c r="Z117" s="484" t="str">
        <f ca="1">IF('CDO Bespoke'!O118&lt;&gt;"",'CDO Bespoke'!O118,"")</f>
        <v/>
      </c>
      <c r="AA117" s="640" t="str">
        <f ca="1">IF(Z117&lt;&gt;"",ABS(MIN(-0.6*'CDO Bespoke'!K118+'CDO Bespoke'!T118*'CDO Bespoke'!K118,0)),"")</f>
        <v/>
      </c>
      <c r="AB117" s="640" t="str">
        <f t="shared" ca="1" si="8"/>
        <v/>
      </c>
      <c r="AC117" s="488" t="str">
        <f t="shared" ca="1" si="9"/>
        <v/>
      </c>
      <c r="AD117" s="272"/>
      <c r="AE117" s="493" t="str">
        <f ca="1">IF('CDO Bespoke'!C142&lt;&gt;"",'CDO Bespoke'!C142,"")</f>
        <v/>
      </c>
      <c r="AF117" s="495"/>
      <c r="AG117" s="583"/>
      <c r="AH117" s="583"/>
      <c r="AI117" s="583"/>
      <c r="AJ117" s="496"/>
      <c r="AK117" s="618"/>
      <c r="AL117" s="495"/>
      <c r="AM117" s="583"/>
      <c r="AN117" s="583"/>
      <c r="AO117" s="583"/>
      <c r="AP117" s="496"/>
      <c r="AQ117" s="618"/>
      <c r="AR117" s="505"/>
      <c r="AS117" s="629"/>
      <c r="AT117" s="618"/>
      <c r="AU117" s="505"/>
      <c r="AV117" s="581"/>
      <c r="AW117" s="618"/>
    </row>
    <row r="118" spans="2:49">
      <c r="B118" s="538" t="s">
        <v>525</v>
      </c>
      <c r="C118" s="539" t="s">
        <v>66</v>
      </c>
      <c r="D118" s="539" t="s">
        <v>55</v>
      </c>
      <c r="E118" s="539" t="s">
        <v>647</v>
      </c>
      <c r="F118" s="539" t="s">
        <v>670</v>
      </c>
      <c r="G118" s="540">
        <v>0.01</v>
      </c>
      <c r="H118" s="540">
        <v>4.9649999999999998E-3</v>
      </c>
      <c r="I118" s="541">
        <v>0.4</v>
      </c>
      <c r="J118" s="600">
        <v>4</v>
      </c>
      <c r="K118" s="542">
        <v>32</v>
      </c>
      <c r="L118" s="272"/>
      <c r="M118" s="272"/>
      <c r="P118" s="273"/>
      <c r="Q118" s="273"/>
      <c r="R118" s="273"/>
      <c r="S118" s="273"/>
      <c r="T118" s="575">
        <f ca="1"/>
        <v>0.15</v>
      </c>
      <c r="U118" s="572">
        <f ca="1"/>
        <v>110</v>
      </c>
      <c r="V118" s="484" t="str">
        <f ca="1">IF('CDO Bespoke'!O119&lt;&gt;"",'CDO Bespoke'!O119,"")</f>
        <v/>
      </c>
      <c r="W118" s="640" t="str">
        <f t="shared" ca="1" si="6"/>
        <v/>
      </c>
      <c r="X118" s="640" t="str">
        <f t="shared" ca="1" si="10"/>
        <v/>
      </c>
      <c r="Y118" s="488" t="str">
        <f t="shared" ca="1" si="7"/>
        <v/>
      </c>
      <c r="Z118" s="484" t="str">
        <f ca="1">IF('CDO Bespoke'!O119&lt;&gt;"",'CDO Bespoke'!O119,"")</f>
        <v/>
      </c>
      <c r="AA118" s="640" t="str">
        <f ca="1">IF(Z118&lt;&gt;"",ABS(MIN(-0.6*'CDO Bespoke'!K119+'CDO Bespoke'!T119*'CDO Bespoke'!K119,0)),"")</f>
        <v/>
      </c>
      <c r="AB118" s="640" t="str">
        <f t="shared" ca="1" si="8"/>
        <v/>
      </c>
      <c r="AC118" s="488" t="str">
        <f t="shared" ca="1" si="9"/>
        <v/>
      </c>
      <c r="AD118" s="272"/>
      <c r="AE118" s="493" t="str">
        <f ca="1">IF('CDO Bespoke'!C143&lt;&gt;"",'CDO Bespoke'!C143,"")</f>
        <v/>
      </c>
      <c r="AF118" s="495"/>
      <c r="AG118" s="583"/>
      <c r="AH118" s="583"/>
      <c r="AI118" s="583"/>
      <c r="AJ118" s="496"/>
      <c r="AK118" s="618"/>
      <c r="AL118" s="495"/>
      <c r="AM118" s="583"/>
      <c r="AN118" s="583"/>
      <c r="AO118" s="583"/>
      <c r="AP118" s="496"/>
      <c r="AQ118" s="618"/>
      <c r="AR118" s="505"/>
      <c r="AS118" s="629"/>
      <c r="AT118" s="618"/>
      <c r="AU118" s="505"/>
      <c r="AV118" s="581"/>
      <c r="AW118" s="618"/>
    </row>
    <row r="119" spans="2:49">
      <c r="B119" s="516" t="s">
        <v>525</v>
      </c>
      <c r="C119" s="517" t="s">
        <v>66</v>
      </c>
      <c r="D119" s="517" t="s">
        <v>57</v>
      </c>
      <c r="E119" s="517" t="s">
        <v>647</v>
      </c>
      <c r="F119" s="517" t="s">
        <v>670</v>
      </c>
      <c r="G119" s="524">
        <v>0.01</v>
      </c>
      <c r="H119" s="524">
        <v>8.1279999999999998E-3</v>
      </c>
      <c r="I119" s="526">
        <v>0.4</v>
      </c>
      <c r="J119" s="592">
        <v>4</v>
      </c>
      <c r="K119" s="518">
        <v>32</v>
      </c>
      <c r="L119" s="272"/>
      <c r="M119" s="272"/>
      <c r="P119" s="273"/>
      <c r="Q119" s="273"/>
      <c r="R119" s="273"/>
      <c r="S119" s="273"/>
      <c r="T119" s="575">
        <f ca="1"/>
        <v>0.15</v>
      </c>
      <c r="U119" s="572">
        <f ca="1"/>
        <v>111</v>
      </c>
      <c r="V119" s="484" t="str">
        <f ca="1">IF('CDO Bespoke'!O120&lt;&gt;"",'CDO Bespoke'!O120,"")</f>
        <v/>
      </c>
      <c r="W119" s="640" t="str">
        <f t="shared" ca="1" si="6"/>
        <v/>
      </c>
      <c r="X119" s="640" t="str">
        <f t="shared" ca="1" si="10"/>
        <v/>
      </c>
      <c r="Y119" s="488" t="str">
        <f t="shared" ca="1" si="7"/>
        <v/>
      </c>
      <c r="Z119" s="484" t="str">
        <f ca="1">IF('CDO Bespoke'!O120&lt;&gt;"",'CDO Bespoke'!O120,"")</f>
        <v/>
      </c>
      <c r="AA119" s="640" t="str">
        <f ca="1">IF(Z119&lt;&gt;"",ABS(MIN(-0.6*'CDO Bespoke'!K120+'CDO Bespoke'!T120*'CDO Bespoke'!K120,0)),"")</f>
        <v/>
      </c>
      <c r="AB119" s="640" t="str">
        <f t="shared" ca="1" si="8"/>
        <v/>
      </c>
      <c r="AC119" s="488" t="str">
        <f t="shared" ca="1" si="9"/>
        <v/>
      </c>
      <c r="AD119" s="272"/>
      <c r="AE119" s="493" t="str">
        <f ca="1">IF('CDO Bespoke'!C144&lt;&gt;"",'CDO Bespoke'!C144,"")</f>
        <v/>
      </c>
      <c r="AF119" s="495"/>
      <c r="AG119" s="583"/>
      <c r="AH119" s="583"/>
      <c r="AI119" s="583"/>
      <c r="AJ119" s="496"/>
      <c r="AK119" s="618"/>
      <c r="AL119" s="495"/>
      <c r="AM119" s="583"/>
      <c r="AN119" s="583"/>
      <c r="AO119" s="583"/>
      <c r="AP119" s="496"/>
      <c r="AQ119" s="618"/>
      <c r="AR119" s="505"/>
      <c r="AS119" s="629"/>
      <c r="AT119" s="618"/>
      <c r="AU119" s="505"/>
      <c r="AV119" s="581"/>
      <c r="AW119" s="618"/>
    </row>
    <row r="120" spans="2:49">
      <c r="B120" s="533" t="s">
        <v>525</v>
      </c>
      <c r="C120" s="534" t="s">
        <v>66</v>
      </c>
      <c r="D120" s="534" t="s">
        <v>59</v>
      </c>
      <c r="E120" s="534" t="s">
        <v>647</v>
      </c>
      <c r="F120" s="534" t="s">
        <v>670</v>
      </c>
      <c r="G120" s="535">
        <v>0.01</v>
      </c>
      <c r="H120" s="535">
        <v>1.1227000000000001E-2</v>
      </c>
      <c r="I120" s="536">
        <v>0.4</v>
      </c>
      <c r="J120" s="593">
        <v>4</v>
      </c>
      <c r="K120" s="537">
        <v>32</v>
      </c>
      <c r="L120" s="272"/>
      <c r="M120" s="272"/>
      <c r="P120" s="273"/>
      <c r="Q120" s="273"/>
      <c r="R120" s="273"/>
      <c r="S120" s="273"/>
      <c r="T120" s="575">
        <f ca="1"/>
        <v>0.15</v>
      </c>
      <c r="U120" s="572">
        <f ca="1"/>
        <v>112</v>
      </c>
      <c r="V120" s="484" t="str">
        <f ca="1">IF('CDO Bespoke'!O121&lt;&gt;"",'CDO Bespoke'!O121,"")</f>
        <v/>
      </c>
      <c r="W120" s="640" t="str">
        <f t="shared" ca="1" si="6"/>
        <v/>
      </c>
      <c r="X120" s="640" t="str">
        <f t="shared" ca="1" si="10"/>
        <v/>
      </c>
      <c r="Y120" s="488" t="str">
        <f t="shared" ca="1" si="7"/>
        <v/>
      </c>
      <c r="Z120" s="484" t="str">
        <f ca="1">IF('CDO Bespoke'!O121&lt;&gt;"",'CDO Bespoke'!O121,"")</f>
        <v/>
      </c>
      <c r="AA120" s="640" t="str">
        <f ca="1">IF(Z120&lt;&gt;"",ABS(MIN(-0.6*'CDO Bespoke'!K121+'CDO Bespoke'!T121*'CDO Bespoke'!K121,0)),"")</f>
        <v/>
      </c>
      <c r="AB120" s="640" t="str">
        <f t="shared" ca="1" si="8"/>
        <v/>
      </c>
      <c r="AC120" s="488" t="str">
        <f t="shared" ca="1" si="9"/>
        <v/>
      </c>
      <c r="AD120" s="272"/>
      <c r="AE120" s="493" t="str">
        <f ca="1">IF('CDO Bespoke'!C145&lt;&gt;"",'CDO Bespoke'!C145,"")</f>
        <v/>
      </c>
      <c r="AF120" s="495"/>
      <c r="AG120" s="583"/>
      <c r="AH120" s="583"/>
      <c r="AI120" s="583"/>
      <c r="AJ120" s="496"/>
      <c r="AK120" s="618"/>
      <c r="AL120" s="495"/>
      <c r="AM120" s="583"/>
      <c r="AN120" s="583"/>
      <c r="AO120" s="583"/>
      <c r="AP120" s="496"/>
      <c r="AQ120" s="618"/>
      <c r="AR120" s="505"/>
      <c r="AS120" s="629"/>
      <c r="AT120" s="618"/>
      <c r="AU120" s="505"/>
      <c r="AV120" s="581"/>
      <c r="AW120" s="618"/>
    </row>
    <row r="121" spans="2:49">
      <c r="B121" s="538" t="s">
        <v>526</v>
      </c>
      <c r="C121" s="539" t="s">
        <v>66</v>
      </c>
      <c r="D121" s="539" t="s">
        <v>55</v>
      </c>
      <c r="E121" s="539" t="s">
        <v>647</v>
      </c>
      <c r="F121" s="539" t="s">
        <v>671</v>
      </c>
      <c r="G121" s="540">
        <v>0.01</v>
      </c>
      <c r="H121" s="540">
        <v>6.7450000000000001E-3</v>
      </c>
      <c r="I121" s="541">
        <v>0.4</v>
      </c>
      <c r="J121" s="600">
        <v>3</v>
      </c>
      <c r="K121" s="542">
        <v>33</v>
      </c>
      <c r="L121" s="272"/>
      <c r="M121" s="272"/>
      <c r="P121" s="273"/>
      <c r="Q121" s="273"/>
      <c r="R121" s="273"/>
      <c r="S121" s="273"/>
      <c r="T121" s="575">
        <f ca="1"/>
        <v>0.15</v>
      </c>
      <c r="U121" s="572">
        <f ca="1"/>
        <v>113</v>
      </c>
      <c r="V121" s="484" t="str">
        <f ca="1">IF('CDO Bespoke'!O122&lt;&gt;"",'CDO Bespoke'!O122,"")</f>
        <v/>
      </c>
      <c r="W121" s="640" t="str">
        <f t="shared" ca="1" si="6"/>
        <v/>
      </c>
      <c r="X121" s="640" t="str">
        <f t="shared" ca="1" si="10"/>
        <v/>
      </c>
      <c r="Y121" s="488" t="str">
        <f t="shared" ca="1" si="7"/>
        <v/>
      </c>
      <c r="Z121" s="484" t="str">
        <f ca="1">IF('CDO Bespoke'!O122&lt;&gt;"",'CDO Bespoke'!O122,"")</f>
        <v/>
      </c>
      <c r="AA121" s="640" t="str">
        <f ca="1">IF(Z121&lt;&gt;"",ABS(MIN(-0.6*'CDO Bespoke'!K122+'CDO Bespoke'!T122*'CDO Bespoke'!K122,0)),"")</f>
        <v/>
      </c>
      <c r="AB121" s="640" t="str">
        <f t="shared" ca="1" si="8"/>
        <v/>
      </c>
      <c r="AC121" s="488" t="str">
        <f t="shared" ca="1" si="9"/>
        <v/>
      </c>
      <c r="AD121" s="272"/>
      <c r="AE121" s="493" t="str">
        <f ca="1">IF('CDO Bespoke'!C146&lt;&gt;"",'CDO Bespoke'!C146,"")</f>
        <v/>
      </c>
      <c r="AF121" s="495"/>
      <c r="AG121" s="583"/>
      <c r="AH121" s="583"/>
      <c r="AI121" s="583"/>
      <c r="AJ121" s="496"/>
      <c r="AK121" s="618"/>
      <c r="AL121" s="495"/>
      <c r="AM121" s="583"/>
      <c r="AN121" s="583"/>
      <c r="AO121" s="583"/>
      <c r="AP121" s="496"/>
      <c r="AQ121" s="618"/>
      <c r="AR121" s="505"/>
      <c r="AS121" s="629"/>
      <c r="AT121" s="618"/>
      <c r="AU121" s="505"/>
      <c r="AV121" s="581"/>
      <c r="AW121" s="618"/>
    </row>
    <row r="122" spans="2:49">
      <c r="B122" s="516" t="s">
        <v>526</v>
      </c>
      <c r="C122" s="517" t="s">
        <v>66</v>
      </c>
      <c r="D122" s="517" t="s">
        <v>57</v>
      </c>
      <c r="E122" s="517" t="s">
        <v>647</v>
      </c>
      <c r="F122" s="517" t="s">
        <v>671</v>
      </c>
      <c r="G122" s="524">
        <v>0.01</v>
      </c>
      <c r="H122" s="524">
        <v>1.1979999999999999E-2</v>
      </c>
      <c r="I122" s="526">
        <v>0.4</v>
      </c>
      <c r="J122" s="592">
        <v>3</v>
      </c>
      <c r="K122" s="518">
        <v>33</v>
      </c>
      <c r="L122" s="272"/>
      <c r="M122" s="272"/>
      <c r="P122" s="273"/>
      <c r="Q122" s="273"/>
      <c r="R122" s="273"/>
      <c r="S122" s="273"/>
      <c r="T122" s="575">
        <f ca="1"/>
        <v>0.15</v>
      </c>
      <c r="U122" s="572">
        <f ca="1"/>
        <v>114</v>
      </c>
      <c r="V122" s="484" t="str">
        <f ca="1">IF('CDO Bespoke'!O123&lt;&gt;"",'CDO Bespoke'!O123,"")</f>
        <v/>
      </c>
      <c r="W122" s="640" t="str">
        <f t="shared" ca="1" si="6"/>
        <v/>
      </c>
      <c r="X122" s="640" t="str">
        <f t="shared" ca="1" si="10"/>
        <v/>
      </c>
      <c r="Y122" s="488" t="str">
        <f t="shared" ca="1" si="7"/>
        <v/>
      </c>
      <c r="Z122" s="484" t="str">
        <f ca="1">IF('CDO Bespoke'!O123&lt;&gt;"",'CDO Bespoke'!O123,"")</f>
        <v/>
      </c>
      <c r="AA122" s="640" t="str">
        <f ca="1">IF(Z122&lt;&gt;"",ABS(MIN(-0.6*'CDO Bespoke'!K123+'CDO Bespoke'!T123*'CDO Bespoke'!K123,0)),"")</f>
        <v/>
      </c>
      <c r="AB122" s="640" t="str">
        <f t="shared" ca="1" si="8"/>
        <v/>
      </c>
      <c r="AC122" s="488" t="str">
        <f t="shared" ca="1" si="9"/>
        <v/>
      </c>
      <c r="AD122" s="272"/>
      <c r="AE122" s="493" t="str">
        <f ca="1">IF('CDO Bespoke'!C147&lt;&gt;"",'CDO Bespoke'!C147,"")</f>
        <v/>
      </c>
      <c r="AF122" s="495"/>
      <c r="AG122" s="583"/>
      <c r="AH122" s="583"/>
      <c r="AI122" s="583"/>
      <c r="AJ122" s="496"/>
      <c r="AK122" s="618"/>
      <c r="AL122" s="495"/>
      <c r="AM122" s="583"/>
      <c r="AN122" s="583"/>
      <c r="AO122" s="583"/>
      <c r="AP122" s="496"/>
      <c r="AQ122" s="618"/>
      <c r="AR122" s="505"/>
      <c r="AS122" s="629"/>
      <c r="AT122" s="618"/>
      <c r="AU122" s="505"/>
      <c r="AV122" s="581"/>
      <c r="AW122" s="618"/>
    </row>
    <row r="123" spans="2:49">
      <c r="B123" s="533" t="s">
        <v>526</v>
      </c>
      <c r="C123" s="534" t="s">
        <v>66</v>
      </c>
      <c r="D123" s="534" t="s">
        <v>59</v>
      </c>
      <c r="E123" s="534" t="s">
        <v>647</v>
      </c>
      <c r="F123" s="534" t="s">
        <v>671</v>
      </c>
      <c r="G123" s="535">
        <v>0.01</v>
      </c>
      <c r="H123" s="535">
        <v>1.6924999999999999E-2</v>
      </c>
      <c r="I123" s="536">
        <v>0.4</v>
      </c>
      <c r="J123" s="593">
        <v>3</v>
      </c>
      <c r="K123" s="537">
        <v>33</v>
      </c>
      <c r="L123" s="272"/>
      <c r="M123" s="272"/>
      <c r="P123" s="273"/>
      <c r="Q123" s="273"/>
      <c r="R123" s="273"/>
      <c r="S123" s="273"/>
      <c r="T123" s="575">
        <f ca="1"/>
        <v>0.15</v>
      </c>
      <c r="U123" s="572">
        <f ca="1"/>
        <v>115</v>
      </c>
      <c r="V123" s="484" t="str">
        <f ca="1">IF('CDO Bespoke'!O124&lt;&gt;"",'CDO Bespoke'!O124,"")</f>
        <v/>
      </c>
      <c r="W123" s="640" t="str">
        <f t="shared" ca="1" si="6"/>
        <v/>
      </c>
      <c r="X123" s="640" t="str">
        <f t="shared" ca="1" si="10"/>
        <v/>
      </c>
      <c r="Y123" s="488" t="str">
        <f t="shared" ca="1" si="7"/>
        <v/>
      </c>
      <c r="Z123" s="484" t="str">
        <f ca="1">IF('CDO Bespoke'!O124&lt;&gt;"",'CDO Bespoke'!O124,"")</f>
        <v/>
      </c>
      <c r="AA123" s="640" t="str">
        <f ca="1">IF(Z123&lt;&gt;"",ABS(MIN(-0.6*'CDO Bespoke'!K124+'CDO Bespoke'!T124*'CDO Bespoke'!K124,0)),"")</f>
        <v/>
      </c>
      <c r="AB123" s="640" t="str">
        <f t="shared" ca="1" si="8"/>
        <v/>
      </c>
      <c r="AC123" s="488" t="str">
        <f t="shared" ca="1" si="9"/>
        <v/>
      </c>
      <c r="AD123" s="272"/>
      <c r="AE123" s="493" t="str">
        <f ca="1">IF('CDO Bespoke'!C148&lt;&gt;"",'CDO Bespoke'!C148,"")</f>
        <v/>
      </c>
      <c r="AF123" s="495"/>
      <c r="AG123" s="583"/>
      <c r="AH123" s="583"/>
      <c r="AI123" s="583"/>
      <c r="AJ123" s="496"/>
      <c r="AK123" s="618"/>
      <c r="AL123" s="495"/>
      <c r="AM123" s="583"/>
      <c r="AN123" s="583"/>
      <c r="AO123" s="583"/>
      <c r="AP123" s="496"/>
      <c r="AQ123" s="618"/>
      <c r="AR123" s="505"/>
      <c r="AS123" s="629"/>
      <c r="AT123" s="618"/>
      <c r="AU123" s="505"/>
      <c r="AV123" s="581"/>
      <c r="AW123" s="618"/>
    </row>
    <row r="124" spans="2:49">
      <c r="B124" s="538" t="s">
        <v>527</v>
      </c>
      <c r="C124" s="539" t="s">
        <v>66</v>
      </c>
      <c r="D124" s="539" t="s">
        <v>55</v>
      </c>
      <c r="E124" s="539" t="s">
        <v>645</v>
      </c>
      <c r="F124" s="539" t="s">
        <v>646</v>
      </c>
      <c r="G124" s="540">
        <v>0.01</v>
      </c>
      <c r="H124" s="540">
        <v>1.9369999999999999E-3</v>
      </c>
      <c r="I124" s="541">
        <v>0.4</v>
      </c>
      <c r="J124" s="600">
        <v>4</v>
      </c>
      <c r="K124" s="542">
        <v>34</v>
      </c>
      <c r="L124" s="272"/>
      <c r="M124" s="272"/>
      <c r="P124" s="273"/>
      <c r="Q124" s="273"/>
      <c r="R124" s="273"/>
      <c r="S124" s="273"/>
      <c r="T124" s="575">
        <f ca="1"/>
        <v>0.15</v>
      </c>
      <c r="U124" s="572">
        <f ca="1"/>
        <v>116</v>
      </c>
      <c r="V124" s="484" t="str">
        <f ca="1">IF('CDO Bespoke'!O125&lt;&gt;"",'CDO Bespoke'!O125,"")</f>
        <v/>
      </c>
      <c r="W124" s="640" t="str">
        <f t="shared" ca="1" si="6"/>
        <v/>
      </c>
      <c r="X124" s="640" t="str">
        <f t="shared" ca="1" si="10"/>
        <v/>
      </c>
      <c r="Y124" s="488" t="str">
        <f t="shared" ca="1" si="7"/>
        <v/>
      </c>
      <c r="Z124" s="484" t="str">
        <f ca="1">IF('CDO Bespoke'!O125&lt;&gt;"",'CDO Bespoke'!O125,"")</f>
        <v/>
      </c>
      <c r="AA124" s="640" t="str">
        <f ca="1">IF(Z124&lt;&gt;"",ABS(MIN(-0.6*'CDO Bespoke'!K125+'CDO Bespoke'!T125*'CDO Bespoke'!K125,0)),"")</f>
        <v/>
      </c>
      <c r="AB124" s="640" t="str">
        <f t="shared" ca="1" si="8"/>
        <v/>
      </c>
      <c r="AC124" s="488" t="str">
        <f t="shared" ca="1" si="9"/>
        <v/>
      </c>
      <c r="AD124" s="272"/>
      <c r="AE124" s="493" t="str">
        <f ca="1">IF('CDO Bespoke'!C149&lt;&gt;"",'CDO Bespoke'!C149,"")</f>
        <v/>
      </c>
      <c r="AF124" s="495"/>
      <c r="AG124" s="583"/>
      <c r="AH124" s="583"/>
      <c r="AI124" s="583"/>
      <c r="AJ124" s="496"/>
      <c r="AK124" s="618"/>
      <c r="AL124" s="495"/>
      <c r="AM124" s="583"/>
      <c r="AN124" s="583"/>
      <c r="AO124" s="583"/>
      <c r="AP124" s="496"/>
      <c r="AQ124" s="618"/>
      <c r="AR124" s="505"/>
      <c r="AS124" s="629"/>
      <c r="AT124" s="618"/>
      <c r="AU124" s="505"/>
      <c r="AV124" s="581"/>
      <c r="AW124" s="618"/>
    </row>
    <row r="125" spans="2:49">
      <c r="B125" s="516" t="s">
        <v>527</v>
      </c>
      <c r="C125" s="517" t="s">
        <v>66</v>
      </c>
      <c r="D125" s="517" t="s">
        <v>57</v>
      </c>
      <c r="E125" s="517" t="s">
        <v>645</v>
      </c>
      <c r="F125" s="517" t="s">
        <v>646</v>
      </c>
      <c r="G125" s="524">
        <v>0.01</v>
      </c>
      <c r="H125" s="524">
        <v>3.101E-3</v>
      </c>
      <c r="I125" s="526">
        <v>0.4</v>
      </c>
      <c r="J125" s="592">
        <v>4</v>
      </c>
      <c r="K125" s="518">
        <v>34</v>
      </c>
      <c r="L125" s="272"/>
      <c r="M125" s="272"/>
      <c r="P125" s="273"/>
      <c r="Q125" s="273"/>
      <c r="R125" s="273"/>
      <c r="S125" s="273"/>
      <c r="T125" s="575">
        <f ca="1"/>
        <v>0.15</v>
      </c>
      <c r="U125" s="572">
        <f ca="1"/>
        <v>117</v>
      </c>
      <c r="V125" s="484" t="str">
        <f ca="1">IF('CDO Bespoke'!O126&lt;&gt;"",'CDO Bespoke'!O126,"")</f>
        <v/>
      </c>
      <c r="W125" s="640" t="str">
        <f t="shared" ca="1" si="6"/>
        <v/>
      </c>
      <c r="X125" s="640" t="str">
        <f t="shared" ca="1" si="10"/>
        <v/>
      </c>
      <c r="Y125" s="488" t="str">
        <f t="shared" ca="1" si="7"/>
        <v/>
      </c>
      <c r="Z125" s="484" t="str">
        <f ca="1">IF('CDO Bespoke'!O126&lt;&gt;"",'CDO Bespoke'!O126,"")</f>
        <v/>
      </c>
      <c r="AA125" s="640" t="str">
        <f ca="1">IF(Z125&lt;&gt;"",ABS(MIN(-0.6*'CDO Bespoke'!K126+'CDO Bespoke'!T126*'CDO Bespoke'!K126,0)),"")</f>
        <v/>
      </c>
      <c r="AB125" s="640" t="str">
        <f t="shared" ca="1" si="8"/>
        <v/>
      </c>
      <c r="AC125" s="488" t="str">
        <f t="shared" ca="1" si="9"/>
        <v/>
      </c>
      <c r="AD125" s="272"/>
      <c r="AE125" s="493" t="str">
        <f ca="1">IF('CDO Bespoke'!C150&lt;&gt;"",'CDO Bespoke'!C150,"")</f>
        <v/>
      </c>
      <c r="AF125" s="495"/>
      <c r="AG125" s="583"/>
      <c r="AH125" s="583"/>
      <c r="AI125" s="583"/>
      <c r="AJ125" s="496"/>
      <c r="AK125" s="618"/>
      <c r="AL125" s="495"/>
      <c r="AM125" s="583"/>
      <c r="AN125" s="583"/>
      <c r="AO125" s="583"/>
      <c r="AP125" s="496"/>
      <c r="AQ125" s="618"/>
      <c r="AR125" s="505"/>
      <c r="AS125" s="629"/>
      <c r="AT125" s="618"/>
      <c r="AU125" s="505"/>
      <c r="AV125" s="581"/>
      <c r="AW125" s="618"/>
    </row>
    <row r="126" spans="2:49">
      <c r="B126" s="533" t="s">
        <v>527</v>
      </c>
      <c r="C126" s="534" t="s">
        <v>66</v>
      </c>
      <c r="D126" s="534" t="s">
        <v>59</v>
      </c>
      <c r="E126" s="534" t="s">
        <v>645</v>
      </c>
      <c r="F126" s="534" t="s">
        <v>646</v>
      </c>
      <c r="G126" s="535">
        <v>0.01</v>
      </c>
      <c r="H126" s="535">
        <v>4.6010000000000001E-3</v>
      </c>
      <c r="I126" s="536">
        <v>0.4</v>
      </c>
      <c r="J126" s="593">
        <v>4</v>
      </c>
      <c r="K126" s="537">
        <v>34</v>
      </c>
      <c r="L126" s="272"/>
      <c r="M126" s="272"/>
      <c r="P126" s="273"/>
      <c r="Q126" s="273"/>
      <c r="R126" s="273"/>
      <c r="S126" s="273"/>
      <c r="T126" s="575">
        <f ca="1"/>
        <v>0.15</v>
      </c>
      <c r="U126" s="572">
        <f ca="1"/>
        <v>118</v>
      </c>
      <c r="V126" s="484" t="str">
        <f ca="1">IF('CDO Bespoke'!O127&lt;&gt;"",'CDO Bespoke'!O127,"")</f>
        <v/>
      </c>
      <c r="W126" s="640" t="str">
        <f t="shared" ca="1" si="6"/>
        <v/>
      </c>
      <c r="X126" s="640" t="str">
        <f t="shared" ca="1" si="10"/>
        <v/>
      </c>
      <c r="Y126" s="488" t="str">
        <f t="shared" ca="1" si="7"/>
        <v/>
      </c>
      <c r="Z126" s="484" t="str">
        <f ca="1">IF('CDO Bespoke'!O127&lt;&gt;"",'CDO Bespoke'!O127,"")</f>
        <v/>
      </c>
      <c r="AA126" s="640" t="str">
        <f ca="1">IF(Z126&lt;&gt;"",ABS(MIN(-0.6*'CDO Bespoke'!K127+'CDO Bespoke'!T127*'CDO Bespoke'!K127,0)),"")</f>
        <v/>
      </c>
      <c r="AB126" s="640" t="str">
        <f t="shared" ca="1" si="8"/>
        <v/>
      </c>
      <c r="AC126" s="488" t="str">
        <f t="shared" ca="1" si="9"/>
        <v/>
      </c>
      <c r="AD126" s="272"/>
      <c r="AE126" s="493" t="str">
        <f ca="1">IF('CDO Bespoke'!C151&lt;&gt;"",'CDO Bespoke'!C151,"")</f>
        <v/>
      </c>
      <c r="AF126" s="495"/>
      <c r="AG126" s="583"/>
      <c r="AH126" s="583"/>
      <c r="AI126" s="583"/>
      <c r="AJ126" s="496"/>
      <c r="AK126" s="618"/>
      <c r="AL126" s="495"/>
      <c r="AM126" s="583"/>
      <c r="AN126" s="583"/>
      <c r="AO126" s="583"/>
      <c r="AP126" s="496"/>
      <c r="AQ126" s="618"/>
      <c r="AR126" s="505"/>
      <c r="AS126" s="629"/>
      <c r="AT126" s="618"/>
      <c r="AU126" s="505"/>
      <c r="AV126" s="581"/>
      <c r="AW126" s="618"/>
    </row>
    <row r="127" spans="2:49">
      <c r="B127" s="538" t="s">
        <v>541</v>
      </c>
      <c r="C127" s="539" t="s">
        <v>66</v>
      </c>
      <c r="D127" s="539" t="s">
        <v>55</v>
      </c>
      <c r="E127" s="539" t="s">
        <v>645</v>
      </c>
      <c r="F127" s="539" t="s">
        <v>668</v>
      </c>
      <c r="G127" s="540">
        <v>0.01</v>
      </c>
      <c r="H127" s="540">
        <v>4.7990000000000003E-3</v>
      </c>
      <c r="I127" s="541">
        <v>0.4</v>
      </c>
      <c r="J127" s="600">
        <v>5</v>
      </c>
      <c r="K127" s="542">
        <v>35</v>
      </c>
      <c r="L127" s="272"/>
      <c r="M127" s="272"/>
      <c r="P127" s="273"/>
      <c r="Q127" s="273"/>
      <c r="R127" s="273"/>
      <c r="S127" s="273"/>
      <c r="T127" s="575">
        <f ca="1"/>
        <v>0.15</v>
      </c>
      <c r="U127" s="572">
        <f ca="1"/>
        <v>119</v>
      </c>
      <c r="V127" s="484" t="str">
        <f ca="1">IF('CDO Bespoke'!O128&lt;&gt;"",'CDO Bespoke'!O128,"")</f>
        <v/>
      </c>
      <c r="W127" s="640" t="str">
        <f t="shared" ca="1" si="6"/>
        <v/>
      </c>
      <c r="X127" s="640" t="str">
        <f t="shared" ca="1" si="10"/>
        <v/>
      </c>
      <c r="Y127" s="488" t="str">
        <f t="shared" ca="1" si="7"/>
        <v/>
      </c>
      <c r="Z127" s="484" t="str">
        <f ca="1">IF('CDO Bespoke'!O128&lt;&gt;"",'CDO Bespoke'!O128,"")</f>
        <v/>
      </c>
      <c r="AA127" s="640" t="str">
        <f ca="1">IF(Z127&lt;&gt;"",ABS(MIN(-0.6*'CDO Bespoke'!K128+'CDO Bespoke'!T128*'CDO Bespoke'!K128,0)),"")</f>
        <v/>
      </c>
      <c r="AB127" s="640" t="str">
        <f t="shared" ca="1" si="8"/>
        <v/>
      </c>
      <c r="AC127" s="488" t="str">
        <f t="shared" ca="1" si="9"/>
        <v/>
      </c>
      <c r="AD127" s="272"/>
      <c r="AE127" s="493" t="str">
        <f ca="1">IF('CDO Bespoke'!C152&lt;&gt;"",'CDO Bespoke'!C152,"")</f>
        <v/>
      </c>
      <c r="AF127" s="495"/>
      <c r="AG127" s="583"/>
      <c r="AH127" s="583"/>
      <c r="AI127" s="583"/>
      <c r="AJ127" s="496"/>
      <c r="AK127" s="618"/>
      <c r="AL127" s="495"/>
      <c r="AM127" s="583"/>
      <c r="AN127" s="583"/>
      <c r="AO127" s="583"/>
      <c r="AP127" s="496"/>
      <c r="AQ127" s="618"/>
      <c r="AR127" s="505"/>
      <c r="AS127" s="629"/>
      <c r="AT127" s="618"/>
      <c r="AU127" s="505"/>
      <c r="AV127" s="581"/>
      <c r="AW127" s="618"/>
    </row>
    <row r="128" spans="2:49">
      <c r="B128" s="516" t="s">
        <v>541</v>
      </c>
      <c r="C128" s="517" t="s">
        <v>66</v>
      </c>
      <c r="D128" s="517" t="s">
        <v>57</v>
      </c>
      <c r="E128" s="517" t="s">
        <v>645</v>
      </c>
      <c r="F128" s="517" t="s">
        <v>668</v>
      </c>
      <c r="G128" s="524">
        <v>0.01</v>
      </c>
      <c r="H128" s="524">
        <v>8.7480000000000006E-3</v>
      </c>
      <c r="I128" s="526">
        <v>0.4</v>
      </c>
      <c r="J128" s="592">
        <v>5</v>
      </c>
      <c r="K128" s="518">
        <v>35</v>
      </c>
      <c r="L128" s="272"/>
      <c r="M128" s="272"/>
      <c r="P128" s="273"/>
      <c r="Q128" s="273"/>
      <c r="R128" s="273"/>
      <c r="S128" s="273"/>
      <c r="T128" s="575">
        <f ca="1"/>
        <v>0.15</v>
      </c>
      <c r="U128" s="572">
        <f ca="1"/>
        <v>120</v>
      </c>
      <c r="V128" s="484" t="str">
        <f ca="1">IF('CDO Bespoke'!O129&lt;&gt;"",'CDO Bespoke'!O129,"")</f>
        <v/>
      </c>
      <c r="W128" s="640" t="str">
        <f t="shared" ca="1" si="6"/>
        <v/>
      </c>
      <c r="X128" s="640" t="str">
        <f t="shared" ca="1" si="10"/>
        <v/>
      </c>
      <c r="Y128" s="488" t="str">
        <f t="shared" ca="1" si="7"/>
        <v/>
      </c>
      <c r="Z128" s="484" t="str">
        <f ca="1">IF('CDO Bespoke'!O129&lt;&gt;"",'CDO Bespoke'!O129,"")</f>
        <v/>
      </c>
      <c r="AA128" s="640" t="str">
        <f ca="1">IF(Z128&lt;&gt;"",ABS(MIN(-0.6*'CDO Bespoke'!K129+'CDO Bespoke'!T129*'CDO Bespoke'!K129,0)),"")</f>
        <v/>
      </c>
      <c r="AB128" s="640" t="str">
        <f t="shared" ca="1" si="8"/>
        <v/>
      </c>
      <c r="AC128" s="488" t="str">
        <f t="shared" ca="1" si="9"/>
        <v/>
      </c>
      <c r="AD128" s="272"/>
      <c r="AE128" s="493" t="str">
        <f ca="1">IF('CDO Bespoke'!C153&lt;&gt;"",'CDO Bespoke'!C153,"")</f>
        <v/>
      </c>
      <c r="AF128" s="495"/>
      <c r="AG128" s="583"/>
      <c r="AH128" s="583"/>
      <c r="AI128" s="583"/>
      <c r="AJ128" s="496"/>
      <c r="AK128" s="618"/>
      <c r="AL128" s="495"/>
      <c r="AM128" s="583"/>
      <c r="AN128" s="583"/>
      <c r="AO128" s="583"/>
      <c r="AP128" s="496"/>
      <c r="AQ128" s="618"/>
      <c r="AR128" s="505"/>
      <c r="AS128" s="629"/>
      <c r="AT128" s="618"/>
      <c r="AU128" s="505"/>
      <c r="AV128" s="581"/>
      <c r="AW128" s="618"/>
    </row>
    <row r="129" spans="2:49">
      <c r="B129" s="533" t="s">
        <v>541</v>
      </c>
      <c r="C129" s="534" t="s">
        <v>66</v>
      </c>
      <c r="D129" s="534" t="s">
        <v>59</v>
      </c>
      <c r="E129" s="534" t="s">
        <v>645</v>
      </c>
      <c r="F129" s="534" t="s">
        <v>668</v>
      </c>
      <c r="G129" s="535">
        <v>0.01</v>
      </c>
      <c r="H129" s="535">
        <v>1.2120000000000001E-2</v>
      </c>
      <c r="I129" s="536">
        <v>0.4</v>
      </c>
      <c r="J129" s="593">
        <v>5</v>
      </c>
      <c r="K129" s="537">
        <v>35</v>
      </c>
      <c r="L129" s="272"/>
      <c r="M129" s="272"/>
      <c r="P129" s="273"/>
      <c r="Q129" s="273"/>
      <c r="R129" s="273"/>
      <c r="S129" s="273"/>
      <c r="T129" s="575">
        <f ca="1"/>
        <v>0.15</v>
      </c>
      <c r="U129" s="572">
        <f ca="1"/>
        <v>121</v>
      </c>
      <c r="V129" s="484" t="str">
        <f ca="1">IF('CDO Bespoke'!O130&lt;&gt;"",'CDO Bespoke'!O130,"")</f>
        <v/>
      </c>
      <c r="W129" s="640" t="str">
        <f t="shared" ca="1" si="6"/>
        <v/>
      </c>
      <c r="X129" s="640" t="str">
        <f t="shared" ca="1" si="10"/>
        <v/>
      </c>
      <c r="Y129" s="488" t="str">
        <f t="shared" ca="1" si="7"/>
        <v/>
      </c>
      <c r="Z129" s="484" t="str">
        <f ca="1">IF('CDO Bespoke'!O130&lt;&gt;"",'CDO Bespoke'!O130,"")</f>
        <v/>
      </c>
      <c r="AA129" s="640" t="str">
        <f ca="1">IF(Z129&lt;&gt;"",ABS(MIN(-0.6*'CDO Bespoke'!K130+'CDO Bespoke'!T130*'CDO Bespoke'!K130,0)),"")</f>
        <v/>
      </c>
      <c r="AB129" s="640" t="str">
        <f t="shared" ca="1" si="8"/>
        <v/>
      </c>
      <c r="AC129" s="488" t="str">
        <f t="shared" ca="1" si="9"/>
        <v/>
      </c>
      <c r="AD129" s="272"/>
      <c r="AE129" s="493" t="str">
        <f ca="1">IF('CDO Bespoke'!C154&lt;&gt;"",'CDO Bespoke'!C154,"")</f>
        <v/>
      </c>
      <c r="AF129" s="495"/>
      <c r="AG129" s="583"/>
      <c r="AH129" s="583"/>
      <c r="AI129" s="583"/>
      <c r="AJ129" s="496"/>
      <c r="AK129" s="618"/>
      <c r="AL129" s="495"/>
      <c r="AM129" s="583"/>
      <c r="AN129" s="583"/>
      <c r="AO129" s="583"/>
      <c r="AP129" s="496"/>
      <c r="AQ129" s="618"/>
      <c r="AR129" s="505"/>
      <c r="AS129" s="629"/>
      <c r="AT129" s="618"/>
      <c r="AU129" s="505"/>
      <c r="AV129" s="581"/>
      <c r="AW129" s="618"/>
    </row>
    <row r="130" spans="2:49">
      <c r="B130" s="538" t="s">
        <v>528</v>
      </c>
      <c r="C130" s="539" t="s">
        <v>66</v>
      </c>
      <c r="D130" s="539" t="s">
        <v>55</v>
      </c>
      <c r="E130" s="539" t="s">
        <v>647</v>
      </c>
      <c r="F130" s="539" t="s">
        <v>671</v>
      </c>
      <c r="G130" s="540">
        <v>0.01</v>
      </c>
      <c r="H130" s="540">
        <v>4.2960000000000003E-3</v>
      </c>
      <c r="I130" s="541">
        <v>0.4</v>
      </c>
      <c r="J130" s="600">
        <v>3</v>
      </c>
      <c r="K130" s="542">
        <v>36</v>
      </c>
      <c r="L130" s="272"/>
      <c r="M130" s="272"/>
      <c r="P130" s="273"/>
      <c r="Q130" s="273"/>
      <c r="R130" s="273"/>
      <c r="S130" s="273"/>
      <c r="T130" s="575">
        <f ca="1"/>
        <v>0.15</v>
      </c>
      <c r="U130" s="572">
        <f ca="1"/>
        <v>122</v>
      </c>
      <c r="V130" s="484" t="str">
        <f ca="1">IF('CDO Bespoke'!O131&lt;&gt;"",'CDO Bespoke'!O131,"")</f>
        <v/>
      </c>
      <c r="W130" s="640" t="str">
        <f t="shared" ca="1" si="6"/>
        <v/>
      </c>
      <c r="X130" s="640" t="str">
        <f t="shared" ca="1" si="10"/>
        <v/>
      </c>
      <c r="Y130" s="488" t="str">
        <f t="shared" ca="1" si="7"/>
        <v/>
      </c>
      <c r="Z130" s="484" t="str">
        <f ca="1">IF('CDO Bespoke'!O131&lt;&gt;"",'CDO Bespoke'!O131,"")</f>
        <v/>
      </c>
      <c r="AA130" s="640" t="str">
        <f ca="1">IF(Z130&lt;&gt;"",ABS(MIN(-0.6*'CDO Bespoke'!K131+'CDO Bespoke'!T131*'CDO Bespoke'!K131,0)),"")</f>
        <v/>
      </c>
      <c r="AB130" s="640" t="str">
        <f t="shared" ca="1" si="8"/>
        <v/>
      </c>
      <c r="AC130" s="488" t="str">
        <f t="shared" ca="1" si="9"/>
        <v/>
      </c>
      <c r="AD130" s="272"/>
      <c r="AE130" s="493" t="str">
        <f ca="1">IF('CDO Bespoke'!C155&lt;&gt;"",'CDO Bespoke'!C155,"")</f>
        <v/>
      </c>
      <c r="AF130" s="495"/>
      <c r="AG130" s="583"/>
      <c r="AH130" s="583"/>
      <c r="AI130" s="583"/>
      <c r="AJ130" s="496"/>
      <c r="AK130" s="618"/>
      <c r="AL130" s="495"/>
      <c r="AM130" s="583"/>
      <c r="AN130" s="583"/>
      <c r="AO130" s="583"/>
      <c r="AP130" s="496"/>
      <c r="AQ130" s="618"/>
      <c r="AR130" s="505"/>
      <c r="AS130" s="629"/>
      <c r="AT130" s="618"/>
      <c r="AU130" s="505"/>
      <c r="AV130" s="581"/>
      <c r="AW130" s="618"/>
    </row>
    <row r="131" spans="2:49">
      <c r="B131" s="516" t="s">
        <v>528</v>
      </c>
      <c r="C131" s="517" t="s">
        <v>66</v>
      </c>
      <c r="D131" s="517" t="s">
        <v>57</v>
      </c>
      <c r="E131" s="517" t="s">
        <v>647</v>
      </c>
      <c r="F131" s="517" t="s">
        <v>671</v>
      </c>
      <c r="G131" s="524">
        <v>0.01</v>
      </c>
      <c r="H131" s="524">
        <v>6.79E-3</v>
      </c>
      <c r="I131" s="526">
        <v>0.4</v>
      </c>
      <c r="J131" s="592">
        <v>3</v>
      </c>
      <c r="K131" s="518">
        <v>36</v>
      </c>
      <c r="L131" s="272"/>
      <c r="M131" s="272"/>
      <c r="P131" s="273"/>
      <c r="Q131" s="273"/>
      <c r="R131" s="273"/>
      <c r="S131" s="273"/>
      <c r="T131" s="575">
        <f ca="1"/>
        <v>0.15</v>
      </c>
      <c r="U131" s="572">
        <f ca="1"/>
        <v>123</v>
      </c>
      <c r="V131" s="484" t="str">
        <f ca="1">IF('CDO Bespoke'!O132&lt;&gt;"",'CDO Bespoke'!O132,"")</f>
        <v/>
      </c>
      <c r="W131" s="640" t="str">
        <f t="shared" ca="1" si="6"/>
        <v/>
      </c>
      <c r="X131" s="640" t="str">
        <f t="shared" ca="1" si="10"/>
        <v/>
      </c>
      <c r="Y131" s="488" t="str">
        <f t="shared" ca="1" si="7"/>
        <v/>
      </c>
      <c r="Z131" s="484" t="str">
        <f ca="1">IF('CDO Bespoke'!O132&lt;&gt;"",'CDO Bespoke'!O132,"")</f>
        <v/>
      </c>
      <c r="AA131" s="640" t="str">
        <f ca="1">IF(Z131&lt;&gt;"",ABS(MIN(-0.6*'CDO Bespoke'!K132+'CDO Bespoke'!T132*'CDO Bespoke'!K132,0)),"")</f>
        <v/>
      </c>
      <c r="AB131" s="640" t="str">
        <f t="shared" ca="1" si="8"/>
        <v/>
      </c>
      <c r="AC131" s="488" t="str">
        <f t="shared" ca="1" si="9"/>
        <v/>
      </c>
      <c r="AD131" s="272"/>
      <c r="AE131" s="493" t="str">
        <f ca="1">IF('CDO Bespoke'!C156&lt;&gt;"",'CDO Bespoke'!C156,"")</f>
        <v/>
      </c>
      <c r="AF131" s="495"/>
      <c r="AG131" s="583"/>
      <c r="AH131" s="583"/>
      <c r="AI131" s="583"/>
      <c r="AJ131" s="496"/>
      <c r="AK131" s="618"/>
      <c r="AL131" s="495"/>
      <c r="AM131" s="583"/>
      <c r="AN131" s="583"/>
      <c r="AO131" s="583"/>
      <c r="AP131" s="496"/>
      <c r="AQ131" s="618"/>
      <c r="AR131" s="505"/>
      <c r="AS131" s="629"/>
      <c r="AT131" s="618"/>
      <c r="AU131" s="505"/>
      <c r="AV131" s="581"/>
      <c r="AW131" s="618"/>
    </row>
    <row r="132" spans="2:49">
      <c r="B132" s="533" t="s">
        <v>528</v>
      </c>
      <c r="C132" s="534" t="s">
        <v>66</v>
      </c>
      <c r="D132" s="534" t="s">
        <v>59</v>
      </c>
      <c r="E132" s="534" t="s">
        <v>647</v>
      </c>
      <c r="F132" s="534" t="s">
        <v>671</v>
      </c>
      <c r="G132" s="535">
        <v>0.01</v>
      </c>
      <c r="H132" s="535">
        <v>9.9900000000000006E-3</v>
      </c>
      <c r="I132" s="536">
        <v>0.4</v>
      </c>
      <c r="J132" s="593">
        <v>3</v>
      </c>
      <c r="K132" s="537">
        <v>36</v>
      </c>
      <c r="L132" s="272"/>
      <c r="M132" s="272"/>
      <c r="P132" s="273"/>
      <c r="Q132" s="273"/>
      <c r="R132" s="273"/>
      <c r="S132" s="273"/>
      <c r="T132" s="575">
        <f ca="1"/>
        <v>0.15</v>
      </c>
      <c r="U132" s="572">
        <f ca="1"/>
        <v>124</v>
      </c>
      <c r="V132" s="484" t="str">
        <f ca="1">IF('CDO Bespoke'!O133&lt;&gt;"",'CDO Bespoke'!O133,"")</f>
        <v/>
      </c>
      <c r="W132" s="640" t="str">
        <f t="shared" ca="1" si="6"/>
        <v/>
      </c>
      <c r="X132" s="640" t="str">
        <f t="shared" ca="1" si="10"/>
        <v/>
      </c>
      <c r="Y132" s="488" t="str">
        <f t="shared" ca="1" si="7"/>
        <v/>
      </c>
      <c r="Z132" s="484" t="str">
        <f ca="1">IF('CDO Bespoke'!O133&lt;&gt;"",'CDO Bespoke'!O133,"")</f>
        <v/>
      </c>
      <c r="AA132" s="640" t="str">
        <f ca="1">IF(Z132&lt;&gt;"",ABS(MIN(-0.6*'CDO Bespoke'!K133+'CDO Bespoke'!T133*'CDO Bespoke'!K133,0)),"")</f>
        <v/>
      </c>
      <c r="AB132" s="640" t="str">
        <f t="shared" ca="1" si="8"/>
        <v/>
      </c>
      <c r="AC132" s="488" t="str">
        <f t="shared" ca="1" si="9"/>
        <v/>
      </c>
      <c r="AD132" s="272"/>
      <c r="AE132" s="493" t="str">
        <f ca="1">IF('CDO Bespoke'!C157&lt;&gt;"",'CDO Bespoke'!C157,"")</f>
        <v/>
      </c>
      <c r="AF132" s="495"/>
      <c r="AG132" s="583"/>
      <c r="AH132" s="583"/>
      <c r="AI132" s="583"/>
      <c r="AJ132" s="496"/>
      <c r="AK132" s="618"/>
      <c r="AL132" s="495"/>
      <c r="AM132" s="583"/>
      <c r="AN132" s="583"/>
      <c r="AO132" s="583"/>
      <c r="AP132" s="496"/>
      <c r="AQ132" s="618"/>
      <c r="AR132" s="505"/>
      <c r="AS132" s="629"/>
      <c r="AT132" s="618"/>
      <c r="AU132" s="505"/>
      <c r="AV132" s="581"/>
      <c r="AW132" s="618"/>
    </row>
    <row r="133" spans="2:49" ht="10.5" thickBot="1">
      <c r="B133" s="538" t="s">
        <v>542</v>
      </c>
      <c r="C133" s="539" t="s">
        <v>66</v>
      </c>
      <c r="D133" s="539" t="s">
        <v>55</v>
      </c>
      <c r="E133" s="539" t="s">
        <v>647</v>
      </c>
      <c r="F133" s="539" t="s">
        <v>668</v>
      </c>
      <c r="G133" s="540">
        <v>0.01</v>
      </c>
      <c r="H133" s="540">
        <v>1.0371E-2</v>
      </c>
      <c r="I133" s="541">
        <v>0.4</v>
      </c>
      <c r="J133" s="600">
        <v>5</v>
      </c>
      <c r="K133" s="542">
        <v>37</v>
      </c>
      <c r="L133" s="272"/>
      <c r="M133" s="272"/>
      <c r="P133" s="273"/>
      <c r="Q133" s="273"/>
      <c r="R133" s="273"/>
      <c r="S133" s="273"/>
      <c r="T133" s="576">
        <f ca="1"/>
        <v>0.15</v>
      </c>
      <c r="U133" s="573">
        <f ca="1"/>
        <v>125</v>
      </c>
      <c r="V133" s="484" t="str">
        <f ca="1">IF('CDO Bespoke'!O134&lt;&gt;"",'CDO Bespoke'!O134,"")</f>
        <v/>
      </c>
      <c r="W133" s="640" t="str">
        <f t="shared" ca="1" si="6"/>
        <v/>
      </c>
      <c r="X133" s="640" t="str">
        <f t="shared" ca="1" si="10"/>
        <v/>
      </c>
      <c r="Y133" s="488" t="str">
        <f t="shared" ca="1" si="7"/>
        <v/>
      </c>
      <c r="Z133" s="484" t="str">
        <f ca="1">IF('CDO Bespoke'!O134&lt;&gt;"",'CDO Bespoke'!O134,"")</f>
        <v/>
      </c>
      <c r="AA133" s="640" t="str">
        <f ca="1">IF(Z133&lt;&gt;"",ABS(MIN(-0.6*'CDO Bespoke'!K134+'CDO Bespoke'!T134*'CDO Bespoke'!K134,0)),"")</f>
        <v/>
      </c>
      <c r="AB133" s="640" t="str">
        <f t="shared" ca="1" si="8"/>
        <v/>
      </c>
      <c r="AC133" s="488" t="str">
        <f t="shared" ca="1" si="9"/>
        <v/>
      </c>
      <c r="AD133" s="272"/>
      <c r="AE133" s="493" t="str">
        <f ca="1">IF('CDO Bespoke'!C158&lt;&gt;"",'CDO Bespoke'!C158,"")</f>
        <v/>
      </c>
      <c r="AF133" s="495"/>
      <c r="AG133" s="583"/>
      <c r="AH133" s="583"/>
      <c r="AI133" s="583"/>
      <c r="AJ133" s="496"/>
      <c r="AK133" s="618"/>
      <c r="AL133" s="495"/>
      <c r="AM133" s="583"/>
      <c r="AN133" s="583"/>
      <c r="AO133" s="583"/>
      <c r="AP133" s="496"/>
      <c r="AQ133" s="618"/>
      <c r="AR133" s="505"/>
      <c r="AS133" s="629"/>
      <c r="AT133" s="618"/>
      <c r="AU133" s="505"/>
      <c r="AV133" s="581"/>
      <c r="AW133" s="618"/>
    </row>
    <row r="134" spans="2:49">
      <c r="B134" s="516" t="s">
        <v>542</v>
      </c>
      <c r="C134" s="517" t="s">
        <v>66</v>
      </c>
      <c r="D134" s="517" t="s">
        <v>57</v>
      </c>
      <c r="E134" s="517" t="s">
        <v>647</v>
      </c>
      <c r="F134" s="517" t="s">
        <v>668</v>
      </c>
      <c r="G134" s="524">
        <v>0.01</v>
      </c>
      <c r="H134" s="524">
        <v>1.6621E-2</v>
      </c>
      <c r="I134" s="526">
        <v>0.4</v>
      </c>
      <c r="J134" s="592">
        <v>5</v>
      </c>
      <c r="K134" s="518">
        <v>37</v>
      </c>
      <c r="L134" s="272"/>
      <c r="M134" s="272"/>
      <c r="P134" s="273"/>
      <c r="Q134" s="273"/>
      <c r="R134" s="273"/>
      <c r="S134" s="273"/>
      <c r="T134" s="273"/>
      <c r="U134" s="273"/>
      <c r="V134" s="484" t="str">
        <f ca="1">IF('CDO Bespoke'!O135&lt;&gt;"",'CDO Bespoke'!O135,"")</f>
        <v/>
      </c>
      <c r="W134" s="640" t="str">
        <f t="shared" ca="1" si="6"/>
        <v/>
      </c>
      <c r="X134" s="640" t="str">
        <f t="shared" ca="1" si="10"/>
        <v/>
      </c>
      <c r="Y134" s="488" t="str">
        <f t="shared" ca="1" si="7"/>
        <v/>
      </c>
      <c r="Z134" s="484" t="str">
        <f ca="1">IF('CDO Bespoke'!O135&lt;&gt;"",'CDO Bespoke'!O135,"")</f>
        <v/>
      </c>
      <c r="AA134" s="640" t="str">
        <f ca="1">IF(Z134&lt;&gt;"",ABS(MIN(-0.6*'CDO Bespoke'!K135+'CDO Bespoke'!T135*'CDO Bespoke'!K135,0)),"")</f>
        <v/>
      </c>
      <c r="AB134" s="640" t="str">
        <f t="shared" ca="1" si="8"/>
        <v/>
      </c>
      <c r="AC134" s="488" t="str">
        <f t="shared" ca="1" si="9"/>
        <v/>
      </c>
      <c r="AD134" s="272"/>
      <c r="AE134" s="493" t="str">
        <f ca="1">IF('CDO Bespoke'!C159&lt;&gt;"",'CDO Bespoke'!C159,"")</f>
        <v/>
      </c>
      <c r="AF134" s="495"/>
      <c r="AG134" s="583"/>
      <c r="AH134" s="583"/>
      <c r="AI134" s="583"/>
      <c r="AJ134" s="496"/>
      <c r="AK134" s="618"/>
      <c r="AL134" s="495"/>
      <c r="AM134" s="583"/>
      <c r="AN134" s="583"/>
      <c r="AO134" s="583"/>
      <c r="AP134" s="496"/>
      <c r="AQ134" s="618"/>
      <c r="AR134" s="505"/>
      <c r="AS134" s="629"/>
      <c r="AT134" s="618"/>
      <c r="AU134" s="505"/>
      <c r="AV134" s="581"/>
      <c r="AW134" s="618"/>
    </row>
    <row r="135" spans="2:49">
      <c r="B135" s="533" t="s">
        <v>542</v>
      </c>
      <c r="C135" s="534" t="s">
        <v>66</v>
      </c>
      <c r="D135" s="534" t="s">
        <v>59</v>
      </c>
      <c r="E135" s="534" t="s">
        <v>647</v>
      </c>
      <c r="F135" s="534" t="s">
        <v>668</v>
      </c>
      <c r="G135" s="535">
        <v>0.01</v>
      </c>
      <c r="H135" s="535">
        <v>1.9375E-2</v>
      </c>
      <c r="I135" s="536">
        <v>0.4</v>
      </c>
      <c r="J135" s="593">
        <v>5</v>
      </c>
      <c r="K135" s="537">
        <v>37</v>
      </c>
      <c r="L135" s="272"/>
      <c r="M135" s="272"/>
      <c r="P135" s="273"/>
      <c r="Q135" s="273"/>
      <c r="R135" s="273"/>
      <c r="S135" s="273"/>
      <c r="T135" s="273"/>
      <c r="U135" s="273"/>
      <c r="V135" s="484" t="str">
        <f ca="1">IF('CDO Bespoke'!O136&lt;&gt;"",'CDO Bespoke'!O136,"")</f>
        <v/>
      </c>
      <c r="W135" s="640" t="str">
        <f t="shared" ca="1" si="6"/>
        <v/>
      </c>
      <c r="X135" s="640" t="str">
        <f t="shared" ca="1" si="10"/>
        <v/>
      </c>
      <c r="Y135" s="488" t="str">
        <f t="shared" ca="1" si="7"/>
        <v/>
      </c>
      <c r="Z135" s="484" t="str">
        <f ca="1">IF('CDO Bespoke'!O136&lt;&gt;"",'CDO Bespoke'!O136,"")</f>
        <v/>
      </c>
      <c r="AA135" s="640" t="str">
        <f ca="1">IF(Z135&lt;&gt;"",ABS(MIN(-0.6*'CDO Bespoke'!K136+'CDO Bespoke'!T136*'CDO Bespoke'!K136,0)),"")</f>
        <v/>
      </c>
      <c r="AB135" s="640" t="str">
        <f t="shared" ca="1" si="8"/>
        <v/>
      </c>
      <c r="AC135" s="488" t="str">
        <f t="shared" ca="1" si="9"/>
        <v/>
      </c>
      <c r="AD135" s="272"/>
      <c r="AE135" s="493" t="str">
        <f ca="1">IF('CDO Bespoke'!C160&lt;&gt;"",'CDO Bespoke'!C160,"")</f>
        <v/>
      </c>
      <c r="AF135" s="495"/>
      <c r="AG135" s="583"/>
      <c r="AH135" s="583"/>
      <c r="AI135" s="583"/>
      <c r="AJ135" s="496"/>
      <c r="AK135" s="618"/>
      <c r="AL135" s="495"/>
      <c r="AM135" s="583"/>
      <c r="AN135" s="583"/>
      <c r="AO135" s="583"/>
      <c r="AP135" s="496"/>
      <c r="AQ135" s="618"/>
      <c r="AR135" s="505"/>
      <c r="AS135" s="629"/>
      <c r="AT135" s="618"/>
      <c r="AU135" s="505"/>
      <c r="AV135" s="581"/>
      <c r="AW135" s="618"/>
    </row>
    <row r="136" spans="2:49">
      <c r="B136" s="538" t="s">
        <v>543</v>
      </c>
      <c r="C136" s="539" t="s">
        <v>66</v>
      </c>
      <c r="D136" s="539" t="s">
        <v>55</v>
      </c>
      <c r="E136" s="539" t="s">
        <v>645</v>
      </c>
      <c r="F136" s="539" t="s">
        <v>668</v>
      </c>
      <c r="G136" s="540">
        <v>0.01</v>
      </c>
      <c r="H136" s="540">
        <v>2.5300000000000001E-3</v>
      </c>
      <c r="I136" s="541">
        <v>0.4</v>
      </c>
      <c r="J136" s="600">
        <v>5</v>
      </c>
      <c r="K136" s="542">
        <v>38</v>
      </c>
      <c r="L136" s="272"/>
      <c r="M136" s="272"/>
      <c r="P136" s="273"/>
      <c r="Q136" s="273"/>
      <c r="R136" s="273"/>
      <c r="S136" s="273"/>
      <c r="T136" s="273"/>
      <c r="U136" s="273"/>
      <c r="V136" s="484" t="str">
        <f ca="1">IF('CDO Bespoke'!O137&lt;&gt;"",'CDO Bespoke'!O137,"")</f>
        <v/>
      </c>
      <c r="W136" s="640" t="str">
        <f t="shared" ca="1" si="6"/>
        <v/>
      </c>
      <c r="X136" s="640" t="str">
        <f t="shared" ca="1" si="10"/>
        <v/>
      </c>
      <c r="Y136" s="488" t="str">
        <f t="shared" ca="1" si="7"/>
        <v/>
      </c>
      <c r="Z136" s="484" t="str">
        <f ca="1">IF('CDO Bespoke'!O137&lt;&gt;"",'CDO Bespoke'!O137,"")</f>
        <v/>
      </c>
      <c r="AA136" s="640" t="str">
        <f ca="1">IF(Z136&lt;&gt;"",ABS(MIN(-0.6*'CDO Bespoke'!K137+'CDO Bespoke'!T137*'CDO Bespoke'!K137,0)),"")</f>
        <v/>
      </c>
      <c r="AB136" s="640" t="str">
        <f t="shared" ca="1" si="8"/>
        <v/>
      </c>
      <c r="AC136" s="488" t="str">
        <f t="shared" ca="1" si="9"/>
        <v/>
      </c>
      <c r="AD136" s="272"/>
      <c r="AE136" s="493" t="str">
        <f ca="1">IF('CDO Bespoke'!C161&lt;&gt;"",'CDO Bespoke'!C161,"")</f>
        <v/>
      </c>
      <c r="AF136" s="495"/>
      <c r="AG136" s="583"/>
      <c r="AH136" s="583"/>
      <c r="AI136" s="583"/>
      <c r="AJ136" s="496"/>
      <c r="AK136" s="618"/>
      <c r="AL136" s="495"/>
      <c r="AM136" s="583"/>
      <c r="AN136" s="583"/>
      <c r="AO136" s="583"/>
      <c r="AP136" s="496"/>
      <c r="AQ136" s="618"/>
      <c r="AR136" s="505"/>
      <c r="AS136" s="629"/>
      <c r="AT136" s="618"/>
      <c r="AU136" s="505"/>
      <c r="AV136" s="581"/>
      <c r="AW136" s="618"/>
    </row>
    <row r="137" spans="2:49">
      <c r="B137" s="516" t="s">
        <v>543</v>
      </c>
      <c r="C137" s="517" t="s">
        <v>66</v>
      </c>
      <c r="D137" s="517" t="s">
        <v>57</v>
      </c>
      <c r="E137" s="517" t="s">
        <v>645</v>
      </c>
      <c r="F137" s="517" t="s">
        <v>668</v>
      </c>
      <c r="G137" s="524">
        <v>0.01</v>
      </c>
      <c r="H137" s="524">
        <v>3.9699999999999996E-3</v>
      </c>
      <c r="I137" s="526">
        <v>0.4</v>
      </c>
      <c r="J137" s="592">
        <v>5</v>
      </c>
      <c r="K137" s="518">
        <v>38</v>
      </c>
      <c r="L137" s="272"/>
      <c r="M137" s="272"/>
      <c r="P137" s="273"/>
      <c r="Q137" s="273"/>
      <c r="R137" s="273"/>
      <c r="S137" s="273"/>
      <c r="T137" s="273"/>
      <c r="U137" s="273"/>
      <c r="V137" s="484" t="str">
        <f ca="1">IF('CDO Bespoke'!O138&lt;&gt;"",'CDO Bespoke'!O138,"")</f>
        <v/>
      </c>
      <c r="W137" s="640" t="str">
        <f t="shared" ca="1" si="6"/>
        <v/>
      </c>
      <c r="X137" s="640" t="str">
        <f t="shared" ca="1" si="10"/>
        <v/>
      </c>
      <c r="Y137" s="488" t="str">
        <f t="shared" ca="1" si="7"/>
        <v/>
      </c>
      <c r="Z137" s="484" t="str">
        <f ca="1">IF('CDO Bespoke'!O138&lt;&gt;"",'CDO Bespoke'!O138,"")</f>
        <v/>
      </c>
      <c r="AA137" s="640" t="str">
        <f ca="1">IF(Z137&lt;&gt;"",ABS(MIN(-0.6*'CDO Bespoke'!K138+'CDO Bespoke'!T138*'CDO Bespoke'!K138,0)),"")</f>
        <v/>
      </c>
      <c r="AB137" s="640" t="str">
        <f t="shared" ca="1" si="8"/>
        <v/>
      </c>
      <c r="AC137" s="488" t="str">
        <f t="shared" ca="1" si="9"/>
        <v/>
      </c>
      <c r="AD137" s="272"/>
      <c r="AE137" s="493" t="str">
        <f ca="1">IF('CDO Bespoke'!C162&lt;&gt;"",'CDO Bespoke'!C162,"")</f>
        <v/>
      </c>
      <c r="AF137" s="495"/>
      <c r="AG137" s="583"/>
      <c r="AH137" s="583"/>
      <c r="AI137" s="583"/>
      <c r="AJ137" s="496"/>
      <c r="AK137" s="618"/>
      <c r="AL137" s="495"/>
      <c r="AM137" s="583"/>
      <c r="AN137" s="583"/>
      <c r="AO137" s="583"/>
      <c r="AP137" s="496"/>
      <c r="AQ137" s="618"/>
      <c r="AR137" s="505"/>
      <c r="AS137" s="629"/>
      <c r="AT137" s="618"/>
      <c r="AU137" s="505"/>
      <c r="AV137" s="581"/>
      <c r="AW137" s="618"/>
    </row>
    <row r="138" spans="2:49" ht="10.5" thickBot="1">
      <c r="B138" s="533" t="s">
        <v>543</v>
      </c>
      <c r="C138" s="534" t="s">
        <v>66</v>
      </c>
      <c r="D138" s="534" t="s">
        <v>59</v>
      </c>
      <c r="E138" s="534" t="s">
        <v>645</v>
      </c>
      <c r="F138" s="534" t="s">
        <v>668</v>
      </c>
      <c r="G138" s="535">
        <v>0.01</v>
      </c>
      <c r="H138" s="535">
        <v>5.692E-3</v>
      </c>
      <c r="I138" s="536">
        <v>0.4</v>
      </c>
      <c r="J138" s="593">
        <v>5</v>
      </c>
      <c r="K138" s="537">
        <v>38</v>
      </c>
      <c r="L138" s="272"/>
      <c r="M138" s="272"/>
      <c r="P138" s="273"/>
      <c r="Q138" s="273"/>
      <c r="R138" s="273"/>
      <c r="S138" s="273"/>
      <c r="T138" s="273"/>
      <c r="U138" s="273"/>
      <c r="V138" s="489" t="str">
        <f ca="1">IF('CDO Bespoke'!O139&lt;&gt;"",'CDO Bespoke'!O139,"")</f>
        <v/>
      </c>
      <c r="W138" s="490" t="str">
        <f t="shared" ca="1" si="6"/>
        <v/>
      </c>
      <c r="X138" s="490" t="str">
        <f t="shared" ca="1" si="10"/>
        <v/>
      </c>
      <c r="Y138" s="491" t="str">
        <f t="shared" ca="1" si="7"/>
        <v/>
      </c>
      <c r="Z138" s="489" t="str">
        <f ca="1">IF('CDO Bespoke'!O139&lt;&gt;"",'CDO Bespoke'!O139,"")</f>
        <v/>
      </c>
      <c r="AA138" s="490" t="str">
        <f ca="1">IF(Z138&lt;&gt;"",ABS(MIN(-0.6*'CDO Bespoke'!K139+'CDO Bespoke'!T139*'CDO Bespoke'!K139,0)),"")</f>
        <v/>
      </c>
      <c r="AB138" s="490" t="str">
        <f t="shared" ca="1" si="8"/>
        <v/>
      </c>
      <c r="AC138" s="491" t="str">
        <f t="shared" ca="1" si="9"/>
        <v/>
      </c>
      <c r="AD138" s="272"/>
      <c r="AE138" s="493" t="str">
        <f ca="1">IF('CDO Bespoke'!C163&lt;&gt;"",'CDO Bespoke'!C163,"")</f>
        <v/>
      </c>
      <c r="AF138" s="495"/>
      <c r="AG138" s="583"/>
      <c r="AH138" s="583"/>
      <c r="AI138" s="583"/>
      <c r="AJ138" s="496"/>
      <c r="AK138" s="618"/>
      <c r="AL138" s="495"/>
      <c r="AM138" s="583"/>
      <c r="AN138" s="583"/>
      <c r="AO138" s="583"/>
      <c r="AP138" s="496"/>
      <c r="AQ138" s="618"/>
      <c r="AR138" s="505"/>
      <c r="AS138" s="629"/>
      <c r="AT138" s="618"/>
      <c r="AU138" s="505"/>
      <c r="AV138" s="581"/>
      <c r="AW138" s="618"/>
    </row>
    <row r="139" spans="2:49">
      <c r="B139" s="538" t="s">
        <v>544</v>
      </c>
      <c r="C139" s="539" t="s">
        <v>66</v>
      </c>
      <c r="D139" s="539" t="s">
        <v>55</v>
      </c>
      <c r="E139" s="539" t="s">
        <v>647</v>
      </c>
      <c r="F139" s="539" t="s">
        <v>668</v>
      </c>
      <c r="G139" s="540">
        <v>0.01</v>
      </c>
      <c r="H139" s="540">
        <v>3.9449999999999997E-3</v>
      </c>
      <c r="I139" s="541">
        <v>0.4</v>
      </c>
      <c r="J139" s="600">
        <v>5</v>
      </c>
      <c r="K139" s="542">
        <v>39</v>
      </c>
      <c r="L139" s="272"/>
      <c r="M139" s="272"/>
      <c r="P139" s="273"/>
      <c r="Q139" s="273"/>
      <c r="R139" s="273"/>
      <c r="S139" s="273"/>
      <c r="T139" s="273"/>
      <c r="U139" s="273"/>
      <c r="V139" s="273"/>
      <c r="W139" s="273"/>
      <c r="X139" s="273"/>
      <c r="Y139" s="273"/>
      <c r="Z139" s="273"/>
      <c r="AA139" s="273"/>
      <c r="AB139" s="273"/>
      <c r="AC139" s="273"/>
      <c r="AD139" s="272"/>
      <c r="AE139" s="493" t="str">
        <f ca="1">IF('CDO Bespoke'!C164&lt;&gt;"",'CDO Bespoke'!C164,"")</f>
        <v/>
      </c>
      <c r="AF139" s="495"/>
      <c r="AG139" s="583"/>
      <c r="AH139" s="583"/>
      <c r="AI139" s="583"/>
      <c r="AJ139" s="496"/>
      <c r="AK139" s="618"/>
      <c r="AL139" s="495"/>
      <c r="AM139" s="583"/>
      <c r="AN139" s="583"/>
      <c r="AO139" s="583"/>
      <c r="AP139" s="496"/>
      <c r="AQ139" s="618"/>
      <c r="AR139" s="505"/>
      <c r="AS139" s="629"/>
      <c r="AT139" s="618"/>
      <c r="AU139" s="505"/>
      <c r="AV139" s="581"/>
      <c r="AW139" s="618"/>
    </row>
    <row r="140" spans="2:49">
      <c r="B140" s="516" t="s">
        <v>544</v>
      </c>
      <c r="C140" s="517" t="s">
        <v>66</v>
      </c>
      <c r="D140" s="517" t="s">
        <v>57</v>
      </c>
      <c r="E140" s="517" t="s">
        <v>647</v>
      </c>
      <c r="F140" s="517" t="s">
        <v>668</v>
      </c>
      <c r="G140" s="524">
        <v>0.01</v>
      </c>
      <c r="H140" s="524">
        <v>6.7390000000000002E-3</v>
      </c>
      <c r="I140" s="526">
        <v>0.4</v>
      </c>
      <c r="J140" s="592">
        <v>5</v>
      </c>
      <c r="K140" s="518">
        <v>39</v>
      </c>
      <c r="L140" s="272"/>
      <c r="M140" s="272"/>
      <c r="P140" s="273"/>
      <c r="Q140" s="273"/>
      <c r="R140" s="273"/>
      <c r="S140" s="273"/>
      <c r="T140" s="273"/>
      <c r="U140" s="273"/>
      <c r="V140" s="273"/>
      <c r="W140" s="273"/>
      <c r="X140" s="273"/>
      <c r="Y140" s="273"/>
      <c r="Z140" s="273"/>
      <c r="AA140" s="273"/>
      <c r="AB140" s="273"/>
      <c r="AC140" s="273"/>
      <c r="AD140" s="272"/>
      <c r="AE140" s="493" t="str">
        <f ca="1">IF('CDO Bespoke'!C165&lt;&gt;"",'CDO Bespoke'!C165,"")</f>
        <v/>
      </c>
      <c r="AF140" s="495"/>
      <c r="AG140" s="583"/>
      <c r="AH140" s="583"/>
      <c r="AI140" s="583"/>
      <c r="AJ140" s="496"/>
      <c r="AK140" s="618"/>
      <c r="AL140" s="495"/>
      <c r="AM140" s="583"/>
      <c r="AN140" s="583"/>
      <c r="AO140" s="583"/>
      <c r="AP140" s="496"/>
      <c r="AQ140" s="618"/>
      <c r="AR140" s="505"/>
      <c r="AS140" s="629"/>
      <c r="AT140" s="618"/>
      <c r="AU140" s="505"/>
      <c r="AV140" s="581"/>
      <c r="AW140" s="618"/>
    </row>
    <row r="141" spans="2:49">
      <c r="B141" s="533" t="s">
        <v>544</v>
      </c>
      <c r="C141" s="534" t="s">
        <v>66</v>
      </c>
      <c r="D141" s="534" t="s">
        <v>59</v>
      </c>
      <c r="E141" s="534" t="s">
        <v>647</v>
      </c>
      <c r="F141" s="534" t="s">
        <v>668</v>
      </c>
      <c r="G141" s="535">
        <v>0.01</v>
      </c>
      <c r="H141" s="535">
        <v>9.7630000000000008E-3</v>
      </c>
      <c r="I141" s="536">
        <v>0.4</v>
      </c>
      <c r="J141" s="593">
        <v>5</v>
      </c>
      <c r="K141" s="537">
        <v>39</v>
      </c>
      <c r="L141" s="272"/>
      <c r="M141" s="272"/>
      <c r="P141" s="273"/>
      <c r="Q141" s="273"/>
      <c r="R141" s="273"/>
      <c r="S141" s="273"/>
      <c r="T141" s="273"/>
      <c r="U141" s="273"/>
      <c r="V141" s="273"/>
      <c r="W141" s="273"/>
      <c r="X141" s="273"/>
      <c r="Y141" s="273"/>
      <c r="Z141" s="273"/>
      <c r="AA141" s="273"/>
      <c r="AB141" s="273"/>
      <c r="AC141" s="273"/>
      <c r="AD141" s="272"/>
      <c r="AE141" s="493" t="str">
        <f ca="1">IF('CDO Bespoke'!C166&lt;&gt;"",'CDO Bespoke'!C166,"")</f>
        <v/>
      </c>
      <c r="AF141" s="495"/>
      <c r="AG141" s="583"/>
      <c r="AH141" s="583"/>
      <c r="AI141" s="583"/>
      <c r="AJ141" s="496"/>
      <c r="AK141" s="618"/>
      <c r="AL141" s="495"/>
      <c r="AM141" s="583"/>
      <c r="AN141" s="583"/>
      <c r="AO141" s="583"/>
      <c r="AP141" s="496"/>
      <c r="AQ141" s="618"/>
      <c r="AR141" s="505"/>
      <c r="AS141" s="629"/>
      <c r="AT141" s="618"/>
      <c r="AU141" s="505"/>
      <c r="AV141" s="581"/>
      <c r="AW141" s="618"/>
    </row>
    <row r="142" spans="2:49">
      <c r="B142" s="538" t="s">
        <v>560</v>
      </c>
      <c r="C142" s="539" t="s">
        <v>66</v>
      </c>
      <c r="D142" s="539" t="s">
        <v>55</v>
      </c>
      <c r="E142" s="539" t="s">
        <v>649</v>
      </c>
      <c r="F142" s="539" t="s">
        <v>668</v>
      </c>
      <c r="G142" s="540">
        <v>0.01</v>
      </c>
      <c r="H142" s="540">
        <v>1.738E-3</v>
      </c>
      <c r="I142" s="541">
        <v>0.4</v>
      </c>
      <c r="J142" s="600">
        <v>5</v>
      </c>
      <c r="K142" s="542">
        <v>40</v>
      </c>
      <c r="L142" s="272"/>
      <c r="M142" s="272"/>
      <c r="P142" s="273"/>
      <c r="Q142" s="273"/>
      <c r="R142" s="273"/>
      <c r="S142" s="273"/>
      <c r="T142" s="273"/>
      <c r="U142" s="273"/>
      <c r="V142" s="273"/>
      <c r="W142" s="273"/>
      <c r="X142" s="273"/>
      <c r="Y142" s="273"/>
      <c r="Z142" s="273"/>
      <c r="AA142" s="273"/>
      <c r="AB142" s="273"/>
      <c r="AC142" s="273"/>
      <c r="AD142" s="272"/>
      <c r="AE142" s="493" t="str">
        <f ca="1">IF('CDO Bespoke'!C167&lt;&gt;"",'CDO Bespoke'!C167,"")</f>
        <v/>
      </c>
      <c r="AF142" s="495"/>
      <c r="AG142" s="583"/>
      <c r="AH142" s="583"/>
      <c r="AI142" s="583"/>
      <c r="AJ142" s="496"/>
      <c r="AK142" s="618"/>
      <c r="AL142" s="495"/>
      <c r="AM142" s="583"/>
      <c r="AN142" s="583"/>
      <c r="AO142" s="583"/>
      <c r="AP142" s="496"/>
      <c r="AQ142" s="618"/>
      <c r="AR142" s="505"/>
      <c r="AS142" s="629"/>
      <c r="AT142" s="618"/>
      <c r="AU142" s="505"/>
      <c r="AV142" s="581"/>
      <c r="AW142" s="618"/>
    </row>
    <row r="143" spans="2:49">
      <c r="B143" s="516" t="s">
        <v>560</v>
      </c>
      <c r="C143" s="517" t="s">
        <v>66</v>
      </c>
      <c r="D143" s="517" t="s">
        <v>57</v>
      </c>
      <c r="E143" s="517" t="s">
        <v>649</v>
      </c>
      <c r="F143" s="517" t="s">
        <v>668</v>
      </c>
      <c r="G143" s="524">
        <v>0.01</v>
      </c>
      <c r="H143" s="524">
        <v>2.9610000000000001E-3</v>
      </c>
      <c r="I143" s="526">
        <v>0.4</v>
      </c>
      <c r="J143" s="592">
        <v>5</v>
      </c>
      <c r="K143" s="518">
        <v>40</v>
      </c>
      <c r="L143" s="272"/>
      <c r="M143" s="272"/>
      <c r="P143" s="273"/>
      <c r="Q143" s="273"/>
      <c r="R143" s="273"/>
      <c r="S143" s="273"/>
      <c r="T143" s="273"/>
      <c r="U143" s="273"/>
      <c r="V143" s="273"/>
      <c r="W143" s="273"/>
      <c r="X143" s="273"/>
      <c r="Y143" s="273"/>
      <c r="Z143" s="273"/>
      <c r="AA143" s="273"/>
      <c r="AB143" s="273"/>
      <c r="AC143" s="273"/>
      <c r="AD143" s="272"/>
      <c r="AE143" s="493" t="str">
        <f ca="1">IF('CDO Bespoke'!C168&lt;&gt;"",'CDO Bespoke'!C168,"")</f>
        <v/>
      </c>
      <c r="AF143" s="495"/>
      <c r="AG143" s="583"/>
      <c r="AH143" s="583"/>
      <c r="AI143" s="583"/>
      <c r="AJ143" s="496"/>
      <c r="AK143" s="618"/>
      <c r="AL143" s="495"/>
      <c r="AM143" s="583"/>
      <c r="AN143" s="583"/>
      <c r="AO143" s="583"/>
      <c r="AP143" s="496"/>
      <c r="AQ143" s="618"/>
      <c r="AR143" s="505"/>
      <c r="AS143" s="629"/>
      <c r="AT143" s="618"/>
      <c r="AU143" s="505"/>
      <c r="AV143" s="581"/>
      <c r="AW143" s="618"/>
    </row>
    <row r="144" spans="2:49">
      <c r="B144" s="533" t="s">
        <v>560</v>
      </c>
      <c r="C144" s="534" t="s">
        <v>66</v>
      </c>
      <c r="D144" s="534" t="s">
        <v>59</v>
      </c>
      <c r="E144" s="534" t="s">
        <v>649</v>
      </c>
      <c r="F144" s="534" t="s">
        <v>668</v>
      </c>
      <c r="G144" s="535">
        <v>0.01</v>
      </c>
      <c r="H144" s="535">
        <v>4.1469999999999996E-3</v>
      </c>
      <c r="I144" s="536">
        <v>0.4</v>
      </c>
      <c r="J144" s="593">
        <v>5</v>
      </c>
      <c r="K144" s="537">
        <v>40</v>
      </c>
      <c r="L144" s="272"/>
      <c r="M144" s="272"/>
      <c r="P144" s="273"/>
      <c r="Q144" s="273"/>
      <c r="R144" s="273"/>
      <c r="S144" s="273"/>
      <c r="T144" s="273"/>
      <c r="U144" s="273"/>
      <c r="V144" s="273"/>
      <c r="W144" s="273"/>
      <c r="X144" s="273"/>
      <c r="Y144" s="273"/>
      <c r="Z144" s="273"/>
      <c r="AA144" s="273"/>
      <c r="AB144" s="273"/>
      <c r="AC144" s="273"/>
      <c r="AD144" s="272"/>
      <c r="AE144" s="493" t="str">
        <f ca="1">IF('CDO Bespoke'!C169&lt;&gt;"",'CDO Bespoke'!C169,"")</f>
        <v/>
      </c>
      <c r="AF144" s="495"/>
      <c r="AG144" s="583"/>
      <c r="AH144" s="583"/>
      <c r="AI144" s="583"/>
      <c r="AJ144" s="496"/>
      <c r="AK144" s="618"/>
      <c r="AL144" s="495"/>
      <c r="AM144" s="583"/>
      <c r="AN144" s="583"/>
      <c r="AO144" s="583"/>
      <c r="AP144" s="496"/>
      <c r="AQ144" s="618"/>
      <c r="AR144" s="505"/>
      <c r="AS144" s="629"/>
      <c r="AT144" s="618"/>
      <c r="AU144" s="505"/>
      <c r="AV144" s="581"/>
      <c r="AW144" s="618"/>
    </row>
    <row r="145" spans="2:49">
      <c r="B145" s="538" t="s">
        <v>545</v>
      </c>
      <c r="C145" s="539" t="s">
        <v>66</v>
      </c>
      <c r="D145" s="539" t="s">
        <v>55</v>
      </c>
      <c r="E145" s="539" t="s">
        <v>647</v>
      </c>
      <c r="F145" s="539" t="s">
        <v>668</v>
      </c>
      <c r="G145" s="540">
        <v>0.01</v>
      </c>
      <c r="H145" s="540">
        <v>2.8939999999999999E-3</v>
      </c>
      <c r="I145" s="541">
        <v>0.4</v>
      </c>
      <c r="J145" s="600">
        <v>5</v>
      </c>
      <c r="K145" s="542">
        <v>41</v>
      </c>
      <c r="L145" s="272"/>
      <c r="M145" s="272"/>
      <c r="P145" s="273"/>
      <c r="Q145" s="273"/>
      <c r="R145" s="273"/>
      <c r="S145" s="273"/>
      <c r="T145" s="273"/>
      <c r="U145" s="273"/>
      <c r="V145" s="273"/>
      <c r="W145" s="273"/>
      <c r="X145" s="273"/>
      <c r="Y145" s="273"/>
      <c r="Z145" s="273"/>
      <c r="AA145" s="273"/>
      <c r="AB145" s="273"/>
      <c r="AC145" s="273"/>
      <c r="AD145" s="272"/>
      <c r="AE145" s="493" t="str">
        <f ca="1">IF('CDO Bespoke'!C170&lt;&gt;"",'CDO Bespoke'!C170,"")</f>
        <v/>
      </c>
      <c r="AF145" s="495"/>
      <c r="AG145" s="583"/>
      <c r="AH145" s="583"/>
      <c r="AI145" s="583"/>
      <c r="AJ145" s="496"/>
      <c r="AK145" s="618"/>
      <c r="AL145" s="495"/>
      <c r="AM145" s="583"/>
      <c r="AN145" s="583"/>
      <c r="AO145" s="583"/>
      <c r="AP145" s="496"/>
      <c r="AQ145" s="618"/>
      <c r="AR145" s="505"/>
      <c r="AS145" s="629"/>
      <c r="AT145" s="618"/>
      <c r="AU145" s="505"/>
      <c r="AV145" s="581"/>
      <c r="AW145" s="618"/>
    </row>
    <row r="146" spans="2:49">
      <c r="B146" s="516" t="s">
        <v>545</v>
      </c>
      <c r="C146" s="517" t="s">
        <v>66</v>
      </c>
      <c r="D146" s="517" t="s">
        <v>57</v>
      </c>
      <c r="E146" s="517" t="s">
        <v>647</v>
      </c>
      <c r="F146" s="517" t="s">
        <v>668</v>
      </c>
      <c r="G146" s="524">
        <v>0.01</v>
      </c>
      <c r="H146" s="524">
        <v>5.0400000000000002E-3</v>
      </c>
      <c r="I146" s="526">
        <v>0.4</v>
      </c>
      <c r="J146" s="592">
        <v>5</v>
      </c>
      <c r="K146" s="518">
        <v>41</v>
      </c>
      <c r="L146" s="272"/>
      <c r="M146" s="272"/>
      <c r="P146" s="273"/>
      <c r="Q146" s="273"/>
      <c r="R146" s="273"/>
      <c r="S146" s="273"/>
      <c r="T146" s="273"/>
      <c r="U146" s="273"/>
      <c r="V146" s="273"/>
      <c r="W146" s="273"/>
      <c r="X146" s="273"/>
      <c r="Y146" s="273"/>
      <c r="Z146" s="273"/>
      <c r="AA146" s="273"/>
      <c r="AB146" s="273"/>
      <c r="AC146" s="273"/>
      <c r="AD146" s="272"/>
      <c r="AE146" s="493" t="str">
        <f ca="1">IF('CDO Bespoke'!C171&lt;&gt;"",'CDO Bespoke'!C171,"")</f>
        <v/>
      </c>
      <c r="AF146" s="495"/>
      <c r="AG146" s="583"/>
      <c r="AH146" s="583"/>
      <c r="AI146" s="583"/>
      <c r="AJ146" s="496"/>
      <c r="AK146" s="618"/>
      <c r="AL146" s="495"/>
      <c r="AM146" s="583"/>
      <c r="AN146" s="583"/>
      <c r="AO146" s="583"/>
      <c r="AP146" s="496"/>
      <c r="AQ146" s="618"/>
      <c r="AR146" s="505"/>
      <c r="AS146" s="629"/>
      <c r="AT146" s="618"/>
      <c r="AU146" s="505"/>
      <c r="AV146" s="581"/>
      <c r="AW146" s="618"/>
    </row>
    <row r="147" spans="2:49">
      <c r="B147" s="533" t="s">
        <v>545</v>
      </c>
      <c r="C147" s="534" t="s">
        <v>66</v>
      </c>
      <c r="D147" s="534" t="s">
        <v>59</v>
      </c>
      <c r="E147" s="534" t="s">
        <v>647</v>
      </c>
      <c r="F147" s="534" t="s">
        <v>668</v>
      </c>
      <c r="G147" s="535">
        <v>0.01</v>
      </c>
      <c r="H147" s="535">
        <v>7.5799999999999999E-3</v>
      </c>
      <c r="I147" s="536">
        <v>0.4</v>
      </c>
      <c r="J147" s="593">
        <v>5</v>
      </c>
      <c r="K147" s="537">
        <v>41</v>
      </c>
      <c r="L147" s="272"/>
      <c r="M147" s="272"/>
      <c r="P147" s="273"/>
      <c r="Q147" s="273"/>
      <c r="R147" s="273"/>
      <c r="S147" s="273"/>
      <c r="T147" s="273"/>
      <c r="U147" s="273"/>
      <c r="V147" s="273"/>
      <c r="W147" s="273"/>
      <c r="X147" s="273"/>
      <c r="Y147" s="273"/>
      <c r="Z147" s="273"/>
      <c r="AA147" s="273"/>
      <c r="AB147" s="273"/>
      <c r="AC147" s="273"/>
      <c r="AD147" s="272"/>
      <c r="AE147" s="493" t="str">
        <f ca="1">IF('CDO Bespoke'!C172&lt;&gt;"",'CDO Bespoke'!C172,"")</f>
        <v/>
      </c>
      <c r="AF147" s="495"/>
      <c r="AG147" s="583"/>
      <c r="AH147" s="583"/>
      <c r="AI147" s="583"/>
      <c r="AJ147" s="496"/>
      <c r="AK147" s="618"/>
      <c r="AL147" s="495"/>
      <c r="AM147" s="583"/>
      <c r="AN147" s="583"/>
      <c r="AO147" s="583"/>
      <c r="AP147" s="496"/>
      <c r="AQ147" s="618"/>
      <c r="AR147" s="505"/>
      <c r="AS147" s="629"/>
      <c r="AT147" s="618"/>
      <c r="AU147" s="505"/>
      <c r="AV147" s="581"/>
      <c r="AW147" s="618"/>
    </row>
    <row r="148" spans="2:49">
      <c r="B148" s="538" t="s">
        <v>546</v>
      </c>
      <c r="C148" s="539" t="s">
        <v>66</v>
      </c>
      <c r="D148" s="539" t="s">
        <v>55</v>
      </c>
      <c r="E148" s="539" t="s">
        <v>649</v>
      </c>
      <c r="F148" s="539" t="s">
        <v>668</v>
      </c>
      <c r="G148" s="540">
        <v>0.01</v>
      </c>
      <c r="H148" s="540">
        <v>1.31E-3</v>
      </c>
      <c r="I148" s="541">
        <v>0.4</v>
      </c>
      <c r="J148" s="600">
        <v>5</v>
      </c>
      <c r="K148" s="542">
        <v>42</v>
      </c>
      <c r="L148" s="272"/>
      <c r="M148" s="272"/>
      <c r="P148" s="273"/>
      <c r="Q148" s="273"/>
      <c r="R148" s="273"/>
      <c r="S148" s="273"/>
      <c r="T148" s="273"/>
      <c r="U148" s="273"/>
      <c r="V148" s="273"/>
      <c r="W148" s="273"/>
      <c r="X148" s="273"/>
      <c r="Y148" s="273"/>
      <c r="Z148" s="273"/>
      <c r="AA148" s="273"/>
      <c r="AB148" s="273"/>
      <c r="AC148" s="273"/>
      <c r="AD148" s="272"/>
      <c r="AE148" s="493" t="str">
        <f ca="1">IF('CDO Bespoke'!C173&lt;&gt;"",'CDO Bespoke'!C173,"")</f>
        <v/>
      </c>
      <c r="AF148" s="495"/>
      <c r="AG148" s="583"/>
      <c r="AH148" s="583"/>
      <c r="AI148" s="583"/>
      <c r="AJ148" s="496"/>
      <c r="AK148" s="618"/>
      <c r="AL148" s="495"/>
      <c r="AM148" s="583"/>
      <c r="AN148" s="583"/>
      <c r="AO148" s="583"/>
      <c r="AP148" s="496"/>
      <c r="AQ148" s="618"/>
      <c r="AR148" s="505"/>
      <c r="AS148" s="629"/>
      <c r="AT148" s="618"/>
      <c r="AU148" s="505"/>
      <c r="AV148" s="581"/>
      <c r="AW148" s="618"/>
    </row>
    <row r="149" spans="2:49">
      <c r="B149" s="516" t="s">
        <v>546</v>
      </c>
      <c r="C149" s="517" t="s">
        <v>66</v>
      </c>
      <c r="D149" s="517" t="s">
        <v>57</v>
      </c>
      <c r="E149" s="517" t="s">
        <v>649</v>
      </c>
      <c r="F149" s="517" t="s">
        <v>668</v>
      </c>
      <c r="G149" s="524">
        <v>0.01</v>
      </c>
      <c r="H149" s="524">
        <v>2.2300000000000002E-3</v>
      </c>
      <c r="I149" s="526">
        <v>0.4</v>
      </c>
      <c r="J149" s="592">
        <v>5</v>
      </c>
      <c r="K149" s="518">
        <v>42</v>
      </c>
      <c r="L149" s="272"/>
      <c r="M149" s="272"/>
      <c r="P149" s="273"/>
      <c r="Q149" s="273"/>
      <c r="R149" s="273"/>
      <c r="S149" s="273"/>
      <c r="T149" s="273"/>
      <c r="U149" s="273"/>
      <c r="V149" s="273"/>
      <c r="W149" s="273"/>
      <c r="X149" s="273"/>
      <c r="Y149" s="273"/>
      <c r="Z149" s="273"/>
      <c r="AA149" s="273"/>
      <c r="AB149" s="273"/>
      <c r="AC149" s="273"/>
      <c r="AD149" s="272"/>
      <c r="AE149" s="493" t="str">
        <f ca="1">IF('CDO Bespoke'!C174&lt;&gt;"",'CDO Bespoke'!C174,"")</f>
        <v/>
      </c>
      <c r="AF149" s="495"/>
      <c r="AG149" s="583"/>
      <c r="AH149" s="583"/>
      <c r="AI149" s="583"/>
      <c r="AJ149" s="496"/>
      <c r="AK149" s="618"/>
      <c r="AL149" s="495"/>
      <c r="AM149" s="583"/>
      <c r="AN149" s="583"/>
      <c r="AO149" s="583"/>
      <c r="AP149" s="496"/>
      <c r="AQ149" s="618"/>
      <c r="AR149" s="505"/>
      <c r="AS149" s="629"/>
      <c r="AT149" s="618"/>
      <c r="AU149" s="505"/>
      <c r="AV149" s="581"/>
      <c r="AW149" s="618"/>
    </row>
    <row r="150" spans="2:49">
      <c r="B150" s="533" t="s">
        <v>546</v>
      </c>
      <c r="C150" s="534" t="s">
        <v>66</v>
      </c>
      <c r="D150" s="534" t="s">
        <v>59</v>
      </c>
      <c r="E150" s="534" t="s">
        <v>649</v>
      </c>
      <c r="F150" s="534" t="s">
        <v>668</v>
      </c>
      <c r="G150" s="535">
        <v>0.01</v>
      </c>
      <c r="H150" s="535">
        <v>3.3579999999999999E-3</v>
      </c>
      <c r="I150" s="536">
        <v>0.4</v>
      </c>
      <c r="J150" s="593">
        <v>5</v>
      </c>
      <c r="K150" s="537">
        <v>42</v>
      </c>
      <c r="L150" s="272"/>
      <c r="M150" s="272"/>
      <c r="P150" s="273"/>
      <c r="Q150" s="273"/>
      <c r="R150" s="273"/>
      <c r="S150" s="273"/>
      <c r="T150" s="273"/>
      <c r="U150" s="273"/>
      <c r="V150" s="273"/>
      <c r="W150" s="273"/>
      <c r="X150" s="273"/>
      <c r="Y150" s="273"/>
      <c r="Z150" s="273"/>
      <c r="AA150" s="273"/>
      <c r="AB150" s="273"/>
      <c r="AC150" s="273"/>
      <c r="AD150" s="272"/>
      <c r="AE150" s="493" t="str">
        <f ca="1">IF('CDO Bespoke'!C175&lt;&gt;"",'CDO Bespoke'!C175,"")</f>
        <v/>
      </c>
      <c r="AF150" s="495"/>
      <c r="AG150" s="583"/>
      <c r="AH150" s="583"/>
      <c r="AI150" s="583"/>
      <c r="AJ150" s="496"/>
      <c r="AK150" s="618"/>
      <c r="AL150" s="495"/>
      <c r="AM150" s="583"/>
      <c r="AN150" s="583"/>
      <c r="AO150" s="583"/>
      <c r="AP150" s="496"/>
      <c r="AQ150" s="618"/>
      <c r="AR150" s="505"/>
      <c r="AS150" s="629"/>
      <c r="AT150" s="618"/>
      <c r="AU150" s="505"/>
      <c r="AV150" s="581"/>
      <c r="AW150" s="618"/>
    </row>
    <row r="151" spans="2:49">
      <c r="B151" s="538" t="s">
        <v>561</v>
      </c>
      <c r="C151" s="539" t="s">
        <v>66</v>
      </c>
      <c r="D151" s="539" t="s">
        <v>55</v>
      </c>
      <c r="E151" s="539" t="s">
        <v>645</v>
      </c>
      <c r="F151" s="539" t="s">
        <v>668</v>
      </c>
      <c r="G151" s="540">
        <v>0.01</v>
      </c>
      <c r="H151" s="540">
        <v>2.1749999999999999E-3</v>
      </c>
      <c r="I151" s="541">
        <v>0.4</v>
      </c>
      <c r="J151" s="600">
        <v>5</v>
      </c>
      <c r="K151" s="542">
        <v>43</v>
      </c>
      <c r="L151" s="272"/>
      <c r="M151" s="272"/>
      <c r="P151" s="273"/>
      <c r="Q151" s="273"/>
      <c r="R151" s="273"/>
      <c r="S151" s="273"/>
      <c r="T151" s="273"/>
      <c r="U151" s="273"/>
      <c r="V151" s="273"/>
      <c r="W151" s="273"/>
      <c r="X151" s="273"/>
      <c r="Y151" s="273"/>
      <c r="Z151" s="273"/>
      <c r="AA151" s="273"/>
      <c r="AB151" s="273"/>
      <c r="AC151" s="273"/>
      <c r="AD151" s="272"/>
      <c r="AE151" s="493" t="str">
        <f ca="1">IF('CDO Bespoke'!C176&lt;&gt;"",'CDO Bespoke'!C176,"")</f>
        <v/>
      </c>
      <c r="AF151" s="495"/>
      <c r="AG151" s="583"/>
      <c r="AH151" s="583"/>
      <c r="AI151" s="583"/>
      <c r="AJ151" s="496"/>
      <c r="AK151" s="618"/>
      <c r="AL151" s="495"/>
      <c r="AM151" s="583"/>
      <c r="AN151" s="583"/>
      <c r="AO151" s="583"/>
      <c r="AP151" s="496"/>
      <c r="AQ151" s="618"/>
      <c r="AR151" s="505"/>
      <c r="AS151" s="629"/>
      <c r="AT151" s="618"/>
      <c r="AU151" s="505"/>
      <c r="AV151" s="581"/>
      <c r="AW151" s="618"/>
    </row>
    <row r="152" spans="2:49">
      <c r="B152" s="516" t="s">
        <v>561</v>
      </c>
      <c r="C152" s="517" t="s">
        <v>66</v>
      </c>
      <c r="D152" s="517" t="s">
        <v>57</v>
      </c>
      <c r="E152" s="517" t="s">
        <v>645</v>
      </c>
      <c r="F152" s="517" t="s">
        <v>668</v>
      </c>
      <c r="G152" s="524">
        <v>0.01</v>
      </c>
      <c r="H152" s="524">
        <v>3.539E-3</v>
      </c>
      <c r="I152" s="526">
        <v>0.4</v>
      </c>
      <c r="J152" s="592">
        <v>5</v>
      </c>
      <c r="K152" s="518">
        <v>43</v>
      </c>
      <c r="L152" s="272"/>
      <c r="M152" s="272"/>
      <c r="P152" s="273"/>
      <c r="Q152" s="273"/>
      <c r="R152" s="273"/>
      <c r="S152" s="273"/>
      <c r="T152" s="273"/>
      <c r="U152" s="273"/>
      <c r="V152" s="273"/>
      <c r="W152" s="273"/>
      <c r="X152" s="273"/>
      <c r="Y152" s="273"/>
      <c r="Z152" s="273"/>
      <c r="AA152" s="273"/>
      <c r="AB152" s="273"/>
      <c r="AC152" s="273"/>
      <c r="AD152" s="272"/>
      <c r="AE152" s="493" t="str">
        <f ca="1">IF('CDO Bespoke'!C177&lt;&gt;"",'CDO Bespoke'!C177,"")</f>
        <v/>
      </c>
      <c r="AF152" s="495"/>
      <c r="AG152" s="583"/>
      <c r="AH152" s="583"/>
      <c r="AI152" s="583"/>
      <c r="AJ152" s="496"/>
      <c r="AK152" s="618"/>
      <c r="AL152" s="495"/>
      <c r="AM152" s="583"/>
      <c r="AN152" s="583"/>
      <c r="AO152" s="583"/>
      <c r="AP152" s="496"/>
      <c r="AQ152" s="618"/>
      <c r="AR152" s="505"/>
      <c r="AS152" s="629"/>
      <c r="AT152" s="618"/>
      <c r="AU152" s="505"/>
      <c r="AV152" s="581"/>
      <c r="AW152" s="618"/>
    </row>
    <row r="153" spans="2:49">
      <c r="B153" s="533" t="s">
        <v>561</v>
      </c>
      <c r="C153" s="534" t="s">
        <v>66</v>
      </c>
      <c r="D153" s="534" t="s">
        <v>59</v>
      </c>
      <c r="E153" s="534" t="s">
        <v>645</v>
      </c>
      <c r="F153" s="534" t="s">
        <v>668</v>
      </c>
      <c r="G153" s="535">
        <v>0.01</v>
      </c>
      <c r="H153" s="535">
        <v>4.816E-3</v>
      </c>
      <c r="I153" s="536">
        <v>0.4</v>
      </c>
      <c r="J153" s="593">
        <v>5</v>
      </c>
      <c r="K153" s="537">
        <v>43</v>
      </c>
      <c r="L153" s="272"/>
      <c r="M153" s="272"/>
      <c r="P153" s="273"/>
      <c r="Q153" s="273"/>
      <c r="R153" s="273"/>
      <c r="S153" s="273"/>
      <c r="T153" s="273"/>
      <c r="U153" s="273"/>
      <c r="V153" s="273"/>
      <c r="W153" s="273"/>
      <c r="X153" s="273"/>
      <c r="Y153" s="273"/>
      <c r="Z153" s="273"/>
      <c r="AA153" s="273"/>
      <c r="AB153" s="273"/>
      <c r="AC153" s="273"/>
      <c r="AD153" s="272"/>
      <c r="AE153" s="493" t="str">
        <f ca="1">IF('CDO Bespoke'!C178&lt;&gt;"",'CDO Bespoke'!C178,"")</f>
        <v/>
      </c>
      <c r="AF153" s="495"/>
      <c r="AG153" s="583"/>
      <c r="AH153" s="583"/>
      <c r="AI153" s="583"/>
      <c r="AJ153" s="496"/>
      <c r="AK153" s="618"/>
      <c r="AL153" s="495"/>
      <c r="AM153" s="583"/>
      <c r="AN153" s="583"/>
      <c r="AO153" s="583"/>
      <c r="AP153" s="496"/>
      <c r="AQ153" s="618"/>
      <c r="AR153" s="505"/>
      <c r="AS153" s="629"/>
      <c r="AT153" s="618"/>
      <c r="AU153" s="505"/>
      <c r="AV153" s="581"/>
      <c r="AW153" s="618"/>
    </row>
    <row r="154" spans="2:49">
      <c r="B154" s="538" t="s">
        <v>547</v>
      </c>
      <c r="C154" s="539" t="s">
        <v>66</v>
      </c>
      <c r="D154" s="539" t="s">
        <v>55</v>
      </c>
      <c r="E154" s="539" t="s">
        <v>649</v>
      </c>
      <c r="F154" s="539" t="s">
        <v>668</v>
      </c>
      <c r="G154" s="540">
        <v>0.01</v>
      </c>
      <c r="H154" s="540">
        <v>1.6999999999999999E-3</v>
      </c>
      <c r="I154" s="541">
        <v>0.4</v>
      </c>
      <c r="J154" s="600">
        <v>5</v>
      </c>
      <c r="K154" s="542">
        <v>44</v>
      </c>
      <c r="L154" s="272"/>
      <c r="M154" s="272"/>
      <c r="P154" s="273"/>
      <c r="Q154" s="273"/>
      <c r="R154" s="273"/>
      <c r="S154" s="273"/>
      <c r="T154" s="273"/>
      <c r="U154" s="273"/>
      <c r="V154" s="273"/>
      <c r="W154" s="273"/>
      <c r="X154" s="273"/>
      <c r="Y154" s="273"/>
      <c r="Z154" s="273"/>
      <c r="AA154" s="273"/>
      <c r="AB154" s="273"/>
      <c r="AC154" s="273"/>
      <c r="AD154" s="272"/>
      <c r="AE154" s="493" t="str">
        <f ca="1">IF('CDO Bespoke'!C179&lt;&gt;"",'CDO Bespoke'!C179,"")</f>
        <v/>
      </c>
      <c r="AF154" s="495"/>
      <c r="AG154" s="583"/>
      <c r="AH154" s="583"/>
      <c r="AI154" s="583"/>
      <c r="AJ154" s="496"/>
      <c r="AK154" s="618"/>
      <c r="AL154" s="495"/>
      <c r="AM154" s="583"/>
      <c r="AN154" s="583"/>
      <c r="AO154" s="583"/>
      <c r="AP154" s="496"/>
      <c r="AQ154" s="618"/>
      <c r="AR154" s="505"/>
      <c r="AS154" s="629"/>
      <c r="AT154" s="618"/>
      <c r="AU154" s="505"/>
      <c r="AV154" s="581"/>
      <c r="AW154" s="618"/>
    </row>
    <row r="155" spans="2:49">
      <c r="B155" s="516" t="s">
        <v>547</v>
      </c>
      <c r="C155" s="517" t="s">
        <v>66</v>
      </c>
      <c r="D155" s="517" t="s">
        <v>57</v>
      </c>
      <c r="E155" s="517" t="s">
        <v>649</v>
      </c>
      <c r="F155" s="517" t="s">
        <v>668</v>
      </c>
      <c r="G155" s="524">
        <v>0.01</v>
      </c>
      <c r="H155" s="524">
        <v>2.6360000000000001E-2</v>
      </c>
      <c r="I155" s="526">
        <v>0.4</v>
      </c>
      <c r="J155" s="592">
        <v>5</v>
      </c>
      <c r="K155" s="518">
        <v>44</v>
      </c>
      <c r="L155" s="272"/>
      <c r="M155" s="272"/>
      <c r="P155" s="273"/>
      <c r="Q155" s="273"/>
      <c r="R155" s="273"/>
      <c r="S155" s="273"/>
      <c r="T155" s="273"/>
      <c r="U155" s="273"/>
      <c r="V155" s="273"/>
      <c r="W155" s="273"/>
      <c r="X155" s="273"/>
      <c r="Y155" s="273"/>
      <c r="Z155" s="273"/>
      <c r="AA155" s="273"/>
      <c r="AB155" s="273"/>
      <c r="AC155" s="273"/>
      <c r="AD155" s="272"/>
      <c r="AE155" s="493" t="str">
        <f ca="1">IF('CDO Bespoke'!C180&lt;&gt;"",'CDO Bespoke'!C180,"")</f>
        <v/>
      </c>
      <c r="AF155" s="495"/>
      <c r="AG155" s="583"/>
      <c r="AH155" s="583"/>
      <c r="AI155" s="583"/>
      <c r="AJ155" s="496"/>
      <c r="AK155" s="618"/>
      <c r="AL155" s="495"/>
      <c r="AM155" s="583"/>
      <c r="AN155" s="583"/>
      <c r="AO155" s="583"/>
      <c r="AP155" s="496"/>
      <c r="AQ155" s="618"/>
      <c r="AR155" s="505"/>
      <c r="AS155" s="629"/>
      <c r="AT155" s="618"/>
      <c r="AU155" s="505"/>
      <c r="AV155" s="581"/>
      <c r="AW155" s="618"/>
    </row>
    <row r="156" spans="2:49">
      <c r="B156" s="533" t="s">
        <v>547</v>
      </c>
      <c r="C156" s="534" t="s">
        <v>66</v>
      </c>
      <c r="D156" s="534" t="s">
        <v>59</v>
      </c>
      <c r="E156" s="534" t="s">
        <v>649</v>
      </c>
      <c r="F156" s="534" t="s">
        <v>668</v>
      </c>
      <c r="G156" s="535">
        <v>0.01</v>
      </c>
      <c r="H156" s="535">
        <v>3.9090000000000001E-3</v>
      </c>
      <c r="I156" s="536">
        <v>0.4</v>
      </c>
      <c r="J156" s="593">
        <v>5</v>
      </c>
      <c r="K156" s="537">
        <v>44</v>
      </c>
      <c r="L156" s="272"/>
      <c r="M156" s="272"/>
      <c r="P156" s="273"/>
      <c r="Q156" s="273"/>
      <c r="R156" s="273"/>
      <c r="S156" s="273"/>
      <c r="T156" s="273"/>
      <c r="U156" s="273"/>
      <c r="V156" s="273"/>
      <c r="W156" s="273"/>
      <c r="X156" s="273"/>
      <c r="Y156" s="273"/>
      <c r="Z156" s="273"/>
      <c r="AA156" s="273"/>
      <c r="AB156" s="273"/>
      <c r="AC156" s="273"/>
      <c r="AD156" s="272"/>
      <c r="AE156" s="493" t="str">
        <f ca="1">IF('CDO Bespoke'!C181&lt;&gt;"",'CDO Bespoke'!C181,"")</f>
        <v/>
      </c>
      <c r="AF156" s="495"/>
      <c r="AG156" s="583"/>
      <c r="AH156" s="583"/>
      <c r="AI156" s="583"/>
      <c r="AJ156" s="496"/>
      <c r="AK156" s="618"/>
      <c r="AL156" s="495"/>
      <c r="AM156" s="583"/>
      <c r="AN156" s="583"/>
      <c r="AO156" s="583"/>
      <c r="AP156" s="496"/>
      <c r="AQ156" s="618"/>
      <c r="AR156" s="505"/>
      <c r="AS156" s="629"/>
      <c r="AT156" s="618"/>
      <c r="AU156" s="505"/>
      <c r="AV156" s="581"/>
      <c r="AW156" s="618"/>
    </row>
    <row r="157" spans="2:49">
      <c r="B157" s="538" t="s">
        <v>613</v>
      </c>
      <c r="C157" s="539" t="s">
        <v>66</v>
      </c>
      <c r="D157" s="539" t="s">
        <v>55</v>
      </c>
      <c r="E157" s="539" t="s">
        <v>647</v>
      </c>
      <c r="F157" s="539" t="s">
        <v>668</v>
      </c>
      <c r="G157" s="540">
        <v>0.01</v>
      </c>
      <c r="H157" s="540">
        <v>1.7680000000000001E-2</v>
      </c>
      <c r="I157" s="541">
        <v>0.4</v>
      </c>
      <c r="J157" s="600">
        <v>5</v>
      </c>
      <c r="K157" s="542">
        <v>45</v>
      </c>
      <c r="L157" s="272"/>
      <c r="M157" s="272"/>
      <c r="P157" s="273"/>
      <c r="Q157" s="273"/>
      <c r="R157" s="273"/>
      <c r="S157" s="273"/>
      <c r="T157" s="273"/>
      <c r="U157" s="273"/>
      <c r="V157" s="273"/>
      <c r="W157" s="273"/>
      <c r="X157" s="273"/>
      <c r="Y157" s="273"/>
      <c r="Z157" s="273"/>
      <c r="AA157" s="273"/>
      <c r="AB157" s="273"/>
      <c r="AC157" s="273"/>
      <c r="AD157" s="272"/>
      <c r="AE157" s="493" t="str">
        <f ca="1">IF('CDO Bespoke'!C182&lt;&gt;"",'CDO Bespoke'!C182,"")</f>
        <v/>
      </c>
      <c r="AF157" s="495"/>
      <c r="AG157" s="583"/>
      <c r="AH157" s="583"/>
      <c r="AI157" s="583"/>
      <c r="AJ157" s="496"/>
      <c r="AK157" s="618"/>
      <c r="AL157" s="495"/>
      <c r="AM157" s="583"/>
      <c r="AN157" s="583"/>
      <c r="AO157" s="583"/>
      <c r="AP157" s="496"/>
      <c r="AQ157" s="618"/>
      <c r="AR157" s="505"/>
      <c r="AS157" s="629"/>
      <c r="AT157" s="618"/>
      <c r="AU157" s="505"/>
      <c r="AV157" s="581"/>
      <c r="AW157" s="618"/>
    </row>
    <row r="158" spans="2:49">
      <c r="B158" s="516" t="s">
        <v>613</v>
      </c>
      <c r="C158" s="517" t="s">
        <v>66</v>
      </c>
      <c r="D158" s="517" t="s">
        <v>57</v>
      </c>
      <c r="E158" s="517" t="s">
        <v>647</v>
      </c>
      <c r="F158" s="517" t="s">
        <v>668</v>
      </c>
      <c r="G158" s="524">
        <v>0.01</v>
      </c>
      <c r="H158" s="524">
        <v>2.5177000000000001E-2</v>
      </c>
      <c r="I158" s="526">
        <v>0.4</v>
      </c>
      <c r="J158" s="592">
        <v>5</v>
      </c>
      <c r="K158" s="518">
        <v>45</v>
      </c>
      <c r="L158" s="272"/>
      <c r="M158" s="272"/>
      <c r="P158" s="273"/>
      <c r="Q158" s="273"/>
      <c r="R158" s="273"/>
      <c r="S158" s="273"/>
      <c r="T158" s="273"/>
      <c r="U158" s="273"/>
      <c r="V158" s="273"/>
      <c r="W158" s="273"/>
      <c r="X158" s="273"/>
      <c r="Y158" s="273"/>
      <c r="Z158" s="273"/>
      <c r="AA158" s="273"/>
      <c r="AB158" s="273"/>
      <c r="AC158" s="273"/>
      <c r="AD158" s="272"/>
      <c r="AE158" s="493" t="str">
        <f ca="1">IF('CDO Bespoke'!C183&lt;&gt;"",'CDO Bespoke'!C183,"")</f>
        <v/>
      </c>
      <c r="AF158" s="495"/>
      <c r="AG158" s="583"/>
      <c r="AH158" s="583"/>
      <c r="AI158" s="583"/>
      <c r="AJ158" s="496"/>
      <c r="AK158" s="618"/>
      <c r="AL158" s="495"/>
      <c r="AM158" s="583"/>
      <c r="AN158" s="583"/>
      <c r="AO158" s="583"/>
      <c r="AP158" s="496"/>
      <c r="AQ158" s="618"/>
      <c r="AR158" s="505"/>
      <c r="AS158" s="629"/>
      <c r="AT158" s="618"/>
      <c r="AU158" s="505"/>
      <c r="AV158" s="581"/>
      <c r="AW158" s="618"/>
    </row>
    <row r="159" spans="2:49">
      <c r="B159" s="533" t="s">
        <v>613</v>
      </c>
      <c r="C159" s="534" t="s">
        <v>66</v>
      </c>
      <c r="D159" s="534" t="s">
        <v>59</v>
      </c>
      <c r="E159" s="534" t="s">
        <v>647</v>
      </c>
      <c r="F159" s="534" t="s">
        <v>668</v>
      </c>
      <c r="G159" s="535">
        <v>0.01</v>
      </c>
      <c r="H159" s="535">
        <v>3.0232999999999999E-2</v>
      </c>
      <c r="I159" s="536">
        <v>0.4</v>
      </c>
      <c r="J159" s="593">
        <v>5</v>
      </c>
      <c r="K159" s="537">
        <v>45</v>
      </c>
      <c r="L159" s="272"/>
      <c r="M159" s="272"/>
      <c r="P159" s="273"/>
      <c r="Q159" s="273"/>
      <c r="R159" s="273"/>
      <c r="S159" s="273"/>
      <c r="T159" s="273"/>
      <c r="U159" s="273"/>
      <c r="V159" s="273"/>
      <c r="W159" s="273"/>
      <c r="X159" s="273"/>
      <c r="Y159" s="273"/>
      <c r="Z159" s="273"/>
      <c r="AA159" s="273"/>
      <c r="AB159" s="273"/>
      <c r="AC159" s="273"/>
      <c r="AD159" s="272"/>
      <c r="AE159" s="493" t="str">
        <f ca="1">IF('CDO Bespoke'!C184&lt;&gt;"",'CDO Bespoke'!C184,"")</f>
        <v/>
      </c>
      <c r="AF159" s="495"/>
      <c r="AG159" s="583"/>
      <c r="AH159" s="583"/>
      <c r="AI159" s="583"/>
      <c r="AJ159" s="496"/>
      <c r="AK159" s="618"/>
      <c r="AL159" s="495"/>
      <c r="AM159" s="583"/>
      <c r="AN159" s="583"/>
      <c r="AO159" s="583"/>
      <c r="AP159" s="496"/>
      <c r="AQ159" s="618"/>
      <c r="AR159" s="505"/>
      <c r="AS159" s="629"/>
      <c r="AT159" s="618"/>
      <c r="AU159" s="505"/>
      <c r="AV159" s="581"/>
      <c r="AW159" s="618"/>
    </row>
    <row r="160" spans="2:49">
      <c r="B160" s="538" t="s">
        <v>562</v>
      </c>
      <c r="C160" s="539" t="s">
        <v>66</v>
      </c>
      <c r="D160" s="539" t="s">
        <v>55</v>
      </c>
      <c r="E160" s="539" t="s">
        <v>647</v>
      </c>
      <c r="F160" s="539" t="s">
        <v>668</v>
      </c>
      <c r="G160" s="540">
        <v>0.01</v>
      </c>
      <c r="H160" s="540">
        <v>1.828E-3</v>
      </c>
      <c r="I160" s="541">
        <v>0.4</v>
      </c>
      <c r="J160" s="600">
        <v>5</v>
      </c>
      <c r="K160" s="542">
        <v>46</v>
      </c>
      <c r="L160" s="272"/>
      <c r="M160" s="272"/>
      <c r="P160" s="273"/>
      <c r="Q160" s="273"/>
      <c r="R160" s="273"/>
      <c r="S160" s="273"/>
      <c r="T160" s="273"/>
      <c r="U160" s="273"/>
      <c r="V160" s="273"/>
      <c r="W160" s="273"/>
      <c r="X160" s="273"/>
      <c r="Y160" s="273"/>
      <c r="Z160" s="273"/>
      <c r="AA160" s="273"/>
      <c r="AB160" s="273"/>
      <c r="AC160" s="273"/>
      <c r="AD160" s="272"/>
      <c r="AE160" s="493" t="str">
        <f ca="1">IF('CDO Bespoke'!C185&lt;&gt;"",'CDO Bespoke'!C185,"")</f>
        <v/>
      </c>
      <c r="AF160" s="495"/>
      <c r="AG160" s="583"/>
      <c r="AH160" s="583"/>
      <c r="AI160" s="583"/>
      <c r="AJ160" s="496"/>
      <c r="AK160" s="618"/>
      <c r="AL160" s="495"/>
      <c r="AM160" s="583"/>
      <c r="AN160" s="583"/>
      <c r="AO160" s="583"/>
      <c r="AP160" s="496"/>
      <c r="AQ160" s="618"/>
      <c r="AR160" s="505"/>
      <c r="AS160" s="629"/>
      <c r="AT160" s="618"/>
      <c r="AU160" s="505"/>
      <c r="AV160" s="581"/>
      <c r="AW160" s="618"/>
    </row>
    <row r="161" spans="2:49">
      <c r="B161" s="516" t="s">
        <v>562</v>
      </c>
      <c r="C161" s="517" t="s">
        <v>66</v>
      </c>
      <c r="D161" s="517" t="s">
        <v>57</v>
      </c>
      <c r="E161" s="517" t="s">
        <v>647</v>
      </c>
      <c r="F161" s="517" t="s">
        <v>668</v>
      </c>
      <c r="G161" s="524">
        <v>0.01</v>
      </c>
      <c r="H161" s="524">
        <v>3.0709999999999999E-3</v>
      </c>
      <c r="I161" s="526">
        <v>0.4</v>
      </c>
      <c r="J161" s="592">
        <v>5</v>
      </c>
      <c r="K161" s="518">
        <v>46</v>
      </c>
      <c r="L161" s="272"/>
      <c r="M161" s="272"/>
      <c r="P161" s="273"/>
      <c r="Q161" s="273"/>
      <c r="R161" s="273"/>
      <c r="S161" s="273"/>
      <c r="T161" s="273"/>
      <c r="U161" s="273"/>
      <c r="V161" s="273"/>
      <c r="W161" s="273"/>
      <c r="X161" s="273"/>
      <c r="Y161" s="273"/>
      <c r="Z161" s="273"/>
      <c r="AA161" s="273"/>
      <c r="AB161" s="273"/>
      <c r="AC161" s="273"/>
      <c r="AD161" s="272"/>
      <c r="AE161" s="493" t="str">
        <f ca="1">IF('CDO Bespoke'!C186&lt;&gt;"",'CDO Bespoke'!C186,"")</f>
        <v/>
      </c>
      <c r="AF161" s="495"/>
      <c r="AG161" s="583"/>
      <c r="AH161" s="583"/>
      <c r="AI161" s="583"/>
      <c r="AJ161" s="496"/>
      <c r="AK161" s="618"/>
      <c r="AL161" s="495"/>
      <c r="AM161" s="583"/>
      <c r="AN161" s="583"/>
      <c r="AO161" s="583"/>
      <c r="AP161" s="496"/>
      <c r="AQ161" s="618"/>
      <c r="AR161" s="505"/>
      <c r="AS161" s="629"/>
      <c r="AT161" s="618"/>
      <c r="AU161" s="505"/>
      <c r="AV161" s="581"/>
      <c r="AW161" s="618"/>
    </row>
    <row r="162" spans="2:49">
      <c r="B162" s="533" t="s">
        <v>562</v>
      </c>
      <c r="C162" s="534" t="s">
        <v>66</v>
      </c>
      <c r="D162" s="534" t="s">
        <v>59</v>
      </c>
      <c r="E162" s="534" t="s">
        <v>647</v>
      </c>
      <c r="F162" s="534" t="s">
        <v>668</v>
      </c>
      <c r="G162" s="535">
        <v>0.01</v>
      </c>
      <c r="H162" s="535">
        <v>4.3569999999999998E-3</v>
      </c>
      <c r="I162" s="536">
        <v>0.4</v>
      </c>
      <c r="J162" s="593">
        <v>5</v>
      </c>
      <c r="K162" s="537">
        <v>46</v>
      </c>
      <c r="L162" s="272"/>
      <c r="M162" s="272"/>
      <c r="P162" s="273"/>
      <c r="Q162" s="273"/>
      <c r="R162" s="273"/>
      <c r="S162" s="273"/>
      <c r="T162" s="273"/>
      <c r="U162" s="273"/>
      <c r="V162" s="273"/>
      <c r="W162" s="273"/>
      <c r="X162" s="273"/>
      <c r="Y162" s="273"/>
      <c r="Z162" s="273"/>
      <c r="AA162" s="273"/>
      <c r="AB162" s="273"/>
      <c r="AC162" s="273"/>
      <c r="AD162" s="272"/>
      <c r="AE162" s="493" t="str">
        <f ca="1">IF('CDO Bespoke'!C187&lt;&gt;"",'CDO Bespoke'!C187,"")</f>
        <v/>
      </c>
      <c r="AF162" s="495"/>
      <c r="AG162" s="583"/>
      <c r="AH162" s="583"/>
      <c r="AI162" s="583"/>
      <c r="AJ162" s="496"/>
      <c r="AK162" s="618"/>
      <c r="AL162" s="495"/>
      <c r="AM162" s="583"/>
      <c r="AN162" s="583"/>
      <c r="AO162" s="583"/>
      <c r="AP162" s="496"/>
      <c r="AQ162" s="618"/>
      <c r="AR162" s="505"/>
      <c r="AS162" s="629"/>
      <c r="AT162" s="618"/>
      <c r="AU162" s="505"/>
      <c r="AV162" s="581"/>
      <c r="AW162" s="618"/>
    </row>
    <row r="163" spans="2:49">
      <c r="B163" s="538" t="s">
        <v>548</v>
      </c>
      <c r="C163" s="539" t="s">
        <v>66</v>
      </c>
      <c r="D163" s="539" t="s">
        <v>55</v>
      </c>
      <c r="E163" s="539" t="s">
        <v>645</v>
      </c>
      <c r="F163" s="539" t="s">
        <v>668</v>
      </c>
      <c r="G163" s="540">
        <v>0.01</v>
      </c>
      <c r="H163" s="540">
        <v>1.338E-3</v>
      </c>
      <c r="I163" s="541">
        <v>0.4</v>
      </c>
      <c r="J163" s="600">
        <v>5</v>
      </c>
      <c r="K163" s="542">
        <v>47</v>
      </c>
      <c r="L163" s="272"/>
      <c r="M163" s="272"/>
      <c r="P163" s="273"/>
      <c r="Q163" s="273"/>
      <c r="R163" s="273"/>
      <c r="S163" s="273"/>
      <c r="T163" s="273"/>
      <c r="U163" s="273"/>
      <c r="V163" s="273"/>
      <c r="W163" s="273"/>
      <c r="X163" s="273"/>
      <c r="Y163" s="273"/>
      <c r="Z163" s="273"/>
      <c r="AA163" s="273"/>
      <c r="AB163" s="273"/>
      <c r="AC163" s="273"/>
      <c r="AD163" s="272"/>
      <c r="AE163" s="493" t="str">
        <f ca="1">IF('CDO Bespoke'!C188&lt;&gt;"",'CDO Bespoke'!C188,"")</f>
        <v/>
      </c>
      <c r="AF163" s="495"/>
      <c r="AG163" s="583"/>
      <c r="AH163" s="583"/>
      <c r="AI163" s="583"/>
      <c r="AJ163" s="496"/>
      <c r="AK163" s="618"/>
      <c r="AL163" s="495"/>
      <c r="AM163" s="583"/>
      <c r="AN163" s="583"/>
      <c r="AO163" s="583"/>
      <c r="AP163" s="496"/>
      <c r="AQ163" s="618"/>
      <c r="AR163" s="505"/>
      <c r="AS163" s="629"/>
      <c r="AT163" s="618"/>
      <c r="AU163" s="505"/>
      <c r="AV163" s="581"/>
      <c r="AW163" s="618"/>
    </row>
    <row r="164" spans="2:49">
      <c r="B164" s="516" t="s">
        <v>548</v>
      </c>
      <c r="C164" s="517" t="s">
        <v>66</v>
      </c>
      <c r="D164" s="517" t="s">
        <v>57</v>
      </c>
      <c r="E164" s="517" t="s">
        <v>645</v>
      </c>
      <c r="F164" s="517" t="s">
        <v>668</v>
      </c>
      <c r="G164" s="524">
        <v>0.01</v>
      </c>
      <c r="H164" s="524">
        <v>2.0349999999999999E-3</v>
      </c>
      <c r="I164" s="526">
        <v>0.4</v>
      </c>
      <c r="J164" s="592">
        <v>5</v>
      </c>
      <c r="K164" s="518">
        <v>47</v>
      </c>
      <c r="L164" s="272"/>
      <c r="M164" s="272"/>
      <c r="P164" s="273"/>
      <c r="Q164" s="273"/>
      <c r="R164" s="273"/>
      <c r="S164" s="273"/>
      <c r="T164" s="273"/>
      <c r="U164" s="273"/>
      <c r="V164" s="273"/>
      <c r="W164" s="273"/>
      <c r="X164" s="273"/>
      <c r="Y164" s="273"/>
      <c r="Z164" s="273"/>
      <c r="AA164" s="273"/>
      <c r="AB164" s="273"/>
      <c r="AC164" s="273"/>
      <c r="AD164" s="272"/>
      <c r="AE164" s="493" t="str">
        <f ca="1">IF('CDO Bespoke'!C189&lt;&gt;"",'CDO Bespoke'!C189,"")</f>
        <v/>
      </c>
      <c r="AF164" s="495"/>
      <c r="AG164" s="583"/>
      <c r="AH164" s="583"/>
      <c r="AI164" s="583"/>
      <c r="AJ164" s="496"/>
      <c r="AK164" s="618"/>
      <c r="AL164" s="495"/>
      <c r="AM164" s="583"/>
      <c r="AN164" s="583"/>
      <c r="AO164" s="583"/>
      <c r="AP164" s="496"/>
      <c r="AQ164" s="618"/>
      <c r="AR164" s="505"/>
      <c r="AS164" s="629"/>
      <c r="AT164" s="618"/>
      <c r="AU164" s="505"/>
      <c r="AV164" s="581"/>
      <c r="AW164" s="618"/>
    </row>
    <row r="165" spans="2:49">
      <c r="B165" s="533" t="s">
        <v>548</v>
      </c>
      <c r="C165" s="534" t="s">
        <v>66</v>
      </c>
      <c r="D165" s="534" t="s">
        <v>59</v>
      </c>
      <c r="E165" s="534" t="s">
        <v>645</v>
      </c>
      <c r="F165" s="534" t="s">
        <v>668</v>
      </c>
      <c r="G165" s="535">
        <v>0.01</v>
      </c>
      <c r="H165" s="535">
        <v>2.843E-3</v>
      </c>
      <c r="I165" s="536">
        <v>0.4</v>
      </c>
      <c r="J165" s="593">
        <v>5</v>
      </c>
      <c r="K165" s="537">
        <v>47</v>
      </c>
      <c r="L165" s="272"/>
      <c r="M165" s="272"/>
      <c r="P165" s="273"/>
      <c r="Q165" s="273"/>
      <c r="R165" s="273"/>
      <c r="S165" s="273"/>
      <c r="T165" s="273"/>
      <c r="U165" s="273"/>
      <c r="V165" s="273"/>
      <c r="W165" s="273"/>
      <c r="X165" s="273"/>
      <c r="Y165" s="273"/>
      <c r="Z165" s="273"/>
      <c r="AA165" s="273"/>
      <c r="AB165" s="273"/>
      <c r="AC165" s="273"/>
      <c r="AD165" s="272"/>
      <c r="AE165" s="493" t="str">
        <f ca="1">IF('CDO Bespoke'!C190&lt;&gt;"",'CDO Bespoke'!C190,"")</f>
        <v/>
      </c>
      <c r="AF165" s="495"/>
      <c r="AG165" s="583"/>
      <c r="AH165" s="583"/>
      <c r="AI165" s="583"/>
      <c r="AJ165" s="496"/>
      <c r="AK165" s="618"/>
      <c r="AL165" s="495"/>
      <c r="AM165" s="583"/>
      <c r="AN165" s="583"/>
      <c r="AO165" s="583"/>
      <c r="AP165" s="496"/>
      <c r="AQ165" s="618"/>
      <c r="AR165" s="505"/>
      <c r="AS165" s="629"/>
      <c r="AT165" s="618"/>
      <c r="AU165" s="505"/>
      <c r="AV165" s="581"/>
      <c r="AW165" s="618"/>
    </row>
    <row r="166" spans="2:49">
      <c r="B166" s="538" t="s">
        <v>563</v>
      </c>
      <c r="C166" s="539" t="s">
        <v>66</v>
      </c>
      <c r="D166" s="539" t="s">
        <v>55</v>
      </c>
      <c r="E166" s="539" t="s">
        <v>647</v>
      </c>
      <c r="F166" s="539" t="s">
        <v>668</v>
      </c>
      <c r="G166" s="540">
        <v>0.01</v>
      </c>
      <c r="H166" s="540">
        <v>4.5620000000000001E-3</v>
      </c>
      <c r="I166" s="541">
        <v>0.4</v>
      </c>
      <c r="J166" s="600">
        <v>5</v>
      </c>
      <c r="K166" s="542">
        <v>48</v>
      </c>
      <c r="L166" s="272"/>
      <c r="M166" s="272"/>
      <c r="P166" s="273"/>
      <c r="Q166" s="273"/>
      <c r="R166" s="273"/>
      <c r="S166" s="273"/>
      <c r="T166" s="273"/>
      <c r="U166" s="273"/>
      <c r="V166" s="273"/>
      <c r="W166" s="273"/>
      <c r="X166" s="273"/>
      <c r="Y166" s="273"/>
      <c r="Z166" s="273"/>
      <c r="AA166" s="273"/>
      <c r="AB166" s="273"/>
      <c r="AC166" s="273"/>
      <c r="AD166" s="272"/>
      <c r="AE166" s="493" t="str">
        <f ca="1">IF('CDO Bespoke'!C191&lt;&gt;"",'CDO Bespoke'!C191,"")</f>
        <v/>
      </c>
      <c r="AF166" s="495"/>
      <c r="AG166" s="583"/>
      <c r="AH166" s="583"/>
      <c r="AI166" s="583"/>
      <c r="AJ166" s="496"/>
      <c r="AK166" s="618"/>
      <c r="AL166" s="495"/>
      <c r="AM166" s="583"/>
      <c r="AN166" s="583"/>
      <c r="AO166" s="583"/>
      <c r="AP166" s="496"/>
      <c r="AQ166" s="618"/>
      <c r="AR166" s="505"/>
      <c r="AS166" s="629"/>
      <c r="AT166" s="618"/>
      <c r="AU166" s="505"/>
      <c r="AV166" s="581"/>
      <c r="AW166" s="618"/>
    </row>
    <row r="167" spans="2:49">
      <c r="B167" s="516" t="s">
        <v>563</v>
      </c>
      <c r="C167" s="517" t="s">
        <v>66</v>
      </c>
      <c r="D167" s="517" t="s">
        <v>57</v>
      </c>
      <c r="E167" s="517" t="s">
        <v>647</v>
      </c>
      <c r="F167" s="517" t="s">
        <v>668</v>
      </c>
      <c r="G167" s="524">
        <v>0.01</v>
      </c>
      <c r="H167" s="524">
        <v>7.5360000000000002E-3</v>
      </c>
      <c r="I167" s="526">
        <v>0.4</v>
      </c>
      <c r="J167" s="592">
        <v>5</v>
      </c>
      <c r="K167" s="518">
        <v>48</v>
      </c>
      <c r="L167" s="272"/>
      <c r="M167" s="272"/>
      <c r="P167" s="273"/>
      <c r="Q167" s="273"/>
      <c r="R167" s="273"/>
      <c r="S167" s="273"/>
      <c r="T167" s="273"/>
      <c r="U167" s="273"/>
      <c r="V167" s="273"/>
      <c r="W167" s="273"/>
      <c r="X167" s="273"/>
      <c r="Y167" s="273"/>
      <c r="Z167" s="273"/>
      <c r="AA167" s="273"/>
      <c r="AB167" s="273"/>
      <c r="AC167" s="273"/>
      <c r="AD167" s="272"/>
      <c r="AE167" s="493" t="str">
        <f ca="1">IF('CDO Bespoke'!C192&lt;&gt;"",'CDO Bespoke'!C192,"")</f>
        <v/>
      </c>
      <c r="AF167" s="495"/>
      <c r="AG167" s="583"/>
      <c r="AH167" s="583"/>
      <c r="AI167" s="583"/>
      <c r="AJ167" s="496"/>
      <c r="AK167" s="618"/>
      <c r="AL167" s="495"/>
      <c r="AM167" s="583"/>
      <c r="AN167" s="583"/>
      <c r="AO167" s="583"/>
      <c r="AP167" s="496"/>
      <c r="AQ167" s="618"/>
      <c r="AR167" s="505"/>
      <c r="AS167" s="629"/>
      <c r="AT167" s="618"/>
      <c r="AU167" s="505"/>
      <c r="AV167" s="581"/>
      <c r="AW167" s="618"/>
    </row>
    <row r="168" spans="2:49">
      <c r="B168" s="533" t="s">
        <v>563</v>
      </c>
      <c r="C168" s="534" t="s">
        <v>66</v>
      </c>
      <c r="D168" s="534" t="s">
        <v>59</v>
      </c>
      <c r="E168" s="534" t="s">
        <v>647</v>
      </c>
      <c r="F168" s="534" t="s">
        <v>668</v>
      </c>
      <c r="G168" s="535">
        <v>0.01</v>
      </c>
      <c r="H168" s="535">
        <v>1.0989000000000001E-2</v>
      </c>
      <c r="I168" s="536">
        <v>0.4</v>
      </c>
      <c r="J168" s="593">
        <v>5</v>
      </c>
      <c r="K168" s="537">
        <v>48</v>
      </c>
      <c r="L168" s="272"/>
      <c r="M168" s="272"/>
      <c r="P168" s="273"/>
      <c r="Q168" s="273"/>
      <c r="R168" s="273"/>
      <c r="S168" s="273"/>
      <c r="T168" s="273"/>
      <c r="U168" s="273"/>
      <c r="V168" s="273"/>
      <c r="W168" s="273"/>
      <c r="X168" s="273"/>
      <c r="Y168" s="273"/>
      <c r="Z168" s="273"/>
      <c r="AA168" s="273"/>
      <c r="AB168" s="273"/>
      <c r="AC168" s="273"/>
      <c r="AD168" s="272"/>
      <c r="AE168" s="493" t="str">
        <f ca="1">IF('CDO Bespoke'!C193&lt;&gt;"",'CDO Bespoke'!C193,"")</f>
        <v/>
      </c>
      <c r="AF168" s="495"/>
      <c r="AG168" s="583"/>
      <c r="AH168" s="583"/>
      <c r="AI168" s="583"/>
      <c r="AJ168" s="496"/>
      <c r="AK168" s="618"/>
      <c r="AL168" s="495"/>
      <c r="AM168" s="583"/>
      <c r="AN168" s="583"/>
      <c r="AO168" s="583"/>
      <c r="AP168" s="496"/>
      <c r="AQ168" s="618"/>
      <c r="AR168" s="505"/>
      <c r="AS168" s="629"/>
      <c r="AT168" s="618"/>
      <c r="AU168" s="505"/>
      <c r="AV168" s="581"/>
      <c r="AW168" s="618"/>
    </row>
    <row r="169" spans="2:49">
      <c r="B169" s="538" t="s">
        <v>549</v>
      </c>
      <c r="C169" s="539" t="s">
        <v>66</v>
      </c>
      <c r="D169" s="539" t="s">
        <v>55</v>
      </c>
      <c r="E169" s="539" t="s">
        <v>645</v>
      </c>
      <c r="F169" s="539" t="s">
        <v>668</v>
      </c>
      <c r="G169" s="540">
        <v>0.01</v>
      </c>
      <c r="H169" s="540">
        <v>2.6589999999999999E-3</v>
      </c>
      <c r="I169" s="541">
        <v>0.4</v>
      </c>
      <c r="J169" s="600">
        <v>5</v>
      </c>
      <c r="K169" s="542">
        <v>49</v>
      </c>
      <c r="L169" s="272"/>
      <c r="M169" s="272"/>
      <c r="P169" s="273"/>
      <c r="Q169" s="273"/>
      <c r="R169" s="273"/>
      <c r="S169" s="273"/>
      <c r="T169" s="273"/>
      <c r="U169" s="273"/>
      <c r="V169" s="273"/>
      <c r="W169" s="273"/>
      <c r="X169" s="273"/>
      <c r="Y169" s="273"/>
      <c r="Z169" s="273"/>
      <c r="AA169" s="273"/>
      <c r="AB169" s="273"/>
      <c r="AC169" s="273"/>
      <c r="AD169" s="272"/>
      <c r="AE169" s="493" t="str">
        <f ca="1">IF('CDO Bespoke'!C194&lt;&gt;"",'CDO Bespoke'!C194,"")</f>
        <v/>
      </c>
      <c r="AF169" s="495"/>
      <c r="AG169" s="583"/>
      <c r="AH169" s="583"/>
      <c r="AI169" s="583"/>
      <c r="AJ169" s="496"/>
      <c r="AK169" s="618"/>
      <c r="AL169" s="495"/>
      <c r="AM169" s="583"/>
      <c r="AN169" s="583"/>
      <c r="AO169" s="583"/>
      <c r="AP169" s="496"/>
      <c r="AQ169" s="618"/>
      <c r="AR169" s="505"/>
      <c r="AS169" s="629"/>
      <c r="AT169" s="618"/>
      <c r="AU169" s="505"/>
      <c r="AV169" s="581"/>
      <c r="AW169" s="618"/>
    </row>
    <row r="170" spans="2:49">
      <c r="B170" s="516" t="s">
        <v>549</v>
      </c>
      <c r="C170" s="517" t="s">
        <v>66</v>
      </c>
      <c r="D170" s="517" t="s">
        <v>57</v>
      </c>
      <c r="E170" s="517" t="s">
        <v>645</v>
      </c>
      <c r="F170" s="517" t="s">
        <v>668</v>
      </c>
      <c r="G170" s="524">
        <v>0.01</v>
      </c>
      <c r="H170" s="524">
        <v>4.2420000000000001E-3</v>
      </c>
      <c r="I170" s="526">
        <v>0.4</v>
      </c>
      <c r="J170" s="592">
        <v>5</v>
      </c>
      <c r="K170" s="518">
        <v>49</v>
      </c>
      <c r="L170" s="272"/>
      <c r="M170" s="272"/>
      <c r="P170" s="273"/>
      <c r="Q170" s="273"/>
      <c r="R170" s="273"/>
      <c r="S170" s="273"/>
      <c r="T170" s="273"/>
      <c r="U170" s="273"/>
      <c r="V170" s="273"/>
      <c r="W170" s="273"/>
      <c r="X170" s="273"/>
      <c r="Y170" s="273"/>
      <c r="Z170" s="273"/>
      <c r="AA170" s="273"/>
      <c r="AB170" s="273"/>
      <c r="AC170" s="273"/>
      <c r="AD170" s="272"/>
      <c r="AE170" s="493" t="str">
        <f ca="1">IF('CDO Bespoke'!C195&lt;&gt;"",'CDO Bespoke'!C195,"")</f>
        <v/>
      </c>
      <c r="AF170" s="495"/>
      <c r="AG170" s="583"/>
      <c r="AH170" s="583"/>
      <c r="AI170" s="583"/>
      <c r="AJ170" s="496"/>
      <c r="AK170" s="618"/>
      <c r="AL170" s="495"/>
      <c r="AM170" s="583"/>
      <c r="AN170" s="583"/>
      <c r="AO170" s="583"/>
      <c r="AP170" s="496"/>
      <c r="AQ170" s="618"/>
      <c r="AR170" s="505"/>
      <c r="AS170" s="629"/>
      <c r="AT170" s="618"/>
      <c r="AU170" s="505"/>
      <c r="AV170" s="581"/>
      <c r="AW170" s="618"/>
    </row>
    <row r="171" spans="2:49">
      <c r="B171" s="533" t="s">
        <v>549</v>
      </c>
      <c r="C171" s="534" t="s">
        <v>66</v>
      </c>
      <c r="D171" s="534" t="s">
        <v>59</v>
      </c>
      <c r="E171" s="534" t="s">
        <v>645</v>
      </c>
      <c r="F171" s="534" t="s">
        <v>668</v>
      </c>
      <c r="G171" s="535">
        <v>0.01</v>
      </c>
      <c r="H171" s="535">
        <v>5.659E-3</v>
      </c>
      <c r="I171" s="536">
        <v>0.4</v>
      </c>
      <c r="J171" s="593">
        <v>5</v>
      </c>
      <c r="K171" s="537">
        <v>49</v>
      </c>
      <c r="L171" s="272"/>
      <c r="M171" s="272"/>
      <c r="P171" s="273"/>
      <c r="Q171" s="273"/>
      <c r="R171" s="273"/>
      <c r="S171" s="273"/>
      <c r="T171" s="273"/>
      <c r="U171" s="273"/>
      <c r="V171" s="273"/>
      <c r="W171" s="273"/>
      <c r="X171" s="273"/>
      <c r="Y171" s="273"/>
      <c r="Z171" s="273"/>
      <c r="AA171" s="273"/>
      <c r="AB171" s="273"/>
      <c r="AC171" s="273"/>
      <c r="AD171" s="272"/>
      <c r="AE171" s="493" t="str">
        <f ca="1">IF('CDO Bespoke'!C196&lt;&gt;"",'CDO Bespoke'!C196,"")</f>
        <v/>
      </c>
      <c r="AF171" s="495"/>
      <c r="AG171" s="583"/>
      <c r="AH171" s="583"/>
      <c r="AI171" s="583"/>
      <c r="AJ171" s="496"/>
      <c r="AK171" s="618"/>
      <c r="AL171" s="495"/>
      <c r="AM171" s="583"/>
      <c r="AN171" s="583"/>
      <c r="AO171" s="583"/>
      <c r="AP171" s="496"/>
      <c r="AQ171" s="618"/>
      <c r="AR171" s="505"/>
      <c r="AS171" s="629"/>
      <c r="AT171" s="618"/>
      <c r="AU171" s="505"/>
      <c r="AV171" s="581"/>
      <c r="AW171" s="618"/>
    </row>
    <row r="172" spans="2:49">
      <c r="B172" s="538" t="s">
        <v>550</v>
      </c>
      <c r="C172" s="539" t="s">
        <v>66</v>
      </c>
      <c r="D172" s="539" t="s">
        <v>55</v>
      </c>
      <c r="E172" s="539" t="s">
        <v>647</v>
      </c>
      <c r="F172" s="539" t="s">
        <v>668</v>
      </c>
      <c r="G172" s="540">
        <v>0.01</v>
      </c>
      <c r="H172" s="540">
        <v>1.866E-3</v>
      </c>
      <c r="I172" s="541">
        <v>0.4</v>
      </c>
      <c r="J172" s="600">
        <v>5</v>
      </c>
      <c r="K172" s="542">
        <v>50</v>
      </c>
      <c r="L172" s="272"/>
      <c r="M172" s="272"/>
      <c r="P172" s="273"/>
      <c r="Q172" s="273"/>
      <c r="R172" s="273"/>
      <c r="S172" s="273"/>
      <c r="T172" s="273"/>
      <c r="U172" s="273"/>
      <c r="V172" s="273"/>
      <c r="W172" s="273"/>
      <c r="X172" s="273"/>
      <c r="Y172" s="273"/>
      <c r="Z172" s="273"/>
      <c r="AA172" s="273"/>
      <c r="AB172" s="273"/>
      <c r="AC172" s="273"/>
      <c r="AD172" s="272"/>
      <c r="AE172" s="493" t="str">
        <f ca="1">IF('CDO Bespoke'!C197&lt;&gt;"",'CDO Bespoke'!C197,"")</f>
        <v/>
      </c>
      <c r="AF172" s="495"/>
      <c r="AG172" s="583"/>
      <c r="AH172" s="583"/>
      <c r="AI172" s="583"/>
      <c r="AJ172" s="496"/>
      <c r="AK172" s="618"/>
      <c r="AL172" s="495"/>
      <c r="AM172" s="583"/>
      <c r="AN172" s="583"/>
      <c r="AO172" s="583"/>
      <c r="AP172" s="496"/>
      <c r="AQ172" s="618"/>
      <c r="AR172" s="505"/>
      <c r="AS172" s="629"/>
      <c r="AT172" s="618"/>
      <c r="AU172" s="505"/>
      <c r="AV172" s="581"/>
      <c r="AW172" s="618"/>
    </row>
    <row r="173" spans="2:49">
      <c r="B173" s="516" t="s">
        <v>550</v>
      </c>
      <c r="C173" s="517" t="s">
        <v>66</v>
      </c>
      <c r="D173" s="517" t="s">
        <v>57</v>
      </c>
      <c r="E173" s="517" t="s">
        <v>647</v>
      </c>
      <c r="F173" s="517" t="s">
        <v>668</v>
      </c>
      <c r="G173" s="524">
        <v>0.01</v>
      </c>
      <c r="H173" s="524">
        <v>3.0259999999999999E-2</v>
      </c>
      <c r="I173" s="526">
        <v>0.4</v>
      </c>
      <c r="J173" s="592">
        <v>5</v>
      </c>
      <c r="K173" s="518">
        <v>50</v>
      </c>
      <c r="L173" s="272"/>
      <c r="M173" s="272"/>
      <c r="P173" s="273"/>
      <c r="Q173" s="273"/>
      <c r="R173" s="273"/>
      <c r="S173" s="273"/>
      <c r="T173" s="273"/>
      <c r="U173" s="273"/>
      <c r="V173" s="273"/>
      <c r="W173" s="273"/>
      <c r="X173" s="273"/>
      <c r="Y173" s="273"/>
      <c r="Z173" s="273"/>
      <c r="AA173" s="273"/>
      <c r="AB173" s="273"/>
      <c r="AC173" s="273"/>
      <c r="AD173" s="272"/>
      <c r="AE173" s="493" t="str">
        <f ca="1">IF('CDO Bespoke'!C198&lt;&gt;"",'CDO Bespoke'!C198,"")</f>
        <v/>
      </c>
      <c r="AF173" s="495"/>
      <c r="AG173" s="583"/>
      <c r="AH173" s="583"/>
      <c r="AI173" s="583"/>
      <c r="AJ173" s="496"/>
      <c r="AK173" s="618"/>
      <c r="AL173" s="495"/>
      <c r="AM173" s="583"/>
      <c r="AN173" s="583"/>
      <c r="AO173" s="583"/>
      <c r="AP173" s="496"/>
      <c r="AQ173" s="618"/>
      <c r="AR173" s="505"/>
      <c r="AS173" s="629"/>
      <c r="AT173" s="618"/>
      <c r="AU173" s="505"/>
      <c r="AV173" s="581"/>
      <c r="AW173" s="618"/>
    </row>
    <row r="174" spans="2:49">
      <c r="B174" s="533" t="s">
        <v>550</v>
      </c>
      <c r="C174" s="534" t="s">
        <v>66</v>
      </c>
      <c r="D174" s="534" t="s">
        <v>59</v>
      </c>
      <c r="E174" s="534" t="s">
        <v>647</v>
      </c>
      <c r="F174" s="534" t="s">
        <v>668</v>
      </c>
      <c r="G174" s="535">
        <v>0.01</v>
      </c>
      <c r="H174" s="535">
        <v>4.2849999999999997E-3</v>
      </c>
      <c r="I174" s="536">
        <v>0.4</v>
      </c>
      <c r="J174" s="593">
        <v>5</v>
      </c>
      <c r="K174" s="537">
        <v>50</v>
      </c>
      <c r="L174" s="272"/>
      <c r="M174" s="272"/>
      <c r="P174" s="273"/>
      <c r="Q174" s="273"/>
      <c r="R174" s="273"/>
      <c r="S174" s="273"/>
      <c r="T174" s="273"/>
      <c r="U174" s="273"/>
      <c r="V174" s="273"/>
      <c r="W174" s="273"/>
      <c r="X174" s="273"/>
      <c r="Y174" s="273"/>
      <c r="Z174" s="273"/>
      <c r="AA174" s="273"/>
      <c r="AB174" s="273"/>
      <c r="AC174" s="273"/>
      <c r="AD174" s="272"/>
      <c r="AE174" s="493" t="str">
        <f ca="1">IF('CDO Bespoke'!C199&lt;&gt;"",'CDO Bespoke'!C199,"")</f>
        <v/>
      </c>
      <c r="AF174" s="495"/>
      <c r="AG174" s="583"/>
      <c r="AH174" s="583"/>
      <c r="AI174" s="583"/>
      <c r="AJ174" s="496"/>
      <c r="AK174" s="618"/>
      <c r="AL174" s="495"/>
      <c r="AM174" s="583"/>
      <c r="AN174" s="583"/>
      <c r="AO174" s="583"/>
      <c r="AP174" s="496"/>
      <c r="AQ174" s="618"/>
      <c r="AR174" s="505"/>
      <c r="AS174" s="629"/>
      <c r="AT174" s="618"/>
      <c r="AU174" s="505"/>
      <c r="AV174" s="581"/>
      <c r="AW174" s="618"/>
    </row>
    <row r="175" spans="2:49">
      <c r="B175" s="538" t="s">
        <v>551</v>
      </c>
      <c r="C175" s="539" t="s">
        <v>66</v>
      </c>
      <c r="D175" s="539" t="s">
        <v>55</v>
      </c>
      <c r="E175" s="539" t="s">
        <v>647</v>
      </c>
      <c r="F175" s="539" t="s">
        <v>668</v>
      </c>
      <c r="G175" s="540">
        <v>0.01</v>
      </c>
      <c r="H175" s="540">
        <v>3.153E-3</v>
      </c>
      <c r="I175" s="541">
        <v>0.4</v>
      </c>
      <c r="J175" s="600">
        <v>5</v>
      </c>
      <c r="K175" s="542">
        <v>51</v>
      </c>
      <c r="L175" s="272"/>
      <c r="M175" s="272"/>
      <c r="P175" s="273"/>
      <c r="Q175" s="273"/>
      <c r="R175" s="273"/>
      <c r="S175" s="273"/>
      <c r="T175" s="273"/>
      <c r="U175" s="273"/>
      <c r="V175" s="273"/>
      <c r="W175" s="273"/>
      <c r="X175" s="273"/>
      <c r="Y175" s="273"/>
      <c r="Z175" s="273"/>
      <c r="AA175" s="273"/>
      <c r="AB175" s="273"/>
      <c r="AC175" s="273"/>
      <c r="AD175" s="272"/>
      <c r="AE175" s="493" t="str">
        <f ca="1">IF('CDO Bespoke'!C200&lt;&gt;"",'CDO Bespoke'!C200,"")</f>
        <v/>
      </c>
      <c r="AF175" s="495"/>
      <c r="AG175" s="583"/>
      <c r="AH175" s="583"/>
      <c r="AI175" s="583"/>
      <c r="AJ175" s="496"/>
      <c r="AK175" s="618"/>
      <c r="AL175" s="495"/>
      <c r="AM175" s="583"/>
      <c r="AN175" s="583"/>
      <c r="AO175" s="583"/>
      <c r="AP175" s="496"/>
      <c r="AQ175" s="618"/>
      <c r="AR175" s="505"/>
      <c r="AS175" s="629"/>
      <c r="AT175" s="618"/>
      <c r="AU175" s="505"/>
      <c r="AV175" s="581"/>
      <c r="AW175" s="618"/>
    </row>
    <row r="176" spans="2:49">
      <c r="B176" s="516" t="s">
        <v>551</v>
      </c>
      <c r="C176" s="517" t="s">
        <v>66</v>
      </c>
      <c r="D176" s="517" t="s">
        <v>57</v>
      </c>
      <c r="E176" s="517" t="s">
        <v>647</v>
      </c>
      <c r="F176" s="517" t="s">
        <v>668</v>
      </c>
      <c r="G176" s="524">
        <v>0.01</v>
      </c>
      <c r="H176" s="524">
        <v>4.9170000000000004E-3</v>
      </c>
      <c r="I176" s="526">
        <v>0.4</v>
      </c>
      <c r="J176" s="592">
        <v>5</v>
      </c>
      <c r="K176" s="518">
        <v>51</v>
      </c>
      <c r="L176" s="272"/>
      <c r="M176" s="272"/>
      <c r="P176" s="273"/>
      <c r="Q176" s="273"/>
      <c r="R176" s="273"/>
      <c r="S176" s="273"/>
      <c r="T176" s="273"/>
      <c r="U176" s="273"/>
      <c r="V176" s="273"/>
      <c r="W176" s="273"/>
      <c r="X176" s="273"/>
      <c r="Y176" s="273"/>
      <c r="Z176" s="273"/>
      <c r="AA176" s="273"/>
      <c r="AB176" s="273"/>
      <c r="AC176" s="273"/>
      <c r="AD176" s="272"/>
      <c r="AE176" s="493" t="str">
        <f ca="1">IF('CDO Bespoke'!C201&lt;&gt;"",'CDO Bespoke'!C201,"")</f>
        <v/>
      </c>
      <c r="AF176" s="495"/>
      <c r="AG176" s="583"/>
      <c r="AH176" s="583"/>
      <c r="AI176" s="583"/>
      <c r="AJ176" s="496"/>
      <c r="AK176" s="618"/>
      <c r="AL176" s="495"/>
      <c r="AM176" s="583"/>
      <c r="AN176" s="583"/>
      <c r="AO176" s="583"/>
      <c r="AP176" s="496"/>
      <c r="AQ176" s="618"/>
      <c r="AR176" s="505"/>
      <c r="AS176" s="629"/>
      <c r="AT176" s="618"/>
      <c r="AU176" s="505"/>
      <c r="AV176" s="581"/>
      <c r="AW176" s="618"/>
    </row>
    <row r="177" spans="2:49">
      <c r="B177" s="533" t="s">
        <v>551</v>
      </c>
      <c r="C177" s="534" t="s">
        <v>66</v>
      </c>
      <c r="D177" s="534" t="s">
        <v>59</v>
      </c>
      <c r="E177" s="534" t="s">
        <v>647</v>
      </c>
      <c r="F177" s="534" t="s">
        <v>668</v>
      </c>
      <c r="G177" s="535">
        <v>0.01</v>
      </c>
      <c r="H177" s="535">
        <v>6.8279999999999999E-3</v>
      </c>
      <c r="I177" s="536">
        <v>0.4</v>
      </c>
      <c r="J177" s="593">
        <v>5</v>
      </c>
      <c r="K177" s="537">
        <v>51</v>
      </c>
      <c r="L177" s="272"/>
      <c r="M177" s="272"/>
      <c r="P177" s="273"/>
      <c r="Q177" s="273"/>
      <c r="R177" s="273"/>
      <c r="S177" s="273"/>
      <c r="T177" s="273"/>
      <c r="U177" s="273"/>
      <c r="V177" s="273"/>
      <c r="W177" s="273"/>
      <c r="X177" s="273"/>
      <c r="Y177" s="273"/>
      <c r="Z177" s="273"/>
      <c r="AA177" s="273"/>
      <c r="AB177" s="273"/>
      <c r="AC177" s="273"/>
      <c r="AD177" s="272"/>
      <c r="AE177" s="493" t="str">
        <f ca="1">IF('CDO Bespoke'!C202&lt;&gt;"",'CDO Bespoke'!C202,"")</f>
        <v/>
      </c>
      <c r="AF177" s="495"/>
      <c r="AG177" s="583"/>
      <c r="AH177" s="583"/>
      <c r="AI177" s="583"/>
      <c r="AJ177" s="496"/>
      <c r="AK177" s="618"/>
      <c r="AL177" s="495"/>
      <c r="AM177" s="583"/>
      <c r="AN177" s="583"/>
      <c r="AO177" s="583"/>
      <c r="AP177" s="496"/>
      <c r="AQ177" s="618"/>
      <c r="AR177" s="505"/>
      <c r="AS177" s="629"/>
      <c r="AT177" s="618"/>
      <c r="AU177" s="505"/>
      <c r="AV177" s="581"/>
      <c r="AW177" s="618"/>
    </row>
    <row r="178" spans="2:49">
      <c r="B178" s="538" t="s">
        <v>552</v>
      </c>
      <c r="C178" s="539" t="s">
        <v>66</v>
      </c>
      <c r="D178" s="539" t="s">
        <v>55</v>
      </c>
      <c r="E178" s="539" t="s">
        <v>647</v>
      </c>
      <c r="F178" s="539" t="s">
        <v>668</v>
      </c>
      <c r="G178" s="540">
        <v>0.01</v>
      </c>
      <c r="H178" s="540">
        <v>6.7999999999999996E-3</v>
      </c>
      <c r="I178" s="541">
        <v>0.4</v>
      </c>
      <c r="J178" s="600">
        <v>5</v>
      </c>
      <c r="K178" s="542">
        <v>52</v>
      </c>
      <c r="L178" s="272"/>
      <c r="M178" s="272"/>
      <c r="P178" s="273"/>
      <c r="Q178" s="273"/>
      <c r="R178" s="273"/>
      <c r="S178" s="273"/>
      <c r="T178" s="273"/>
      <c r="U178" s="273"/>
      <c r="V178" s="273"/>
      <c r="W178" s="273"/>
      <c r="X178" s="273"/>
      <c r="Y178" s="273"/>
      <c r="Z178" s="273"/>
      <c r="AA178" s="273"/>
      <c r="AB178" s="273"/>
      <c r="AC178" s="273"/>
      <c r="AD178" s="272"/>
      <c r="AE178" s="493" t="str">
        <f ca="1">IF('CDO Bespoke'!C203&lt;&gt;"",'CDO Bespoke'!C203,"")</f>
        <v/>
      </c>
      <c r="AF178" s="495"/>
      <c r="AG178" s="583"/>
      <c r="AH178" s="583"/>
      <c r="AI178" s="583"/>
      <c r="AJ178" s="496"/>
      <c r="AK178" s="618"/>
      <c r="AL178" s="495"/>
      <c r="AM178" s="583"/>
      <c r="AN178" s="583"/>
      <c r="AO178" s="583"/>
      <c r="AP178" s="496"/>
      <c r="AQ178" s="618"/>
      <c r="AR178" s="505"/>
      <c r="AS178" s="629"/>
      <c r="AT178" s="618"/>
      <c r="AU178" s="505"/>
      <c r="AV178" s="581"/>
      <c r="AW178" s="618"/>
    </row>
    <row r="179" spans="2:49">
      <c r="B179" s="516" t="s">
        <v>552</v>
      </c>
      <c r="C179" s="517" t="s">
        <v>66</v>
      </c>
      <c r="D179" s="517" t="s">
        <v>57</v>
      </c>
      <c r="E179" s="517" t="s">
        <v>647</v>
      </c>
      <c r="F179" s="517" t="s">
        <v>668</v>
      </c>
      <c r="G179" s="524">
        <v>0.01</v>
      </c>
      <c r="H179" s="524">
        <v>1.1743E-2</v>
      </c>
      <c r="I179" s="526">
        <v>0.4</v>
      </c>
      <c r="J179" s="592">
        <v>5</v>
      </c>
      <c r="K179" s="518">
        <v>52</v>
      </c>
      <c r="L179" s="272"/>
      <c r="M179" s="272"/>
      <c r="P179" s="273"/>
      <c r="Q179" s="273"/>
      <c r="R179" s="273"/>
      <c r="S179" s="273"/>
      <c r="T179" s="273"/>
      <c r="U179" s="273"/>
      <c r="V179" s="273"/>
      <c r="W179" s="273"/>
      <c r="X179" s="273"/>
      <c r="Y179" s="273"/>
      <c r="Z179" s="273"/>
      <c r="AA179" s="273"/>
      <c r="AB179" s="273"/>
      <c r="AC179" s="273"/>
      <c r="AD179" s="272"/>
      <c r="AE179" s="493" t="str">
        <f ca="1">IF('CDO Bespoke'!C204&lt;&gt;"",'CDO Bespoke'!C204,"")</f>
        <v/>
      </c>
      <c r="AF179" s="495"/>
      <c r="AG179" s="583"/>
      <c r="AH179" s="583"/>
      <c r="AI179" s="583"/>
      <c r="AJ179" s="496"/>
      <c r="AK179" s="618"/>
      <c r="AL179" s="495"/>
      <c r="AM179" s="583"/>
      <c r="AN179" s="583"/>
      <c r="AO179" s="583"/>
      <c r="AP179" s="496"/>
      <c r="AQ179" s="618"/>
      <c r="AR179" s="505"/>
      <c r="AS179" s="629"/>
      <c r="AT179" s="618"/>
      <c r="AU179" s="505"/>
      <c r="AV179" s="581"/>
      <c r="AW179" s="618"/>
    </row>
    <row r="180" spans="2:49">
      <c r="B180" s="533" t="s">
        <v>552</v>
      </c>
      <c r="C180" s="534" t="s">
        <v>66</v>
      </c>
      <c r="D180" s="534" t="s">
        <v>59</v>
      </c>
      <c r="E180" s="534" t="s">
        <v>647</v>
      </c>
      <c r="F180" s="534" t="s">
        <v>668</v>
      </c>
      <c r="G180" s="535">
        <v>0.01</v>
      </c>
      <c r="H180" s="535">
        <v>1.5325E-2</v>
      </c>
      <c r="I180" s="536">
        <v>0.4</v>
      </c>
      <c r="J180" s="593">
        <v>5</v>
      </c>
      <c r="K180" s="537">
        <v>52</v>
      </c>
      <c r="L180" s="272"/>
      <c r="M180" s="272"/>
      <c r="P180" s="273"/>
      <c r="Q180" s="273"/>
      <c r="R180" s="273"/>
      <c r="S180" s="273"/>
      <c r="T180" s="273"/>
      <c r="U180" s="273"/>
      <c r="V180" s="273"/>
      <c r="W180" s="273"/>
      <c r="X180" s="273"/>
      <c r="Y180" s="273"/>
      <c r="Z180" s="273"/>
      <c r="AA180" s="273"/>
      <c r="AB180" s="273"/>
      <c r="AC180" s="273"/>
      <c r="AD180" s="272"/>
      <c r="AE180" s="493" t="str">
        <f ca="1">IF('CDO Bespoke'!C205&lt;&gt;"",'CDO Bespoke'!C205,"")</f>
        <v/>
      </c>
      <c r="AF180" s="495"/>
      <c r="AG180" s="583"/>
      <c r="AH180" s="583"/>
      <c r="AI180" s="583"/>
      <c r="AJ180" s="496"/>
      <c r="AK180" s="618"/>
      <c r="AL180" s="495"/>
      <c r="AM180" s="583"/>
      <c r="AN180" s="583"/>
      <c r="AO180" s="583"/>
      <c r="AP180" s="496"/>
      <c r="AQ180" s="618"/>
      <c r="AR180" s="505"/>
      <c r="AS180" s="629"/>
      <c r="AT180" s="618"/>
      <c r="AU180" s="505"/>
      <c r="AV180" s="581"/>
      <c r="AW180" s="618"/>
    </row>
    <row r="181" spans="2:49">
      <c r="B181" s="538" t="s">
        <v>553</v>
      </c>
      <c r="C181" s="539" t="s">
        <v>66</v>
      </c>
      <c r="D181" s="539" t="s">
        <v>55</v>
      </c>
      <c r="E181" s="539" t="s">
        <v>649</v>
      </c>
      <c r="F181" s="539" t="s">
        <v>668</v>
      </c>
      <c r="G181" s="540">
        <v>0.01</v>
      </c>
      <c r="H181" s="540">
        <v>1.8079999999999999E-3</v>
      </c>
      <c r="I181" s="541">
        <v>0.4</v>
      </c>
      <c r="J181" s="600">
        <v>5</v>
      </c>
      <c r="K181" s="542">
        <v>53</v>
      </c>
      <c r="L181" s="272"/>
      <c r="M181" s="272"/>
      <c r="P181" s="273"/>
      <c r="Q181" s="273"/>
      <c r="R181" s="273"/>
      <c r="S181" s="273"/>
      <c r="T181" s="273"/>
      <c r="U181" s="273"/>
      <c r="V181" s="273"/>
      <c r="W181" s="273"/>
      <c r="X181" s="273"/>
      <c r="Y181" s="273"/>
      <c r="Z181" s="273"/>
      <c r="AA181" s="273"/>
      <c r="AB181" s="273"/>
      <c r="AC181" s="273"/>
      <c r="AD181" s="272"/>
      <c r="AE181" s="493" t="str">
        <f ca="1">IF('CDO Bespoke'!C206&lt;&gt;"",'CDO Bespoke'!C206,"")</f>
        <v/>
      </c>
      <c r="AF181" s="495"/>
      <c r="AG181" s="583"/>
      <c r="AH181" s="583"/>
      <c r="AI181" s="583"/>
      <c r="AJ181" s="496"/>
      <c r="AK181" s="618"/>
      <c r="AL181" s="495"/>
      <c r="AM181" s="583"/>
      <c r="AN181" s="583"/>
      <c r="AO181" s="583"/>
      <c r="AP181" s="496"/>
      <c r="AQ181" s="618"/>
      <c r="AR181" s="505"/>
      <c r="AS181" s="629"/>
      <c r="AT181" s="618"/>
      <c r="AU181" s="505"/>
      <c r="AV181" s="581"/>
      <c r="AW181" s="618"/>
    </row>
    <row r="182" spans="2:49">
      <c r="B182" s="516" t="s">
        <v>553</v>
      </c>
      <c r="C182" s="517" t="s">
        <v>66</v>
      </c>
      <c r="D182" s="517" t="s">
        <v>57</v>
      </c>
      <c r="E182" s="517" t="s">
        <v>649</v>
      </c>
      <c r="F182" s="517" t="s">
        <v>668</v>
      </c>
      <c r="G182" s="524">
        <v>0.01</v>
      </c>
      <c r="H182" s="524">
        <v>3.0379999999999999E-3</v>
      </c>
      <c r="I182" s="526">
        <v>0.4</v>
      </c>
      <c r="J182" s="592">
        <v>5</v>
      </c>
      <c r="K182" s="518">
        <v>53</v>
      </c>
      <c r="L182" s="272"/>
      <c r="M182" s="272"/>
      <c r="P182" s="273"/>
      <c r="Q182" s="273"/>
      <c r="R182" s="273"/>
      <c r="S182" s="273"/>
      <c r="T182" s="273"/>
      <c r="U182" s="273"/>
      <c r="V182" s="273"/>
      <c r="W182" s="273"/>
      <c r="X182" s="273"/>
      <c r="Y182" s="273"/>
      <c r="Z182" s="273"/>
      <c r="AA182" s="273"/>
      <c r="AB182" s="273"/>
      <c r="AC182" s="273"/>
      <c r="AD182" s="272"/>
      <c r="AE182" s="493" t="str">
        <f ca="1">IF('CDO Bespoke'!C207&lt;&gt;"",'CDO Bespoke'!C207,"")</f>
        <v/>
      </c>
      <c r="AF182" s="495"/>
      <c r="AG182" s="583"/>
      <c r="AH182" s="583"/>
      <c r="AI182" s="583"/>
      <c r="AJ182" s="496"/>
      <c r="AK182" s="618"/>
      <c r="AL182" s="495"/>
      <c r="AM182" s="583"/>
      <c r="AN182" s="583"/>
      <c r="AO182" s="583"/>
      <c r="AP182" s="496"/>
      <c r="AQ182" s="618"/>
      <c r="AR182" s="505"/>
      <c r="AS182" s="629"/>
      <c r="AT182" s="618"/>
      <c r="AU182" s="505"/>
      <c r="AV182" s="581"/>
      <c r="AW182" s="618"/>
    </row>
    <row r="183" spans="2:49">
      <c r="B183" s="533" t="s">
        <v>553</v>
      </c>
      <c r="C183" s="534" t="s">
        <v>66</v>
      </c>
      <c r="D183" s="534" t="s">
        <v>59</v>
      </c>
      <c r="E183" s="534" t="s">
        <v>649</v>
      </c>
      <c r="F183" s="534" t="s">
        <v>668</v>
      </c>
      <c r="G183" s="535">
        <v>0.01</v>
      </c>
      <c r="H183" s="535">
        <v>4.2700000000000004E-3</v>
      </c>
      <c r="I183" s="536">
        <v>0.4</v>
      </c>
      <c r="J183" s="593">
        <v>5</v>
      </c>
      <c r="K183" s="537">
        <v>53</v>
      </c>
      <c r="L183" s="272"/>
      <c r="M183" s="272"/>
      <c r="P183" s="273"/>
      <c r="Q183" s="273"/>
      <c r="R183" s="273"/>
      <c r="S183" s="273"/>
      <c r="T183" s="273"/>
      <c r="U183" s="273"/>
      <c r="V183" s="273"/>
      <c r="W183" s="273"/>
      <c r="X183" s="273"/>
      <c r="Y183" s="273"/>
      <c r="Z183" s="273"/>
      <c r="AA183" s="273"/>
      <c r="AB183" s="273"/>
      <c r="AC183" s="273"/>
      <c r="AD183" s="272"/>
      <c r="AE183" s="493" t="str">
        <f ca="1">IF('CDO Bespoke'!C208&lt;&gt;"",'CDO Bespoke'!C208,"")</f>
        <v/>
      </c>
      <c r="AF183" s="495"/>
      <c r="AG183" s="583"/>
      <c r="AH183" s="583"/>
      <c r="AI183" s="583"/>
      <c r="AJ183" s="496"/>
      <c r="AK183" s="618"/>
      <c r="AL183" s="495"/>
      <c r="AM183" s="583"/>
      <c r="AN183" s="583"/>
      <c r="AO183" s="583"/>
      <c r="AP183" s="496"/>
      <c r="AQ183" s="618"/>
      <c r="AR183" s="505"/>
      <c r="AS183" s="629"/>
      <c r="AT183" s="618"/>
      <c r="AU183" s="505"/>
      <c r="AV183" s="581"/>
      <c r="AW183" s="618"/>
    </row>
    <row r="184" spans="2:49">
      <c r="B184" s="538" t="s">
        <v>554</v>
      </c>
      <c r="C184" s="539" t="s">
        <v>66</v>
      </c>
      <c r="D184" s="539" t="s">
        <v>55</v>
      </c>
      <c r="E184" s="539" t="s">
        <v>649</v>
      </c>
      <c r="F184" s="539" t="s">
        <v>668</v>
      </c>
      <c r="G184" s="540">
        <v>0.01</v>
      </c>
      <c r="H184" s="540">
        <v>1.957E-3</v>
      </c>
      <c r="I184" s="541">
        <v>0.4</v>
      </c>
      <c r="J184" s="600">
        <v>5</v>
      </c>
      <c r="K184" s="542">
        <v>54</v>
      </c>
      <c r="L184" s="272"/>
      <c r="M184" s="272"/>
      <c r="P184" s="273"/>
      <c r="Q184" s="273"/>
      <c r="R184" s="273"/>
      <c r="S184" s="273"/>
      <c r="T184" s="273"/>
      <c r="U184" s="273"/>
      <c r="V184" s="273"/>
      <c r="W184" s="273"/>
      <c r="X184" s="273"/>
      <c r="Y184" s="273"/>
      <c r="Z184" s="273"/>
      <c r="AA184" s="273"/>
      <c r="AB184" s="273"/>
      <c r="AC184" s="273"/>
      <c r="AD184" s="272"/>
      <c r="AE184" s="493" t="str">
        <f ca="1">IF('CDO Bespoke'!C209&lt;&gt;"",'CDO Bespoke'!C209,"")</f>
        <v/>
      </c>
      <c r="AF184" s="495"/>
      <c r="AG184" s="583"/>
      <c r="AH184" s="583"/>
      <c r="AI184" s="583"/>
      <c r="AJ184" s="496"/>
      <c r="AK184" s="618"/>
      <c r="AL184" s="495"/>
      <c r="AM184" s="583"/>
      <c r="AN184" s="583"/>
      <c r="AO184" s="583"/>
      <c r="AP184" s="496"/>
      <c r="AQ184" s="618"/>
      <c r="AR184" s="505"/>
      <c r="AS184" s="629"/>
      <c r="AT184" s="618"/>
      <c r="AU184" s="505"/>
      <c r="AV184" s="581"/>
      <c r="AW184" s="618"/>
    </row>
    <row r="185" spans="2:49">
      <c r="B185" s="516" t="s">
        <v>554</v>
      </c>
      <c r="C185" s="517" t="s">
        <v>66</v>
      </c>
      <c r="D185" s="517" t="s">
        <v>57</v>
      </c>
      <c r="E185" s="517" t="s">
        <v>649</v>
      </c>
      <c r="F185" s="517" t="s">
        <v>668</v>
      </c>
      <c r="G185" s="524">
        <v>0.01</v>
      </c>
      <c r="H185" s="524">
        <v>2.7009999999999998E-3</v>
      </c>
      <c r="I185" s="526">
        <v>0.4</v>
      </c>
      <c r="J185" s="592">
        <v>5</v>
      </c>
      <c r="K185" s="518">
        <v>54</v>
      </c>
      <c r="L185" s="272"/>
      <c r="M185" s="272"/>
      <c r="P185" s="273"/>
      <c r="Q185" s="273"/>
      <c r="R185" s="273"/>
      <c r="S185" s="273"/>
      <c r="T185" s="273"/>
      <c r="U185" s="273"/>
      <c r="V185" s="273"/>
      <c r="W185" s="273"/>
      <c r="X185" s="273"/>
      <c r="Y185" s="273"/>
      <c r="Z185" s="273"/>
      <c r="AA185" s="273"/>
      <c r="AB185" s="273"/>
      <c r="AC185" s="273"/>
      <c r="AD185" s="272"/>
      <c r="AE185" s="493" t="str">
        <f ca="1">IF('CDO Bespoke'!C210&lt;&gt;"",'CDO Bespoke'!C210,"")</f>
        <v/>
      </c>
      <c r="AF185" s="495"/>
      <c r="AG185" s="583"/>
      <c r="AH185" s="583"/>
      <c r="AI185" s="583"/>
      <c r="AJ185" s="496"/>
      <c r="AK185" s="618"/>
      <c r="AL185" s="495"/>
      <c r="AM185" s="583"/>
      <c r="AN185" s="583"/>
      <c r="AO185" s="583"/>
      <c r="AP185" s="496"/>
      <c r="AQ185" s="618"/>
      <c r="AR185" s="505"/>
      <c r="AS185" s="629"/>
      <c r="AT185" s="618"/>
      <c r="AU185" s="505"/>
      <c r="AV185" s="581"/>
      <c r="AW185" s="618"/>
    </row>
    <row r="186" spans="2:49">
      <c r="B186" s="533" t="s">
        <v>554</v>
      </c>
      <c r="C186" s="534" t="s">
        <v>66</v>
      </c>
      <c r="D186" s="534" t="s">
        <v>59</v>
      </c>
      <c r="E186" s="534" t="s">
        <v>649</v>
      </c>
      <c r="F186" s="534" t="s">
        <v>668</v>
      </c>
      <c r="G186" s="535">
        <v>0.01</v>
      </c>
      <c r="H186" s="535">
        <v>3.7780000000000001E-3</v>
      </c>
      <c r="I186" s="536">
        <v>0.4</v>
      </c>
      <c r="J186" s="593">
        <v>5</v>
      </c>
      <c r="K186" s="537">
        <v>54</v>
      </c>
      <c r="L186" s="272"/>
      <c r="M186" s="272"/>
      <c r="P186" s="273"/>
      <c r="Q186" s="273"/>
      <c r="R186" s="273"/>
      <c r="S186" s="273"/>
      <c r="T186" s="273"/>
      <c r="U186" s="273"/>
      <c r="V186" s="273"/>
      <c r="W186" s="273"/>
      <c r="X186" s="273"/>
      <c r="Y186" s="273"/>
      <c r="Z186" s="273"/>
      <c r="AA186" s="273"/>
      <c r="AB186" s="273"/>
      <c r="AC186" s="273"/>
      <c r="AD186" s="272"/>
      <c r="AE186" s="493" t="str">
        <f ca="1">IF('CDO Bespoke'!C211&lt;&gt;"",'CDO Bespoke'!C211,"")</f>
        <v/>
      </c>
      <c r="AF186" s="495"/>
      <c r="AG186" s="583"/>
      <c r="AH186" s="583"/>
      <c r="AI186" s="583"/>
      <c r="AJ186" s="496"/>
      <c r="AK186" s="618"/>
      <c r="AL186" s="495"/>
      <c r="AM186" s="583"/>
      <c r="AN186" s="583"/>
      <c r="AO186" s="583"/>
      <c r="AP186" s="496"/>
      <c r="AQ186" s="618"/>
      <c r="AR186" s="505"/>
      <c r="AS186" s="629"/>
      <c r="AT186" s="618"/>
      <c r="AU186" s="505"/>
      <c r="AV186" s="581"/>
      <c r="AW186" s="618"/>
    </row>
    <row r="187" spans="2:49">
      <c r="B187" s="538" t="s">
        <v>555</v>
      </c>
      <c r="C187" s="539" t="s">
        <v>66</v>
      </c>
      <c r="D187" s="539" t="s">
        <v>55</v>
      </c>
      <c r="E187" s="539" t="s">
        <v>647</v>
      </c>
      <c r="F187" s="539" t="s">
        <v>668</v>
      </c>
      <c r="G187" s="540">
        <v>0.01</v>
      </c>
      <c r="H187" s="540">
        <v>2.3579999999999999E-3</v>
      </c>
      <c r="I187" s="541">
        <v>0.4</v>
      </c>
      <c r="J187" s="600">
        <v>5</v>
      </c>
      <c r="K187" s="542">
        <v>55</v>
      </c>
      <c r="L187" s="272"/>
      <c r="M187" s="272"/>
      <c r="P187" s="273"/>
      <c r="Q187" s="273"/>
      <c r="R187" s="273"/>
      <c r="S187" s="273"/>
      <c r="T187" s="273"/>
      <c r="U187" s="273"/>
      <c r="V187" s="273"/>
      <c r="W187" s="273"/>
      <c r="X187" s="273"/>
      <c r="Y187" s="273"/>
      <c r="Z187" s="273"/>
      <c r="AA187" s="273"/>
      <c r="AB187" s="273"/>
      <c r="AC187" s="273"/>
      <c r="AD187" s="272"/>
      <c r="AE187" s="493" t="str">
        <f ca="1">IF('CDO Bespoke'!C212&lt;&gt;"",'CDO Bespoke'!C212,"")</f>
        <v/>
      </c>
      <c r="AF187" s="495"/>
      <c r="AG187" s="583"/>
      <c r="AH187" s="583"/>
      <c r="AI187" s="583"/>
      <c r="AJ187" s="496"/>
      <c r="AK187" s="618"/>
      <c r="AL187" s="495"/>
      <c r="AM187" s="583"/>
      <c r="AN187" s="583"/>
      <c r="AO187" s="583"/>
      <c r="AP187" s="496"/>
      <c r="AQ187" s="618"/>
      <c r="AR187" s="505"/>
      <c r="AS187" s="629"/>
      <c r="AT187" s="618"/>
      <c r="AU187" s="505"/>
      <c r="AV187" s="581"/>
      <c r="AW187" s="618"/>
    </row>
    <row r="188" spans="2:49">
      <c r="B188" s="516" t="s">
        <v>555</v>
      </c>
      <c r="C188" s="517" t="s">
        <v>66</v>
      </c>
      <c r="D188" s="517" t="s">
        <v>57</v>
      </c>
      <c r="E188" s="517" t="s">
        <v>647</v>
      </c>
      <c r="F188" s="517" t="s">
        <v>668</v>
      </c>
      <c r="G188" s="524">
        <v>0.01</v>
      </c>
      <c r="H188" s="524">
        <v>4.816E-3</v>
      </c>
      <c r="I188" s="526">
        <v>0.4</v>
      </c>
      <c r="J188" s="592">
        <v>5</v>
      </c>
      <c r="K188" s="518">
        <v>55</v>
      </c>
      <c r="L188" s="272"/>
      <c r="M188" s="272"/>
      <c r="P188" s="273"/>
      <c r="Q188" s="273"/>
      <c r="R188" s="273"/>
      <c r="S188" s="273"/>
      <c r="T188" s="273"/>
      <c r="U188" s="273"/>
      <c r="V188" s="273"/>
      <c r="W188" s="273"/>
      <c r="X188" s="273"/>
      <c r="Y188" s="273"/>
      <c r="Z188" s="273"/>
      <c r="AA188" s="273"/>
      <c r="AB188" s="273"/>
      <c r="AC188" s="273"/>
      <c r="AD188" s="272"/>
      <c r="AE188" s="493" t="str">
        <f ca="1">IF('CDO Bespoke'!C213&lt;&gt;"",'CDO Bespoke'!C213,"")</f>
        <v/>
      </c>
      <c r="AF188" s="495"/>
      <c r="AG188" s="583"/>
      <c r="AH188" s="583"/>
      <c r="AI188" s="583"/>
      <c r="AJ188" s="496"/>
      <c r="AK188" s="618"/>
      <c r="AL188" s="495"/>
      <c r="AM188" s="583"/>
      <c r="AN188" s="583"/>
      <c r="AO188" s="583"/>
      <c r="AP188" s="496"/>
      <c r="AQ188" s="618"/>
      <c r="AR188" s="505"/>
      <c r="AS188" s="629"/>
      <c r="AT188" s="618"/>
      <c r="AU188" s="505"/>
      <c r="AV188" s="581"/>
      <c r="AW188" s="618"/>
    </row>
    <row r="189" spans="2:49">
      <c r="B189" s="533" t="s">
        <v>555</v>
      </c>
      <c r="C189" s="534" t="s">
        <v>66</v>
      </c>
      <c r="D189" s="534" t="s">
        <v>59</v>
      </c>
      <c r="E189" s="534" t="s">
        <v>647</v>
      </c>
      <c r="F189" s="534" t="s">
        <v>668</v>
      </c>
      <c r="G189" s="535">
        <v>0.01</v>
      </c>
      <c r="H189" s="535">
        <v>7.6169999999999996E-3</v>
      </c>
      <c r="I189" s="536">
        <v>0.4</v>
      </c>
      <c r="J189" s="593">
        <v>5</v>
      </c>
      <c r="K189" s="537">
        <v>55</v>
      </c>
      <c r="L189" s="272"/>
      <c r="M189" s="272"/>
      <c r="P189" s="273"/>
      <c r="Q189" s="273"/>
      <c r="R189" s="273"/>
      <c r="S189" s="273"/>
      <c r="T189" s="273"/>
      <c r="U189" s="273"/>
      <c r="V189" s="273"/>
      <c r="W189" s="273"/>
      <c r="X189" s="273"/>
      <c r="Y189" s="273"/>
      <c r="Z189" s="273"/>
      <c r="AA189" s="273"/>
      <c r="AB189" s="273"/>
      <c r="AC189" s="273"/>
      <c r="AD189" s="272"/>
      <c r="AE189" s="493" t="str">
        <f ca="1">IF('CDO Bespoke'!C214&lt;&gt;"",'CDO Bespoke'!C214,"")</f>
        <v/>
      </c>
      <c r="AF189" s="495"/>
      <c r="AG189" s="583"/>
      <c r="AH189" s="583"/>
      <c r="AI189" s="583"/>
      <c r="AJ189" s="496"/>
      <c r="AK189" s="618"/>
      <c r="AL189" s="495"/>
      <c r="AM189" s="583"/>
      <c r="AN189" s="583"/>
      <c r="AO189" s="583"/>
      <c r="AP189" s="496"/>
      <c r="AQ189" s="618"/>
      <c r="AR189" s="505"/>
      <c r="AS189" s="629"/>
      <c r="AT189" s="618"/>
      <c r="AU189" s="505"/>
      <c r="AV189" s="581"/>
      <c r="AW189" s="618"/>
    </row>
    <row r="190" spans="2:49">
      <c r="B190" s="538" t="s">
        <v>556</v>
      </c>
      <c r="C190" s="539" t="s">
        <v>66</v>
      </c>
      <c r="D190" s="539" t="s">
        <v>55</v>
      </c>
      <c r="E190" s="539" t="s">
        <v>647</v>
      </c>
      <c r="F190" s="539" t="s">
        <v>668</v>
      </c>
      <c r="G190" s="540">
        <v>0.01</v>
      </c>
      <c r="H190" s="540">
        <v>2.2920000000000002E-3</v>
      </c>
      <c r="I190" s="541">
        <v>0.4</v>
      </c>
      <c r="J190" s="600">
        <v>5</v>
      </c>
      <c r="K190" s="542">
        <v>56</v>
      </c>
      <c r="L190" s="272"/>
      <c r="M190" s="272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Z190" s="273"/>
      <c r="AA190" s="273"/>
      <c r="AB190" s="273"/>
      <c r="AC190" s="273"/>
      <c r="AD190" s="272"/>
      <c r="AE190" s="493" t="str">
        <f ca="1">IF('CDO Bespoke'!C215&lt;&gt;"",'CDO Bespoke'!C215,"")</f>
        <v/>
      </c>
      <c r="AF190" s="495"/>
      <c r="AG190" s="583"/>
      <c r="AH190" s="583"/>
      <c r="AI190" s="583"/>
      <c r="AJ190" s="496"/>
      <c r="AK190" s="618"/>
      <c r="AL190" s="495"/>
      <c r="AM190" s="583"/>
      <c r="AN190" s="583"/>
      <c r="AO190" s="583"/>
      <c r="AP190" s="496"/>
      <c r="AQ190" s="618"/>
      <c r="AR190" s="505"/>
      <c r="AS190" s="629"/>
      <c r="AT190" s="618"/>
      <c r="AU190" s="505"/>
      <c r="AV190" s="581"/>
      <c r="AW190" s="618"/>
    </row>
    <row r="191" spans="2:49">
      <c r="B191" s="516" t="s">
        <v>556</v>
      </c>
      <c r="C191" s="517" t="s">
        <v>66</v>
      </c>
      <c r="D191" s="517" t="s">
        <v>57</v>
      </c>
      <c r="E191" s="517" t="s">
        <v>647</v>
      </c>
      <c r="F191" s="517" t="s">
        <v>668</v>
      </c>
      <c r="G191" s="524">
        <v>0.01</v>
      </c>
      <c r="H191" s="524">
        <v>3.6840000000000002E-3</v>
      </c>
      <c r="I191" s="526">
        <v>0.4</v>
      </c>
      <c r="J191" s="592">
        <v>5</v>
      </c>
      <c r="K191" s="518">
        <v>56</v>
      </c>
      <c r="L191" s="272"/>
      <c r="M191" s="272"/>
      <c r="P191" s="273"/>
      <c r="Q191" s="273"/>
      <c r="R191" s="273"/>
      <c r="S191" s="273"/>
      <c r="T191" s="273"/>
      <c r="U191" s="273"/>
      <c r="V191" s="273"/>
      <c r="W191" s="273"/>
      <c r="X191" s="273"/>
      <c r="Y191" s="273"/>
      <c r="Z191" s="273"/>
      <c r="AA191" s="273"/>
      <c r="AB191" s="273"/>
      <c r="AC191" s="273"/>
      <c r="AD191" s="272"/>
      <c r="AE191" s="493" t="str">
        <f ca="1">IF('CDO Bespoke'!C216&lt;&gt;"",'CDO Bespoke'!C216,"")</f>
        <v/>
      </c>
      <c r="AF191" s="495"/>
      <c r="AG191" s="583"/>
      <c r="AH191" s="583"/>
      <c r="AI191" s="583"/>
      <c r="AJ191" s="496"/>
      <c r="AK191" s="618"/>
      <c r="AL191" s="495"/>
      <c r="AM191" s="583"/>
      <c r="AN191" s="583"/>
      <c r="AO191" s="583"/>
      <c r="AP191" s="496"/>
      <c r="AQ191" s="618"/>
      <c r="AR191" s="505"/>
      <c r="AS191" s="629"/>
      <c r="AT191" s="618"/>
      <c r="AU191" s="505"/>
      <c r="AV191" s="581"/>
      <c r="AW191" s="618"/>
    </row>
    <row r="192" spans="2:49">
      <c r="B192" s="533" t="s">
        <v>556</v>
      </c>
      <c r="C192" s="534" t="s">
        <v>66</v>
      </c>
      <c r="D192" s="534" t="s">
        <v>59</v>
      </c>
      <c r="E192" s="534" t="s">
        <v>647</v>
      </c>
      <c r="F192" s="534" t="s">
        <v>668</v>
      </c>
      <c r="G192" s="535">
        <v>0.01</v>
      </c>
      <c r="H192" s="535">
        <v>5.0730000000000003E-3</v>
      </c>
      <c r="I192" s="536">
        <v>0.4</v>
      </c>
      <c r="J192" s="593">
        <v>5</v>
      </c>
      <c r="K192" s="537">
        <v>56</v>
      </c>
      <c r="L192" s="272"/>
      <c r="M192" s="272"/>
      <c r="P192" s="273"/>
      <c r="Q192" s="273"/>
      <c r="R192" s="273"/>
      <c r="S192" s="273"/>
      <c r="T192" s="273"/>
      <c r="U192" s="273"/>
      <c r="V192" s="273"/>
      <c r="W192" s="273"/>
      <c r="X192" s="273"/>
      <c r="Y192" s="273"/>
      <c r="Z192" s="273"/>
      <c r="AA192" s="273"/>
      <c r="AB192" s="273"/>
      <c r="AC192" s="273"/>
      <c r="AD192" s="272"/>
      <c r="AE192" s="493" t="str">
        <f ca="1">IF('CDO Bespoke'!C217&lt;&gt;"",'CDO Bespoke'!C217,"")</f>
        <v/>
      </c>
      <c r="AF192" s="495"/>
      <c r="AG192" s="583"/>
      <c r="AH192" s="583"/>
      <c r="AI192" s="583"/>
      <c r="AJ192" s="496"/>
      <c r="AK192" s="618"/>
      <c r="AL192" s="495"/>
      <c r="AM192" s="583"/>
      <c r="AN192" s="583"/>
      <c r="AO192" s="583"/>
      <c r="AP192" s="496"/>
      <c r="AQ192" s="618"/>
      <c r="AR192" s="505"/>
      <c r="AS192" s="629"/>
      <c r="AT192" s="618"/>
      <c r="AU192" s="505"/>
      <c r="AV192" s="581"/>
      <c r="AW192" s="618"/>
    </row>
    <row r="193" spans="2:49">
      <c r="B193" s="538" t="s">
        <v>564</v>
      </c>
      <c r="C193" s="539" t="s">
        <v>66</v>
      </c>
      <c r="D193" s="539" t="s">
        <v>55</v>
      </c>
      <c r="E193" s="539" t="s">
        <v>647</v>
      </c>
      <c r="F193" s="539" t="s">
        <v>668</v>
      </c>
      <c r="G193" s="540">
        <v>0.01</v>
      </c>
      <c r="H193" s="540">
        <v>1.598E-3</v>
      </c>
      <c r="I193" s="541">
        <v>0.4</v>
      </c>
      <c r="J193" s="600">
        <v>5</v>
      </c>
      <c r="K193" s="542">
        <v>57</v>
      </c>
      <c r="L193" s="272"/>
      <c r="M193" s="272"/>
      <c r="P193" s="273"/>
      <c r="Q193" s="273"/>
      <c r="R193" s="273"/>
      <c r="S193" s="273"/>
      <c r="T193" s="273"/>
      <c r="U193" s="273"/>
      <c r="V193" s="273"/>
      <c r="W193" s="273"/>
      <c r="X193" s="273"/>
      <c r="Y193" s="273"/>
      <c r="Z193" s="273"/>
      <c r="AA193" s="273"/>
      <c r="AB193" s="273"/>
      <c r="AC193" s="273"/>
      <c r="AD193" s="272"/>
      <c r="AE193" s="493" t="str">
        <f ca="1">IF('CDO Bespoke'!C218&lt;&gt;"",'CDO Bespoke'!C218,"")</f>
        <v/>
      </c>
      <c r="AF193" s="495"/>
      <c r="AG193" s="583"/>
      <c r="AH193" s="583"/>
      <c r="AI193" s="583"/>
      <c r="AJ193" s="496"/>
      <c r="AK193" s="618"/>
      <c r="AL193" s="495"/>
      <c r="AM193" s="583"/>
      <c r="AN193" s="583"/>
      <c r="AO193" s="583"/>
      <c r="AP193" s="496"/>
      <c r="AQ193" s="618"/>
      <c r="AR193" s="505"/>
      <c r="AS193" s="629"/>
      <c r="AT193" s="618"/>
      <c r="AU193" s="505"/>
      <c r="AV193" s="581"/>
      <c r="AW193" s="618"/>
    </row>
    <row r="194" spans="2:49">
      <c r="B194" s="516" t="s">
        <v>564</v>
      </c>
      <c r="C194" s="517" t="s">
        <v>66</v>
      </c>
      <c r="D194" s="517" t="s">
        <v>57</v>
      </c>
      <c r="E194" s="517" t="s">
        <v>647</v>
      </c>
      <c r="F194" s="517" t="s">
        <v>668</v>
      </c>
      <c r="G194" s="524">
        <v>0.01</v>
      </c>
      <c r="H194" s="524">
        <v>2.627E-3</v>
      </c>
      <c r="I194" s="526">
        <v>0.4</v>
      </c>
      <c r="J194" s="592">
        <v>5</v>
      </c>
      <c r="K194" s="518">
        <v>57</v>
      </c>
      <c r="L194" s="272"/>
      <c r="M194" s="272"/>
      <c r="P194" s="273"/>
      <c r="Q194" s="273"/>
      <c r="R194" s="273"/>
      <c r="S194" s="273"/>
      <c r="T194" s="273"/>
      <c r="U194" s="273"/>
      <c r="V194" s="273"/>
      <c r="W194" s="273"/>
      <c r="X194" s="273"/>
      <c r="Y194" s="273"/>
      <c r="Z194" s="273"/>
      <c r="AA194" s="273"/>
      <c r="AB194" s="273"/>
      <c r="AC194" s="273"/>
      <c r="AD194" s="272"/>
      <c r="AE194" s="493" t="str">
        <f ca="1">IF('CDO Bespoke'!C219&lt;&gt;"",'CDO Bespoke'!C219,"")</f>
        <v/>
      </c>
      <c r="AF194" s="495"/>
      <c r="AG194" s="583"/>
      <c r="AH194" s="583"/>
      <c r="AI194" s="583"/>
      <c r="AJ194" s="496"/>
      <c r="AK194" s="618"/>
      <c r="AL194" s="495"/>
      <c r="AM194" s="583"/>
      <c r="AN194" s="583"/>
      <c r="AO194" s="583"/>
      <c r="AP194" s="496"/>
      <c r="AQ194" s="618"/>
      <c r="AR194" s="505"/>
      <c r="AS194" s="629"/>
      <c r="AT194" s="618"/>
      <c r="AU194" s="505"/>
      <c r="AV194" s="581"/>
      <c r="AW194" s="618"/>
    </row>
    <row r="195" spans="2:49">
      <c r="B195" s="533" t="s">
        <v>564</v>
      </c>
      <c r="C195" s="534" t="s">
        <v>66</v>
      </c>
      <c r="D195" s="534" t="s">
        <v>59</v>
      </c>
      <c r="E195" s="534" t="s">
        <v>647</v>
      </c>
      <c r="F195" s="534" t="s">
        <v>668</v>
      </c>
      <c r="G195" s="535">
        <v>0.01</v>
      </c>
      <c r="H195" s="535">
        <v>3.8070000000000001E-3</v>
      </c>
      <c r="I195" s="536">
        <v>0.4</v>
      </c>
      <c r="J195" s="593">
        <v>5</v>
      </c>
      <c r="K195" s="537">
        <v>57</v>
      </c>
      <c r="L195" s="272"/>
      <c r="M195" s="272"/>
      <c r="P195" s="273"/>
      <c r="Q195" s="273"/>
      <c r="R195" s="273"/>
      <c r="S195" s="273"/>
      <c r="T195" s="273"/>
      <c r="U195" s="273"/>
      <c r="V195" s="273"/>
      <c r="W195" s="273"/>
      <c r="X195" s="273"/>
      <c r="Y195" s="273"/>
      <c r="Z195" s="273"/>
      <c r="AA195" s="273"/>
      <c r="AB195" s="273"/>
      <c r="AC195" s="273"/>
      <c r="AD195" s="272"/>
      <c r="AE195" s="493" t="str">
        <f ca="1">IF('CDO Bespoke'!C220&lt;&gt;"",'CDO Bespoke'!C220,"")</f>
        <v/>
      </c>
      <c r="AF195" s="495"/>
      <c r="AG195" s="583"/>
      <c r="AH195" s="583"/>
      <c r="AI195" s="583"/>
      <c r="AJ195" s="496"/>
      <c r="AK195" s="618"/>
      <c r="AL195" s="495"/>
      <c r="AM195" s="583"/>
      <c r="AN195" s="583"/>
      <c r="AO195" s="583"/>
      <c r="AP195" s="496"/>
      <c r="AQ195" s="618"/>
      <c r="AR195" s="505"/>
      <c r="AS195" s="629"/>
      <c r="AT195" s="618"/>
      <c r="AU195" s="505"/>
      <c r="AV195" s="581"/>
      <c r="AW195" s="618"/>
    </row>
    <row r="196" spans="2:49">
      <c r="B196" s="538" t="s">
        <v>557</v>
      </c>
      <c r="C196" s="539" t="s">
        <v>66</v>
      </c>
      <c r="D196" s="539" t="s">
        <v>55</v>
      </c>
      <c r="E196" s="539" t="s">
        <v>647</v>
      </c>
      <c r="F196" s="539" t="s">
        <v>668</v>
      </c>
      <c r="G196" s="540">
        <v>0.01</v>
      </c>
      <c r="H196" s="540">
        <v>4.0590000000000001E-3</v>
      </c>
      <c r="I196" s="541">
        <v>0.4</v>
      </c>
      <c r="J196" s="600">
        <v>5</v>
      </c>
      <c r="K196" s="542">
        <v>58</v>
      </c>
      <c r="L196" s="272"/>
      <c r="M196" s="272"/>
      <c r="P196" s="273"/>
      <c r="Q196" s="273"/>
      <c r="R196" s="273"/>
      <c r="S196" s="273"/>
      <c r="T196" s="273"/>
      <c r="U196" s="273"/>
      <c r="V196" s="273"/>
      <c r="W196" s="273"/>
      <c r="X196" s="273"/>
      <c r="Y196" s="273"/>
      <c r="Z196" s="273"/>
      <c r="AA196" s="273"/>
      <c r="AB196" s="273"/>
      <c r="AC196" s="273"/>
      <c r="AD196" s="272"/>
      <c r="AE196" s="493" t="str">
        <f ca="1">IF('CDO Bespoke'!C221&lt;&gt;"",'CDO Bespoke'!C221,"")</f>
        <v/>
      </c>
      <c r="AF196" s="495"/>
      <c r="AG196" s="583"/>
      <c r="AH196" s="583"/>
      <c r="AI196" s="583"/>
      <c r="AJ196" s="496"/>
      <c r="AK196" s="618"/>
      <c r="AL196" s="495"/>
      <c r="AM196" s="583"/>
      <c r="AN196" s="583"/>
      <c r="AO196" s="583"/>
      <c r="AP196" s="496"/>
      <c r="AQ196" s="618"/>
      <c r="AR196" s="505"/>
      <c r="AS196" s="629"/>
      <c r="AT196" s="618"/>
      <c r="AU196" s="505"/>
      <c r="AV196" s="581"/>
      <c r="AW196" s="618"/>
    </row>
    <row r="197" spans="2:49">
      <c r="B197" s="516" t="s">
        <v>557</v>
      </c>
      <c r="C197" s="517" t="s">
        <v>66</v>
      </c>
      <c r="D197" s="517" t="s">
        <v>57</v>
      </c>
      <c r="E197" s="517" t="s">
        <v>647</v>
      </c>
      <c r="F197" s="517" t="s">
        <v>668</v>
      </c>
      <c r="G197" s="524">
        <v>0.01</v>
      </c>
      <c r="H197" s="524">
        <v>6.953E-3</v>
      </c>
      <c r="I197" s="526">
        <v>0.4</v>
      </c>
      <c r="J197" s="592">
        <v>5</v>
      </c>
      <c r="K197" s="518">
        <v>58</v>
      </c>
      <c r="L197" s="272"/>
      <c r="M197" s="272"/>
      <c r="P197" s="273"/>
      <c r="Q197" s="273"/>
      <c r="R197" s="273"/>
      <c r="S197" s="273"/>
      <c r="T197" s="273"/>
      <c r="U197" s="273"/>
      <c r="V197" s="273"/>
      <c r="W197" s="273"/>
      <c r="X197" s="273"/>
      <c r="Y197" s="273"/>
      <c r="Z197" s="273"/>
      <c r="AA197" s="273"/>
      <c r="AB197" s="273"/>
      <c r="AC197" s="273"/>
      <c r="AD197" s="272"/>
      <c r="AE197" s="493" t="str">
        <f ca="1">IF('CDO Bespoke'!C222&lt;&gt;"",'CDO Bespoke'!C222,"")</f>
        <v/>
      </c>
      <c r="AF197" s="495"/>
      <c r="AG197" s="583"/>
      <c r="AH197" s="583"/>
      <c r="AI197" s="583"/>
      <c r="AJ197" s="496"/>
      <c r="AK197" s="618"/>
      <c r="AL197" s="495"/>
      <c r="AM197" s="583"/>
      <c r="AN197" s="583"/>
      <c r="AO197" s="583"/>
      <c r="AP197" s="496"/>
      <c r="AQ197" s="618"/>
      <c r="AR197" s="505"/>
      <c r="AS197" s="629"/>
      <c r="AT197" s="618"/>
      <c r="AU197" s="505"/>
      <c r="AV197" s="581"/>
      <c r="AW197" s="618"/>
    </row>
    <row r="198" spans="2:49">
      <c r="B198" s="533" t="s">
        <v>557</v>
      </c>
      <c r="C198" s="534" t="s">
        <v>66</v>
      </c>
      <c r="D198" s="534" t="s">
        <v>59</v>
      </c>
      <c r="E198" s="534" t="s">
        <v>647</v>
      </c>
      <c r="F198" s="534" t="s">
        <v>668</v>
      </c>
      <c r="G198" s="535">
        <v>0.01</v>
      </c>
      <c r="H198" s="535">
        <v>1.0121E-2</v>
      </c>
      <c r="I198" s="536">
        <v>0.4</v>
      </c>
      <c r="J198" s="593">
        <v>5</v>
      </c>
      <c r="K198" s="537">
        <v>58</v>
      </c>
      <c r="L198" s="272"/>
      <c r="M198" s="272"/>
      <c r="P198" s="273"/>
      <c r="Q198" s="273"/>
      <c r="R198" s="273"/>
      <c r="S198" s="273"/>
      <c r="T198" s="273"/>
      <c r="U198" s="273"/>
      <c r="V198" s="273"/>
      <c r="W198" s="273"/>
      <c r="X198" s="273"/>
      <c r="Y198" s="273"/>
      <c r="Z198" s="273"/>
      <c r="AA198" s="273"/>
      <c r="AB198" s="273"/>
      <c r="AC198" s="273"/>
      <c r="AD198" s="272"/>
      <c r="AE198" s="493" t="str">
        <f ca="1">IF('CDO Bespoke'!C223&lt;&gt;"",'CDO Bespoke'!C223,"")</f>
        <v/>
      </c>
      <c r="AF198" s="495"/>
      <c r="AG198" s="583"/>
      <c r="AH198" s="583"/>
      <c r="AI198" s="583"/>
      <c r="AJ198" s="496"/>
      <c r="AK198" s="618"/>
      <c r="AL198" s="495"/>
      <c r="AM198" s="583"/>
      <c r="AN198" s="583"/>
      <c r="AO198" s="583"/>
      <c r="AP198" s="496"/>
      <c r="AQ198" s="618"/>
      <c r="AR198" s="505"/>
      <c r="AS198" s="629"/>
      <c r="AT198" s="618"/>
      <c r="AU198" s="505"/>
      <c r="AV198" s="581"/>
      <c r="AW198" s="618"/>
    </row>
    <row r="199" spans="2:49">
      <c r="B199" s="538" t="s">
        <v>558</v>
      </c>
      <c r="C199" s="539" t="s">
        <v>66</v>
      </c>
      <c r="D199" s="539" t="s">
        <v>55</v>
      </c>
      <c r="E199" s="539" t="s">
        <v>647</v>
      </c>
      <c r="F199" s="539" t="s">
        <v>668</v>
      </c>
      <c r="G199" s="540">
        <v>0.01</v>
      </c>
      <c r="H199" s="540">
        <v>3.114E-3</v>
      </c>
      <c r="I199" s="541">
        <v>0.4</v>
      </c>
      <c r="J199" s="600">
        <v>5</v>
      </c>
      <c r="K199" s="542">
        <v>59</v>
      </c>
      <c r="L199" s="272"/>
      <c r="M199" s="272"/>
      <c r="P199" s="273"/>
      <c r="Q199" s="273"/>
      <c r="R199" s="273"/>
      <c r="S199" s="273"/>
      <c r="T199" s="273"/>
      <c r="U199" s="273"/>
      <c r="V199" s="273"/>
      <c r="W199" s="273"/>
      <c r="X199" s="273"/>
      <c r="Y199" s="273"/>
      <c r="Z199" s="273"/>
      <c r="AA199" s="273"/>
      <c r="AB199" s="273"/>
      <c r="AC199" s="273"/>
      <c r="AD199" s="272"/>
      <c r="AE199" s="493" t="str">
        <f ca="1">IF('CDO Bespoke'!C224&lt;&gt;"",'CDO Bespoke'!C224,"")</f>
        <v/>
      </c>
      <c r="AF199" s="495"/>
      <c r="AG199" s="583"/>
      <c r="AH199" s="583"/>
      <c r="AI199" s="583"/>
      <c r="AJ199" s="496"/>
      <c r="AK199" s="618"/>
      <c r="AL199" s="495"/>
      <c r="AM199" s="583"/>
      <c r="AN199" s="583"/>
      <c r="AO199" s="583"/>
      <c r="AP199" s="496"/>
      <c r="AQ199" s="618"/>
      <c r="AR199" s="505"/>
      <c r="AS199" s="629"/>
      <c r="AT199" s="618"/>
      <c r="AU199" s="505"/>
      <c r="AV199" s="581"/>
      <c r="AW199" s="618"/>
    </row>
    <row r="200" spans="2:49">
      <c r="B200" s="516" t="s">
        <v>558</v>
      </c>
      <c r="C200" s="517" t="s">
        <v>66</v>
      </c>
      <c r="D200" s="517" t="s">
        <v>57</v>
      </c>
      <c r="E200" s="517" t="s">
        <v>647</v>
      </c>
      <c r="F200" s="517" t="s">
        <v>668</v>
      </c>
      <c r="G200" s="524">
        <v>0.01</v>
      </c>
      <c r="H200" s="524">
        <v>5.1929999999999997E-3</v>
      </c>
      <c r="I200" s="526">
        <v>0.4</v>
      </c>
      <c r="J200" s="592">
        <v>5</v>
      </c>
      <c r="K200" s="518">
        <v>59</v>
      </c>
      <c r="L200" s="272"/>
      <c r="M200" s="272"/>
      <c r="P200" s="273"/>
      <c r="Q200" s="273"/>
      <c r="R200" s="273"/>
      <c r="S200" s="273"/>
      <c r="T200" s="273"/>
      <c r="U200" s="273"/>
      <c r="V200" s="273"/>
      <c r="W200" s="273"/>
      <c r="X200" s="273"/>
      <c r="Y200" s="273"/>
      <c r="Z200" s="273"/>
      <c r="AA200" s="273"/>
      <c r="AB200" s="273"/>
      <c r="AC200" s="273"/>
      <c r="AD200" s="272"/>
      <c r="AE200" s="493" t="str">
        <f ca="1">IF('CDO Bespoke'!C225&lt;&gt;"",'CDO Bespoke'!C225,"")</f>
        <v/>
      </c>
      <c r="AF200" s="495"/>
      <c r="AG200" s="583"/>
      <c r="AH200" s="583"/>
      <c r="AI200" s="583"/>
      <c r="AJ200" s="496"/>
      <c r="AK200" s="618"/>
      <c r="AL200" s="495"/>
      <c r="AM200" s="583"/>
      <c r="AN200" s="583"/>
      <c r="AO200" s="583"/>
      <c r="AP200" s="496"/>
      <c r="AQ200" s="618"/>
      <c r="AR200" s="505"/>
      <c r="AS200" s="629"/>
      <c r="AT200" s="618"/>
      <c r="AU200" s="505"/>
      <c r="AV200" s="581"/>
      <c r="AW200" s="618"/>
    </row>
    <row r="201" spans="2:49">
      <c r="B201" s="533" t="s">
        <v>558</v>
      </c>
      <c r="C201" s="534" t="s">
        <v>66</v>
      </c>
      <c r="D201" s="534" t="s">
        <v>59</v>
      </c>
      <c r="E201" s="534" t="s">
        <v>647</v>
      </c>
      <c r="F201" s="534" t="s">
        <v>668</v>
      </c>
      <c r="G201" s="535">
        <v>0.01</v>
      </c>
      <c r="H201" s="535">
        <v>7.737E-3</v>
      </c>
      <c r="I201" s="536">
        <v>0.4</v>
      </c>
      <c r="J201" s="593">
        <v>5</v>
      </c>
      <c r="K201" s="537">
        <v>59</v>
      </c>
      <c r="L201" s="272"/>
      <c r="M201" s="272"/>
      <c r="P201" s="273"/>
      <c r="Q201" s="273"/>
      <c r="R201" s="273"/>
      <c r="S201" s="273"/>
      <c r="T201" s="273"/>
      <c r="U201" s="273"/>
      <c r="V201" s="273"/>
      <c r="W201" s="273"/>
      <c r="X201" s="273"/>
      <c r="Y201" s="273"/>
      <c r="Z201" s="273"/>
      <c r="AA201" s="273"/>
      <c r="AB201" s="273"/>
      <c r="AC201" s="273"/>
      <c r="AD201" s="272"/>
      <c r="AE201" s="493" t="str">
        <f ca="1">IF('CDO Bespoke'!C226&lt;&gt;"",'CDO Bespoke'!C226,"")</f>
        <v/>
      </c>
      <c r="AF201" s="495"/>
      <c r="AG201" s="583"/>
      <c r="AH201" s="583"/>
      <c r="AI201" s="583"/>
      <c r="AJ201" s="496"/>
      <c r="AK201" s="618"/>
      <c r="AL201" s="495"/>
      <c r="AM201" s="583"/>
      <c r="AN201" s="583"/>
      <c r="AO201" s="583"/>
      <c r="AP201" s="496"/>
      <c r="AQ201" s="618"/>
      <c r="AR201" s="505"/>
      <c r="AS201" s="629"/>
      <c r="AT201" s="618"/>
      <c r="AU201" s="505"/>
      <c r="AV201" s="581"/>
      <c r="AW201" s="618"/>
    </row>
    <row r="202" spans="2:49">
      <c r="B202" s="538" t="s">
        <v>559</v>
      </c>
      <c r="C202" s="539" t="s">
        <v>66</v>
      </c>
      <c r="D202" s="539" t="s">
        <v>55</v>
      </c>
      <c r="E202" s="539" t="s">
        <v>645</v>
      </c>
      <c r="F202" s="539" t="s">
        <v>668</v>
      </c>
      <c r="G202" s="540">
        <v>0.01</v>
      </c>
      <c r="H202" s="540">
        <v>1.8439999999999999E-3</v>
      </c>
      <c r="I202" s="541">
        <v>0.4</v>
      </c>
      <c r="J202" s="600">
        <v>5</v>
      </c>
      <c r="K202" s="542">
        <v>60</v>
      </c>
      <c r="L202" s="272"/>
      <c r="M202" s="272"/>
      <c r="P202" s="273"/>
      <c r="Q202" s="273"/>
      <c r="R202" s="273"/>
      <c r="S202" s="273"/>
      <c r="T202" s="273"/>
      <c r="U202" s="273"/>
      <c r="V202" s="273"/>
      <c r="W202" s="273"/>
      <c r="X202" s="273"/>
      <c r="Y202" s="273"/>
      <c r="Z202" s="273"/>
      <c r="AA202" s="273"/>
      <c r="AB202" s="273"/>
      <c r="AC202" s="273"/>
      <c r="AD202" s="272"/>
      <c r="AE202" s="493" t="str">
        <f ca="1">IF('CDO Bespoke'!C227&lt;&gt;"",'CDO Bespoke'!C227,"")</f>
        <v/>
      </c>
      <c r="AF202" s="495"/>
      <c r="AG202" s="583"/>
      <c r="AH202" s="583"/>
      <c r="AI202" s="583"/>
      <c r="AJ202" s="496"/>
      <c r="AK202" s="618"/>
      <c r="AL202" s="495"/>
      <c r="AM202" s="583"/>
      <c r="AN202" s="583"/>
      <c r="AO202" s="583"/>
      <c r="AP202" s="496"/>
      <c r="AQ202" s="618"/>
      <c r="AR202" s="505"/>
      <c r="AS202" s="629"/>
      <c r="AT202" s="618"/>
      <c r="AU202" s="505"/>
      <c r="AV202" s="581"/>
      <c r="AW202" s="618"/>
    </row>
    <row r="203" spans="2:49">
      <c r="B203" s="516" t="s">
        <v>559</v>
      </c>
      <c r="C203" s="517" t="s">
        <v>66</v>
      </c>
      <c r="D203" s="517" t="s">
        <v>57</v>
      </c>
      <c r="E203" s="517" t="s">
        <v>645</v>
      </c>
      <c r="F203" s="517" t="s">
        <v>668</v>
      </c>
      <c r="G203" s="524">
        <v>0.01</v>
      </c>
      <c r="H203" s="524">
        <v>2.6050000000000001E-3</v>
      </c>
      <c r="I203" s="526">
        <v>0.4</v>
      </c>
      <c r="J203" s="592">
        <v>5</v>
      </c>
      <c r="K203" s="518">
        <v>60</v>
      </c>
      <c r="L203" s="272"/>
      <c r="M203" s="272"/>
      <c r="P203" s="273"/>
      <c r="Q203" s="273"/>
      <c r="R203" s="273"/>
      <c r="S203" s="273"/>
      <c r="T203" s="273"/>
      <c r="U203" s="273"/>
      <c r="V203" s="273"/>
      <c r="W203" s="273"/>
      <c r="X203" s="273"/>
      <c r="Y203" s="273"/>
      <c r="Z203" s="273"/>
      <c r="AA203" s="273"/>
      <c r="AB203" s="273"/>
      <c r="AC203" s="273"/>
      <c r="AD203" s="272"/>
      <c r="AE203" s="493" t="str">
        <f ca="1">IF('CDO Bespoke'!C228&lt;&gt;"",'CDO Bespoke'!C228,"")</f>
        <v/>
      </c>
      <c r="AF203" s="495"/>
      <c r="AG203" s="583"/>
      <c r="AH203" s="583"/>
      <c r="AI203" s="583"/>
      <c r="AJ203" s="496"/>
      <c r="AK203" s="618"/>
      <c r="AL203" s="495"/>
      <c r="AM203" s="583"/>
      <c r="AN203" s="583"/>
      <c r="AO203" s="583"/>
      <c r="AP203" s="496"/>
      <c r="AQ203" s="618"/>
      <c r="AR203" s="505"/>
      <c r="AS203" s="629"/>
      <c r="AT203" s="618"/>
      <c r="AU203" s="505"/>
      <c r="AV203" s="581"/>
      <c r="AW203" s="618"/>
    </row>
    <row r="204" spans="2:49">
      <c r="B204" s="533" t="s">
        <v>559</v>
      </c>
      <c r="C204" s="534" t="s">
        <v>66</v>
      </c>
      <c r="D204" s="534" t="s">
        <v>59</v>
      </c>
      <c r="E204" s="534" t="s">
        <v>645</v>
      </c>
      <c r="F204" s="534" t="s">
        <v>668</v>
      </c>
      <c r="G204" s="535">
        <v>0.01</v>
      </c>
      <c r="H204" s="535">
        <v>3.6050000000000001E-3</v>
      </c>
      <c r="I204" s="536">
        <v>0.4</v>
      </c>
      <c r="J204" s="593">
        <v>5</v>
      </c>
      <c r="K204" s="537">
        <v>60</v>
      </c>
      <c r="L204" s="272"/>
      <c r="M204" s="272"/>
      <c r="P204" s="273"/>
      <c r="Q204" s="273"/>
      <c r="R204" s="273"/>
      <c r="S204" s="273"/>
      <c r="T204" s="273"/>
      <c r="U204" s="273"/>
      <c r="V204" s="273"/>
      <c r="W204" s="273"/>
      <c r="X204" s="273"/>
      <c r="Y204" s="273"/>
      <c r="Z204" s="273"/>
      <c r="AA204" s="273"/>
      <c r="AB204" s="273"/>
      <c r="AC204" s="273"/>
      <c r="AD204" s="272"/>
      <c r="AE204" s="493" t="str">
        <f ca="1">IF('CDO Bespoke'!C229&lt;&gt;"",'CDO Bespoke'!C229,"")</f>
        <v/>
      </c>
      <c r="AF204" s="495"/>
      <c r="AG204" s="583"/>
      <c r="AH204" s="583"/>
      <c r="AI204" s="583"/>
      <c r="AJ204" s="496"/>
      <c r="AK204" s="618"/>
      <c r="AL204" s="495"/>
      <c r="AM204" s="583"/>
      <c r="AN204" s="583"/>
      <c r="AO204" s="583"/>
      <c r="AP204" s="496"/>
      <c r="AQ204" s="618"/>
      <c r="AR204" s="505"/>
      <c r="AS204" s="629"/>
      <c r="AT204" s="618"/>
      <c r="AU204" s="505"/>
      <c r="AV204" s="581"/>
      <c r="AW204" s="618"/>
    </row>
    <row r="205" spans="2:49">
      <c r="B205" s="538" t="s">
        <v>565</v>
      </c>
      <c r="C205" s="539" t="s">
        <v>66</v>
      </c>
      <c r="D205" s="539" t="s">
        <v>55</v>
      </c>
      <c r="E205" s="539" t="s">
        <v>645</v>
      </c>
      <c r="F205" s="539" t="s">
        <v>650</v>
      </c>
      <c r="G205" s="540">
        <v>0.01</v>
      </c>
      <c r="H205" s="540">
        <v>2.9399999999999999E-3</v>
      </c>
      <c r="I205" s="541">
        <v>0.4</v>
      </c>
      <c r="J205" s="600">
        <v>4</v>
      </c>
      <c r="K205" s="542">
        <v>61</v>
      </c>
      <c r="L205" s="272"/>
      <c r="M205" s="272"/>
      <c r="P205" s="273"/>
      <c r="Q205" s="273"/>
      <c r="R205" s="273"/>
      <c r="S205" s="273"/>
      <c r="T205" s="273"/>
      <c r="U205" s="273"/>
      <c r="V205" s="273"/>
      <c r="W205" s="273"/>
      <c r="X205" s="273"/>
      <c r="Y205" s="273"/>
      <c r="Z205" s="273"/>
      <c r="AA205" s="273"/>
      <c r="AB205" s="273"/>
      <c r="AC205" s="273"/>
      <c r="AD205" s="272"/>
      <c r="AE205" s="493" t="str">
        <f ca="1">IF('CDO Bespoke'!C230&lt;&gt;"",'CDO Bespoke'!C230,"")</f>
        <v/>
      </c>
      <c r="AF205" s="495"/>
      <c r="AG205" s="583"/>
      <c r="AH205" s="583"/>
      <c r="AI205" s="583"/>
      <c r="AJ205" s="496"/>
      <c r="AK205" s="618"/>
      <c r="AL205" s="495"/>
      <c r="AM205" s="583"/>
      <c r="AN205" s="583"/>
      <c r="AO205" s="583"/>
      <c r="AP205" s="496"/>
      <c r="AQ205" s="618"/>
      <c r="AR205" s="505"/>
      <c r="AS205" s="629"/>
      <c r="AT205" s="618"/>
      <c r="AU205" s="505"/>
      <c r="AV205" s="581"/>
      <c r="AW205" s="618"/>
    </row>
    <row r="206" spans="2:49">
      <c r="B206" s="516" t="s">
        <v>565</v>
      </c>
      <c r="C206" s="517" t="s">
        <v>66</v>
      </c>
      <c r="D206" s="517" t="s">
        <v>57</v>
      </c>
      <c r="E206" s="517" t="s">
        <v>645</v>
      </c>
      <c r="F206" s="517" t="s">
        <v>650</v>
      </c>
      <c r="G206" s="524">
        <v>0.01</v>
      </c>
      <c r="H206" s="524">
        <v>5.1380000000000002E-3</v>
      </c>
      <c r="I206" s="526">
        <v>0.4</v>
      </c>
      <c r="J206" s="592">
        <v>4</v>
      </c>
      <c r="K206" s="518">
        <v>61</v>
      </c>
      <c r="L206" s="272"/>
      <c r="M206" s="272"/>
      <c r="P206" s="273"/>
      <c r="Q206" s="273"/>
      <c r="R206" s="273"/>
      <c r="S206" s="273"/>
      <c r="T206" s="273"/>
      <c r="U206" s="273"/>
      <c r="V206" s="273"/>
      <c r="W206" s="273"/>
      <c r="X206" s="273"/>
      <c r="Y206" s="273"/>
      <c r="Z206" s="273"/>
      <c r="AA206" s="273"/>
      <c r="AB206" s="273"/>
      <c r="AC206" s="273"/>
      <c r="AD206" s="272"/>
      <c r="AE206" s="493" t="str">
        <f ca="1">IF('CDO Bespoke'!C231&lt;&gt;"",'CDO Bespoke'!C231,"")</f>
        <v/>
      </c>
      <c r="AF206" s="495"/>
      <c r="AG206" s="583"/>
      <c r="AH206" s="583"/>
      <c r="AI206" s="583"/>
      <c r="AJ206" s="496"/>
      <c r="AK206" s="618"/>
      <c r="AL206" s="495"/>
      <c r="AM206" s="583"/>
      <c r="AN206" s="583"/>
      <c r="AO206" s="583"/>
      <c r="AP206" s="496"/>
      <c r="AQ206" s="618"/>
      <c r="AR206" s="505"/>
      <c r="AS206" s="629"/>
      <c r="AT206" s="618"/>
      <c r="AU206" s="505"/>
      <c r="AV206" s="581"/>
      <c r="AW206" s="618"/>
    </row>
    <row r="207" spans="2:49">
      <c r="B207" s="533" t="s">
        <v>565</v>
      </c>
      <c r="C207" s="534" t="s">
        <v>66</v>
      </c>
      <c r="D207" s="534" t="s">
        <v>59</v>
      </c>
      <c r="E207" s="534" t="s">
        <v>645</v>
      </c>
      <c r="F207" s="534" t="s">
        <v>650</v>
      </c>
      <c r="G207" s="535">
        <v>0.01</v>
      </c>
      <c r="H207" s="535">
        <v>7.4939999999999998E-3</v>
      </c>
      <c r="I207" s="536">
        <v>0.4</v>
      </c>
      <c r="J207" s="593">
        <v>4</v>
      </c>
      <c r="K207" s="537">
        <v>61</v>
      </c>
      <c r="L207" s="272"/>
      <c r="M207" s="272"/>
      <c r="P207" s="273"/>
      <c r="Q207" s="273"/>
      <c r="R207" s="273"/>
      <c r="S207" s="273"/>
      <c r="T207" s="273"/>
      <c r="U207" s="273"/>
      <c r="V207" s="273"/>
      <c r="W207" s="273"/>
      <c r="X207" s="273"/>
      <c r="Y207" s="273"/>
      <c r="Z207" s="273"/>
      <c r="AA207" s="273"/>
      <c r="AB207" s="273"/>
      <c r="AC207" s="273"/>
      <c r="AD207" s="272"/>
      <c r="AE207" s="493" t="str">
        <f ca="1">IF('CDO Bespoke'!C232&lt;&gt;"",'CDO Bespoke'!C232,"")</f>
        <v/>
      </c>
      <c r="AF207" s="495"/>
      <c r="AG207" s="583"/>
      <c r="AH207" s="583"/>
      <c r="AI207" s="583"/>
      <c r="AJ207" s="496"/>
      <c r="AK207" s="618"/>
      <c r="AL207" s="495"/>
      <c r="AM207" s="583"/>
      <c r="AN207" s="583"/>
      <c r="AO207" s="583"/>
      <c r="AP207" s="496"/>
      <c r="AQ207" s="618"/>
      <c r="AR207" s="505"/>
      <c r="AS207" s="629"/>
      <c r="AT207" s="618"/>
      <c r="AU207" s="505"/>
      <c r="AV207" s="581"/>
      <c r="AW207" s="618"/>
    </row>
    <row r="208" spans="2:49">
      <c r="B208" s="538" t="s">
        <v>566</v>
      </c>
      <c r="C208" s="539" t="s">
        <v>66</v>
      </c>
      <c r="D208" s="539" t="s">
        <v>55</v>
      </c>
      <c r="E208" s="539" t="s">
        <v>647</v>
      </c>
      <c r="F208" s="539" t="s">
        <v>651</v>
      </c>
      <c r="G208" s="540">
        <v>0.01</v>
      </c>
      <c r="H208" s="540">
        <v>3.604E-3</v>
      </c>
      <c r="I208" s="541">
        <v>0.4</v>
      </c>
      <c r="J208" s="600">
        <v>7</v>
      </c>
      <c r="K208" s="542">
        <v>62</v>
      </c>
      <c r="L208" s="272"/>
      <c r="M208" s="272"/>
      <c r="P208" s="273"/>
      <c r="Q208" s="273"/>
      <c r="R208" s="273"/>
      <c r="S208" s="273"/>
      <c r="T208" s="273"/>
      <c r="U208" s="273"/>
      <c r="V208" s="273"/>
      <c r="W208" s="273"/>
      <c r="X208" s="273"/>
      <c r="Y208" s="273"/>
      <c r="Z208" s="273"/>
      <c r="AA208" s="273"/>
      <c r="AB208" s="273"/>
      <c r="AC208" s="273"/>
      <c r="AD208" s="272"/>
      <c r="AE208" s="493" t="str">
        <f ca="1">IF('CDO Bespoke'!C233&lt;&gt;"",'CDO Bespoke'!C233,"")</f>
        <v/>
      </c>
      <c r="AF208" s="495"/>
      <c r="AG208" s="583"/>
      <c r="AH208" s="583"/>
      <c r="AI208" s="583"/>
      <c r="AJ208" s="496"/>
      <c r="AK208" s="618"/>
      <c r="AL208" s="495"/>
      <c r="AM208" s="583"/>
      <c r="AN208" s="583"/>
      <c r="AO208" s="583"/>
      <c r="AP208" s="496"/>
      <c r="AQ208" s="618"/>
      <c r="AR208" s="505"/>
      <c r="AS208" s="629"/>
      <c r="AT208" s="618"/>
      <c r="AU208" s="505"/>
      <c r="AV208" s="581"/>
      <c r="AW208" s="618"/>
    </row>
    <row r="209" spans="2:49">
      <c r="B209" s="516" t="s">
        <v>566</v>
      </c>
      <c r="C209" s="517" t="s">
        <v>66</v>
      </c>
      <c r="D209" s="517" t="s">
        <v>57</v>
      </c>
      <c r="E209" s="517" t="s">
        <v>647</v>
      </c>
      <c r="F209" s="517" t="s">
        <v>651</v>
      </c>
      <c r="G209" s="524">
        <v>0.01</v>
      </c>
      <c r="H209" s="524">
        <v>6.306E-3</v>
      </c>
      <c r="I209" s="526">
        <v>0.4</v>
      </c>
      <c r="J209" s="592">
        <v>7</v>
      </c>
      <c r="K209" s="518">
        <v>62</v>
      </c>
      <c r="L209" s="272"/>
      <c r="M209" s="272"/>
      <c r="P209" s="273"/>
      <c r="Q209" s="273"/>
      <c r="R209" s="273"/>
      <c r="S209" s="273"/>
      <c r="T209" s="273"/>
      <c r="U209" s="273"/>
      <c r="V209" s="273"/>
      <c r="W209" s="273"/>
      <c r="X209" s="273"/>
      <c r="Y209" s="273"/>
      <c r="Z209" s="273"/>
      <c r="AA209" s="273"/>
      <c r="AB209" s="273"/>
      <c r="AC209" s="273"/>
      <c r="AD209" s="272"/>
      <c r="AE209" s="493" t="str">
        <f ca="1">IF('CDO Bespoke'!C234&lt;&gt;"",'CDO Bespoke'!C234,"")</f>
        <v/>
      </c>
      <c r="AF209" s="495"/>
      <c r="AG209" s="583"/>
      <c r="AH209" s="583"/>
      <c r="AI209" s="583"/>
      <c r="AJ209" s="496"/>
      <c r="AK209" s="618"/>
      <c r="AL209" s="495"/>
      <c r="AM209" s="583"/>
      <c r="AN209" s="583"/>
      <c r="AO209" s="583"/>
      <c r="AP209" s="496"/>
      <c r="AQ209" s="618"/>
      <c r="AR209" s="505"/>
      <c r="AS209" s="629"/>
      <c r="AT209" s="618"/>
      <c r="AU209" s="505"/>
      <c r="AV209" s="581"/>
      <c r="AW209" s="618"/>
    </row>
    <row r="210" spans="2:49">
      <c r="B210" s="533" t="s">
        <v>566</v>
      </c>
      <c r="C210" s="534" t="s">
        <v>66</v>
      </c>
      <c r="D210" s="534" t="s">
        <v>59</v>
      </c>
      <c r="E210" s="534" t="s">
        <v>647</v>
      </c>
      <c r="F210" s="534" t="s">
        <v>651</v>
      </c>
      <c r="G210" s="535">
        <v>0.01</v>
      </c>
      <c r="H210" s="535">
        <v>9.0629999999999999E-3</v>
      </c>
      <c r="I210" s="536">
        <v>0.4</v>
      </c>
      <c r="J210" s="593">
        <v>7</v>
      </c>
      <c r="K210" s="537">
        <v>62</v>
      </c>
      <c r="L210" s="272"/>
      <c r="M210" s="272"/>
      <c r="P210" s="273"/>
      <c r="Q210" s="273"/>
      <c r="R210" s="273"/>
      <c r="S210" s="273"/>
      <c r="T210" s="273"/>
      <c r="U210" s="273"/>
      <c r="V210" s="273"/>
      <c r="W210" s="273"/>
      <c r="X210" s="273"/>
      <c r="Y210" s="273"/>
      <c r="Z210" s="273"/>
      <c r="AA210" s="273"/>
      <c r="AB210" s="273"/>
      <c r="AC210" s="273"/>
      <c r="AD210" s="272"/>
      <c r="AE210" s="493" t="str">
        <f ca="1">IF('CDO Bespoke'!C235&lt;&gt;"",'CDO Bespoke'!C235,"")</f>
        <v/>
      </c>
      <c r="AF210" s="495"/>
      <c r="AG210" s="583"/>
      <c r="AH210" s="583"/>
      <c r="AI210" s="583"/>
      <c r="AJ210" s="496"/>
      <c r="AK210" s="618"/>
      <c r="AL210" s="495"/>
      <c r="AM210" s="583"/>
      <c r="AN210" s="583"/>
      <c r="AO210" s="583"/>
      <c r="AP210" s="496"/>
      <c r="AQ210" s="618"/>
      <c r="AR210" s="505"/>
      <c r="AS210" s="629"/>
      <c r="AT210" s="618"/>
      <c r="AU210" s="505"/>
      <c r="AV210" s="581"/>
      <c r="AW210" s="618"/>
    </row>
    <row r="211" spans="2:49">
      <c r="B211" s="538" t="s">
        <v>576</v>
      </c>
      <c r="C211" s="539" t="s">
        <v>66</v>
      </c>
      <c r="D211" s="539" t="s">
        <v>55</v>
      </c>
      <c r="E211" s="539" t="s">
        <v>647</v>
      </c>
      <c r="F211" s="539" t="s">
        <v>651</v>
      </c>
      <c r="G211" s="540">
        <v>0.01</v>
      </c>
      <c r="H211" s="540">
        <v>2.4229999999999998E-3</v>
      </c>
      <c r="I211" s="541">
        <v>0.4</v>
      </c>
      <c r="J211" s="600">
        <v>7</v>
      </c>
      <c r="K211" s="542">
        <v>63</v>
      </c>
      <c r="L211" s="272"/>
      <c r="M211" s="272"/>
      <c r="P211" s="273"/>
      <c r="Q211" s="273"/>
      <c r="R211" s="273"/>
      <c r="S211" s="273"/>
      <c r="T211" s="273"/>
      <c r="U211" s="273"/>
      <c r="V211" s="273"/>
      <c r="W211" s="273"/>
      <c r="X211" s="273"/>
      <c r="Y211" s="273"/>
      <c r="Z211" s="273"/>
      <c r="AA211" s="273"/>
      <c r="AB211" s="273"/>
      <c r="AC211" s="273"/>
      <c r="AD211" s="272"/>
      <c r="AE211" s="493" t="str">
        <f ca="1">IF('CDO Bespoke'!C236&lt;&gt;"",'CDO Bespoke'!C236,"")</f>
        <v/>
      </c>
      <c r="AF211" s="495"/>
      <c r="AG211" s="583"/>
      <c r="AH211" s="583"/>
      <c r="AI211" s="583"/>
      <c r="AJ211" s="496"/>
      <c r="AK211" s="618"/>
      <c r="AL211" s="495"/>
      <c r="AM211" s="583"/>
      <c r="AN211" s="583"/>
      <c r="AO211" s="583"/>
      <c r="AP211" s="496"/>
      <c r="AQ211" s="618"/>
      <c r="AR211" s="505"/>
      <c r="AS211" s="629"/>
      <c r="AT211" s="618"/>
      <c r="AU211" s="505"/>
      <c r="AV211" s="581"/>
      <c r="AW211" s="618"/>
    </row>
    <row r="212" spans="2:49">
      <c r="B212" s="516" t="s">
        <v>576</v>
      </c>
      <c r="C212" s="517" t="s">
        <v>66</v>
      </c>
      <c r="D212" s="517" t="s">
        <v>57</v>
      </c>
      <c r="E212" s="517" t="s">
        <v>647</v>
      </c>
      <c r="F212" s="517" t="s">
        <v>651</v>
      </c>
      <c r="G212" s="524">
        <v>0.01</v>
      </c>
      <c r="H212" s="524">
        <v>3.9830000000000004E-3</v>
      </c>
      <c r="I212" s="526">
        <v>0.4</v>
      </c>
      <c r="J212" s="592">
        <v>7</v>
      </c>
      <c r="K212" s="518">
        <v>63</v>
      </c>
      <c r="L212" s="272"/>
      <c r="M212" s="272"/>
      <c r="P212" s="273"/>
      <c r="Q212" s="273"/>
      <c r="R212" s="273"/>
      <c r="S212" s="273"/>
      <c r="T212" s="273"/>
      <c r="U212" s="273"/>
      <c r="V212" s="273"/>
      <c r="W212" s="273"/>
      <c r="X212" s="273"/>
      <c r="Y212" s="273"/>
      <c r="Z212" s="273"/>
      <c r="AA212" s="273"/>
      <c r="AB212" s="273"/>
      <c r="AC212" s="273"/>
      <c r="AD212" s="272"/>
      <c r="AE212" s="493" t="str">
        <f ca="1">IF('CDO Bespoke'!C237&lt;&gt;"",'CDO Bespoke'!C237,"")</f>
        <v/>
      </c>
      <c r="AF212" s="495"/>
      <c r="AG212" s="583"/>
      <c r="AH212" s="583"/>
      <c r="AI212" s="583"/>
      <c r="AJ212" s="496"/>
      <c r="AK212" s="618"/>
      <c r="AL212" s="495"/>
      <c r="AM212" s="583"/>
      <c r="AN212" s="583"/>
      <c r="AO212" s="583"/>
      <c r="AP212" s="496"/>
      <c r="AQ212" s="618"/>
      <c r="AR212" s="505"/>
      <c r="AS212" s="629"/>
      <c r="AT212" s="618"/>
      <c r="AU212" s="505"/>
      <c r="AV212" s="581"/>
      <c r="AW212" s="618"/>
    </row>
    <row r="213" spans="2:49">
      <c r="B213" s="533" t="s">
        <v>576</v>
      </c>
      <c r="C213" s="534" t="s">
        <v>66</v>
      </c>
      <c r="D213" s="534" t="s">
        <v>59</v>
      </c>
      <c r="E213" s="534" t="s">
        <v>647</v>
      </c>
      <c r="F213" s="534" t="s">
        <v>651</v>
      </c>
      <c r="G213" s="535">
        <v>0.01</v>
      </c>
      <c r="H213" s="535">
        <v>6.0039999999999998E-3</v>
      </c>
      <c r="I213" s="536">
        <v>0.4</v>
      </c>
      <c r="J213" s="593">
        <v>7</v>
      </c>
      <c r="K213" s="537">
        <v>63</v>
      </c>
      <c r="L213" s="272"/>
      <c r="M213" s="272"/>
      <c r="P213" s="273"/>
      <c r="Q213" s="273"/>
      <c r="R213" s="273"/>
      <c r="S213" s="273"/>
      <c r="T213" s="273"/>
      <c r="U213" s="273"/>
      <c r="V213" s="273"/>
      <c r="W213" s="273"/>
      <c r="X213" s="273"/>
      <c r="Y213" s="273"/>
      <c r="Z213" s="273"/>
      <c r="AA213" s="273"/>
      <c r="AB213" s="273"/>
      <c r="AC213" s="273"/>
      <c r="AD213" s="272"/>
      <c r="AE213" s="493" t="str">
        <f ca="1">IF('CDO Bespoke'!C238&lt;&gt;"",'CDO Bespoke'!C238,"")</f>
        <v/>
      </c>
      <c r="AF213" s="495"/>
      <c r="AG213" s="583"/>
      <c r="AH213" s="583"/>
      <c r="AI213" s="583"/>
      <c r="AJ213" s="496"/>
      <c r="AK213" s="618"/>
      <c r="AL213" s="495"/>
      <c r="AM213" s="583"/>
      <c r="AN213" s="583"/>
      <c r="AO213" s="583"/>
      <c r="AP213" s="496"/>
      <c r="AQ213" s="618"/>
      <c r="AR213" s="505"/>
      <c r="AS213" s="629"/>
      <c r="AT213" s="618"/>
      <c r="AU213" s="505"/>
      <c r="AV213" s="581"/>
      <c r="AW213" s="618"/>
    </row>
    <row r="214" spans="2:49">
      <c r="B214" s="538" t="s">
        <v>614</v>
      </c>
      <c r="C214" s="539" t="s">
        <v>66</v>
      </c>
      <c r="D214" s="539" t="s">
        <v>55</v>
      </c>
      <c r="E214" s="539" t="s">
        <v>647</v>
      </c>
      <c r="F214" s="539" t="s">
        <v>651</v>
      </c>
      <c r="G214" s="540">
        <v>0.01</v>
      </c>
      <c r="H214" s="540">
        <v>4.1190000000000003E-3</v>
      </c>
      <c r="I214" s="541">
        <v>0.4</v>
      </c>
      <c r="J214" s="600">
        <v>7</v>
      </c>
      <c r="K214" s="542">
        <v>64</v>
      </c>
      <c r="L214" s="272"/>
      <c r="M214" s="272"/>
      <c r="P214" s="273"/>
      <c r="Q214" s="273"/>
      <c r="R214" s="273"/>
      <c r="S214" s="273"/>
      <c r="T214" s="273"/>
      <c r="U214" s="273"/>
      <c r="V214" s="273"/>
      <c r="W214" s="273"/>
      <c r="X214" s="273"/>
      <c r="Y214" s="273"/>
      <c r="Z214" s="273"/>
      <c r="AA214" s="273"/>
      <c r="AB214" s="273"/>
      <c r="AC214" s="273"/>
      <c r="AD214" s="272"/>
      <c r="AE214" s="493" t="str">
        <f ca="1">IF('CDO Bespoke'!C239&lt;&gt;"",'CDO Bespoke'!C239,"")</f>
        <v/>
      </c>
      <c r="AF214" s="495"/>
      <c r="AG214" s="583"/>
      <c r="AH214" s="583"/>
      <c r="AI214" s="583"/>
      <c r="AJ214" s="496"/>
      <c r="AK214" s="618"/>
      <c r="AL214" s="495"/>
      <c r="AM214" s="583"/>
      <c r="AN214" s="583"/>
      <c r="AO214" s="583"/>
      <c r="AP214" s="496"/>
      <c r="AQ214" s="618"/>
      <c r="AR214" s="505"/>
      <c r="AS214" s="629"/>
      <c r="AT214" s="618"/>
      <c r="AU214" s="505"/>
      <c r="AV214" s="581"/>
      <c r="AW214" s="618"/>
    </row>
    <row r="215" spans="2:49">
      <c r="B215" s="516" t="s">
        <v>614</v>
      </c>
      <c r="C215" s="517" t="s">
        <v>66</v>
      </c>
      <c r="D215" s="517" t="s">
        <v>57</v>
      </c>
      <c r="E215" s="517" t="s">
        <v>647</v>
      </c>
      <c r="F215" s="517" t="s">
        <v>651</v>
      </c>
      <c r="G215" s="524">
        <v>0.01</v>
      </c>
      <c r="H215" s="524">
        <v>6.1469999999999997E-3</v>
      </c>
      <c r="I215" s="526">
        <v>0.4</v>
      </c>
      <c r="J215" s="592">
        <v>7</v>
      </c>
      <c r="K215" s="518">
        <v>64</v>
      </c>
      <c r="L215" s="272"/>
      <c r="M215" s="272"/>
      <c r="P215" s="273"/>
      <c r="Q215" s="273"/>
      <c r="R215" s="273"/>
      <c r="S215" s="273"/>
      <c r="T215" s="273"/>
      <c r="U215" s="273"/>
      <c r="V215" s="273"/>
      <c r="W215" s="273"/>
      <c r="X215" s="273"/>
      <c r="Y215" s="273"/>
      <c r="Z215" s="273"/>
      <c r="AA215" s="273"/>
      <c r="AB215" s="273"/>
      <c r="AC215" s="273"/>
      <c r="AD215" s="272"/>
      <c r="AE215" s="493" t="str">
        <f ca="1">IF('CDO Bespoke'!C240&lt;&gt;"",'CDO Bespoke'!C240,"")</f>
        <v/>
      </c>
      <c r="AF215" s="495"/>
      <c r="AG215" s="583"/>
      <c r="AH215" s="583"/>
      <c r="AI215" s="583"/>
      <c r="AJ215" s="496"/>
      <c r="AK215" s="618"/>
      <c r="AL215" s="495"/>
      <c r="AM215" s="583"/>
      <c r="AN215" s="583"/>
      <c r="AO215" s="583"/>
      <c r="AP215" s="496"/>
      <c r="AQ215" s="618"/>
      <c r="AR215" s="505"/>
      <c r="AS215" s="629"/>
      <c r="AT215" s="618"/>
      <c r="AU215" s="505"/>
      <c r="AV215" s="581"/>
      <c r="AW215" s="618"/>
    </row>
    <row r="216" spans="2:49">
      <c r="B216" s="533" t="s">
        <v>614</v>
      </c>
      <c r="C216" s="534" t="s">
        <v>66</v>
      </c>
      <c r="D216" s="534" t="s">
        <v>59</v>
      </c>
      <c r="E216" s="534" t="s">
        <v>647</v>
      </c>
      <c r="F216" s="534" t="s">
        <v>651</v>
      </c>
      <c r="G216" s="535">
        <v>0.01</v>
      </c>
      <c r="H216" s="535">
        <v>8.4799999999999997E-3</v>
      </c>
      <c r="I216" s="536">
        <v>0.4</v>
      </c>
      <c r="J216" s="593">
        <v>7</v>
      </c>
      <c r="K216" s="537">
        <v>64</v>
      </c>
      <c r="L216" s="272"/>
      <c r="M216" s="272"/>
      <c r="P216" s="273"/>
      <c r="Q216" s="273"/>
      <c r="R216" s="273"/>
      <c r="S216" s="273"/>
      <c r="T216" s="273"/>
      <c r="U216" s="273"/>
      <c r="V216" s="273"/>
      <c r="W216" s="273"/>
      <c r="X216" s="273"/>
      <c r="Y216" s="273"/>
      <c r="Z216" s="273"/>
      <c r="AA216" s="273"/>
      <c r="AB216" s="273"/>
      <c r="AC216" s="273"/>
      <c r="AD216" s="272"/>
      <c r="AE216" s="493" t="str">
        <f ca="1">IF('CDO Bespoke'!C241&lt;&gt;"",'CDO Bespoke'!C241,"")</f>
        <v/>
      </c>
      <c r="AF216" s="495"/>
      <c r="AG216" s="583"/>
      <c r="AH216" s="583"/>
      <c r="AI216" s="583"/>
      <c r="AJ216" s="496"/>
      <c r="AK216" s="618"/>
      <c r="AL216" s="495"/>
      <c r="AM216" s="583"/>
      <c r="AN216" s="583"/>
      <c r="AO216" s="583"/>
      <c r="AP216" s="496"/>
      <c r="AQ216" s="618"/>
      <c r="AR216" s="505"/>
      <c r="AS216" s="629"/>
      <c r="AT216" s="618"/>
      <c r="AU216" s="505"/>
      <c r="AV216" s="581"/>
      <c r="AW216" s="618"/>
    </row>
    <row r="217" spans="2:49">
      <c r="B217" s="538" t="s">
        <v>567</v>
      </c>
      <c r="C217" s="539" t="s">
        <v>66</v>
      </c>
      <c r="D217" s="539" t="s">
        <v>55</v>
      </c>
      <c r="E217" s="539" t="s">
        <v>647</v>
      </c>
      <c r="F217" s="539" t="s">
        <v>651</v>
      </c>
      <c r="G217" s="540">
        <v>0.01</v>
      </c>
      <c r="H217" s="540">
        <v>4.1130000000000003E-3</v>
      </c>
      <c r="I217" s="541">
        <v>0.4</v>
      </c>
      <c r="J217" s="600">
        <v>7</v>
      </c>
      <c r="K217" s="542">
        <v>65</v>
      </c>
      <c r="L217" s="272"/>
      <c r="M217" s="272"/>
      <c r="P217" s="273"/>
      <c r="Q217" s="273"/>
      <c r="R217" s="273"/>
      <c r="S217" s="273"/>
      <c r="T217" s="273"/>
      <c r="U217" s="273"/>
      <c r="V217" s="273"/>
      <c r="W217" s="273"/>
      <c r="X217" s="273"/>
      <c r="Y217" s="273"/>
      <c r="Z217" s="273"/>
      <c r="AA217" s="273"/>
      <c r="AB217" s="273"/>
      <c r="AC217" s="273"/>
      <c r="AD217" s="272"/>
      <c r="AE217" s="493" t="str">
        <f ca="1">IF('CDO Bespoke'!C242&lt;&gt;"",'CDO Bespoke'!C242,"")</f>
        <v/>
      </c>
      <c r="AF217" s="495"/>
      <c r="AG217" s="583"/>
      <c r="AH217" s="583"/>
      <c r="AI217" s="583"/>
      <c r="AJ217" s="496"/>
      <c r="AK217" s="618"/>
      <c r="AL217" s="495"/>
      <c r="AM217" s="583"/>
      <c r="AN217" s="583"/>
      <c r="AO217" s="583"/>
      <c r="AP217" s="496"/>
      <c r="AQ217" s="618"/>
      <c r="AR217" s="505"/>
      <c r="AS217" s="629"/>
      <c r="AT217" s="618"/>
      <c r="AU217" s="505"/>
      <c r="AV217" s="581"/>
      <c r="AW217" s="618"/>
    </row>
    <row r="218" spans="2:49">
      <c r="B218" s="516" t="s">
        <v>567</v>
      </c>
      <c r="C218" s="517" t="s">
        <v>66</v>
      </c>
      <c r="D218" s="517" t="s">
        <v>57</v>
      </c>
      <c r="E218" s="517" t="s">
        <v>647</v>
      </c>
      <c r="F218" s="517" t="s">
        <v>651</v>
      </c>
      <c r="G218" s="524">
        <v>0.01</v>
      </c>
      <c r="H218" s="524">
        <v>6.5919999999999998E-3</v>
      </c>
      <c r="I218" s="526">
        <v>0.4</v>
      </c>
      <c r="J218" s="592">
        <v>7</v>
      </c>
      <c r="K218" s="518">
        <v>65</v>
      </c>
      <c r="L218" s="272"/>
      <c r="M218" s="272"/>
      <c r="P218" s="273"/>
      <c r="Q218" s="273"/>
      <c r="R218" s="273"/>
      <c r="S218" s="273"/>
      <c r="T218" s="273"/>
      <c r="U218" s="273"/>
      <c r="V218" s="273"/>
      <c r="W218" s="273"/>
      <c r="X218" s="273"/>
      <c r="Y218" s="273"/>
      <c r="Z218" s="273"/>
      <c r="AA218" s="273"/>
      <c r="AB218" s="273"/>
      <c r="AC218" s="273"/>
      <c r="AD218" s="272"/>
      <c r="AE218" s="493" t="str">
        <f ca="1">IF('CDO Bespoke'!C243&lt;&gt;"",'CDO Bespoke'!C243,"")</f>
        <v/>
      </c>
      <c r="AF218" s="495"/>
      <c r="AG218" s="583"/>
      <c r="AH218" s="583"/>
      <c r="AI218" s="583"/>
      <c r="AJ218" s="496"/>
      <c r="AK218" s="618"/>
      <c r="AL218" s="495"/>
      <c r="AM218" s="583"/>
      <c r="AN218" s="583"/>
      <c r="AO218" s="583"/>
      <c r="AP218" s="496"/>
      <c r="AQ218" s="618"/>
      <c r="AR218" s="505"/>
      <c r="AS218" s="629"/>
      <c r="AT218" s="618"/>
      <c r="AU218" s="505"/>
      <c r="AV218" s="581"/>
      <c r="AW218" s="618"/>
    </row>
    <row r="219" spans="2:49">
      <c r="B219" s="533" t="s">
        <v>567</v>
      </c>
      <c r="C219" s="534" t="s">
        <v>66</v>
      </c>
      <c r="D219" s="534" t="s">
        <v>59</v>
      </c>
      <c r="E219" s="534" t="s">
        <v>647</v>
      </c>
      <c r="F219" s="534" t="s">
        <v>651</v>
      </c>
      <c r="G219" s="535">
        <v>0.01</v>
      </c>
      <c r="H219" s="535">
        <v>9.4090000000000007E-3</v>
      </c>
      <c r="I219" s="536">
        <v>0.4</v>
      </c>
      <c r="J219" s="593">
        <v>7</v>
      </c>
      <c r="K219" s="537">
        <v>65</v>
      </c>
      <c r="L219" s="272"/>
      <c r="M219" s="272"/>
      <c r="P219" s="273"/>
      <c r="Q219" s="273"/>
      <c r="R219" s="273"/>
      <c r="S219" s="273"/>
      <c r="T219" s="273"/>
      <c r="U219" s="273"/>
      <c r="V219" s="273"/>
      <c r="W219" s="273"/>
      <c r="X219" s="273"/>
      <c r="Y219" s="273"/>
      <c r="Z219" s="273"/>
      <c r="AA219" s="273"/>
      <c r="AB219" s="273"/>
      <c r="AC219" s="273"/>
      <c r="AD219" s="272"/>
      <c r="AE219" s="493" t="str">
        <f ca="1">IF('CDO Bespoke'!C244&lt;&gt;"",'CDO Bespoke'!C244,"")</f>
        <v/>
      </c>
      <c r="AF219" s="495"/>
      <c r="AG219" s="583"/>
      <c r="AH219" s="583"/>
      <c r="AI219" s="583"/>
      <c r="AJ219" s="496"/>
      <c r="AK219" s="618"/>
      <c r="AL219" s="495"/>
      <c r="AM219" s="583"/>
      <c r="AN219" s="583"/>
      <c r="AO219" s="583"/>
      <c r="AP219" s="496"/>
      <c r="AQ219" s="618"/>
      <c r="AR219" s="505"/>
      <c r="AS219" s="629"/>
      <c r="AT219" s="618"/>
      <c r="AU219" s="505"/>
      <c r="AV219" s="581"/>
      <c r="AW219" s="618"/>
    </row>
    <row r="220" spans="2:49">
      <c r="B220" s="538" t="s">
        <v>577</v>
      </c>
      <c r="C220" s="539" t="s">
        <v>66</v>
      </c>
      <c r="D220" s="539" t="s">
        <v>55</v>
      </c>
      <c r="E220" s="539" t="s">
        <v>647</v>
      </c>
      <c r="F220" s="539" t="s">
        <v>651</v>
      </c>
      <c r="G220" s="540">
        <v>0.01</v>
      </c>
      <c r="H220" s="540">
        <v>3.3249999999999998E-3</v>
      </c>
      <c r="I220" s="541">
        <v>0.4</v>
      </c>
      <c r="J220" s="600">
        <v>7</v>
      </c>
      <c r="K220" s="542">
        <v>66</v>
      </c>
      <c r="L220" s="272"/>
      <c r="M220" s="272"/>
      <c r="P220" s="273"/>
      <c r="Q220" s="273"/>
      <c r="R220" s="273"/>
      <c r="S220" s="273"/>
      <c r="T220" s="273"/>
      <c r="U220" s="273"/>
      <c r="V220" s="273"/>
      <c r="W220" s="273"/>
      <c r="X220" s="273"/>
      <c r="Y220" s="273"/>
      <c r="Z220" s="273"/>
      <c r="AA220" s="273"/>
      <c r="AB220" s="273"/>
      <c r="AC220" s="273"/>
      <c r="AD220" s="272"/>
      <c r="AE220" s="493" t="str">
        <f ca="1">IF('CDO Bespoke'!C245&lt;&gt;"",'CDO Bespoke'!C245,"")</f>
        <v/>
      </c>
      <c r="AF220" s="495"/>
      <c r="AG220" s="583"/>
      <c r="AH220" s="583"/>
      <c r="AI220" s="583"/>
      <c r="AJ220" s="496"/>
      <c r="AK220" s="618"/>
      <c r="AL220" s="495"/>
      <c r="AM220" s="583"/>
      <c r="AN220" s="583"/>
      <c r="AO220" s="583"/>
      <c r="AP220" s="496"/>
      <c r="AQ220" s="618"/>
      <c r="AR220" s="505"/>
      <c r="AS220" s="629"/>
      <c r="AT220" s="618"/>
      <c r="AU220" s="505"/>
      <c r="AV220" s="581"/>
      <c r="AW220" s="618"/>
    </row>
    <row r="221" spans="2:49">
      <c r="B221" s="516" t="s">
        <v>577</v>
      </c>
      <c r="C221" s="517" t="s">
        <v>66</v>
      </c>
      <c r="D221" s="517" t="s">
        <v>57</v>
      </c>
      <c r="E221" s="517" t="s">
        <v>647</v>
      </c>
      <c r="F221" s="517" t="s">
        <v>651</v>
      </c>
      <c r="G221" s="524">
        <v>0.01</v>
      </c>
      <c r="H221" s="524">
        <v>6.195E-3</v>
      </c>
      <c r="I221" s="526">
        <v>0.4</v>
      </c>
      <c r="J221" s="592">
        <v>7</v>
      </c>
      <c r="K221" s="518">
        <v>66</v>
      </c>
      <c r="L221" s="272"/>
      <c r="M221" s="272"/>
      <c r="P221" s="273"/>
      <c r="Q221" s="273"/>
      <c r="R221" s="273"/>
      <c r="S221" s="273"/>
      <c r="T221" s="273"/>
      <c r="U221" s="273"/>
      <c r="V221" s="273"/>
      <c r="W221" s="273"/>
      <c r="X221" s="273"/>
      <c r="Y221" s="273"/>
      <c r="Z221" s="273"/>
      <c r="AA221" s="273"/>
      <c r="AB221" s="273"/>
      <c r="AC221" s="273"/>
      <c r="AD221" s="272"/>
      <c r="AE221" s="493" t="str">
        <f ca="1">IF('CDO Bespoke'!C246&lt;&gt;"",'CDO Bespoke'!C246,"")</f>
        <v/>
      </c>
      <c r="AF221" s="495"/>
      <c r="AG221" s="583"/>
      <c r="AH221" s="583"/>
      <c r="AI221" s="583"/>
      <c r="AJ221" s="496"/>
      <c r="AK221" s="618"/>
      <c r="AL221" s="495"/>
      <c r="AM221" s="583"/>
      <c r="AN221" s="583"/>
      <c r="AO221" s="583"/>
      <c r="AP221" s="496"/>
      <c r="AQ221" s="618"/>
      <c r="AR221" s="505"/>
      <c r="AS221" s="629"/>
      <c r="AT221" s="618"/>
      <c r="AU221" s="505"/>
      <c r="AV221" s="581"/>
      <c r="AW221" s="618"/>
    </row>
    <row r="222" spans="2:49">
      <c r="B222" s="533" t="s">
        <v>577</v>
      </c>
      <c r="C222" s="534" t="s">
        <v>66</v>
      </c>
      <c r="D222" s="534" t="s">
        <v>59</v>
      </c>
      <c r="E222" s="534" t="s">
        <v>647</v>
      </c>
      <c r="F222" s="534" t="s">
        <v>651</v>
      </c>
      <c r="G222" s="535">
        <v>0.01</v>
      </c>
      <c r="H222" s="535">
        <v>9.2610000000000001E-3</v>
      </c>
      <c r="I222" s="536">
        <v>0.4</v>
      </c>
      <c r="J222" s="593">
        <v>7</v>
      </c>
      <c r="K222" s="537">
        <v>66</v>
      </c>
      <c r="L222" s="272"/>
      <c r="M222" s="272"/>
      <c r="P222" s="273"/>
      <c r="Q222" s="273"/>
      <c r="R222" s="273"/>
      <c r="S222" s="273"/>
      <c r="T222" s="273"/>
      <c r="U222" s="273"/>
      <c r="V222" s="273"/>
      <c r="W222" s="273"/>
      <c r="X222" s="273"/>
      <c r="Y222" s="273"/>
      <c r="Z222" s="273"/>
      <c r="AA222" s="273"/>
      <c r="AB222" s="273"/>
      <c r="AC222" s="273"/>
      <c r="AD222" s="272"/>
      <c r="AE222" s="493" t="str">
        <f ca="1">IF('CDO Bespoke'!C247&lt;&gt;"",'CDO Bespoke'!C247,"")</f>
        <v/>
      </c>
      <c r="AF222" s="495"/>
      <c r="AG222" s="583"/>
      <c r="AH222" s="583"/>
      <c r="AI222" s="583"/>
      <c r="AJ222" s="496"/>
      <c r="AK222" s="618"/>
      <c r="AL222" s="495"/>
      <c r="AM222" s="583"/>
      <c r="AN222" s="583"/>
      <c r="AO222" s="583"/>
      <c r="AP222" s="496"/>
      <c r="AQ222" s="618"/>
      <c r="AR222" s="505"/>
      <c r="AS222" s="629"/>
      <c r="AT222" s="618"/>
      <c r="AU222" s="505"/>
      <c r="AV222" s="581"/>
      <c r="AW222" s="618"/>
    </row>
    <row r="223" spans="2:49">
      <c r="B223" s="538" t="s">
        <v>568</v>
      </c>
      <c r="C223" s="539" t="s">
        <v>66</v>
      </c>
      <c r="D223" s="539" t="s">
        <v>55</v>
      </c>
      <c r="E223" s="539" t="s">
        <v>647</v>
      </c>
      <c r="F223" s="539" t="s">
        <v>651</v>
      </c>
      <c r="G223" s="540">
        <v>0.01</v>
      </c>
      <c r="H223" s="540">
        <v>2.6879999999999999E-3</v>
      </c>
      <c r="I223" s="541">
        <v>0.4</v>
      </c>
      <c r="J223" s="600">
        <v>7</v>
      </c>
      <c r="K223" s="542">
        <v>67</v>
      </c>
      <c r="L223" s="272"/>
      <c r="M223" s="272"/>
      <c r="P223" s="273"/>
      <c r="Q223" s="273"/>
      <c r="R223" s="273"/>
      <c r="S223" s="273"/>
      <c r="T223" s="273"/>
      <c r="U223" s="273"/>
      <c r="V223" s="273"/>
      <c r="W223" s="273"/>
      <c r="X223" s="273"/>
      <c r="Y223" s="273"/>
      <c r="Z223" s="273"/>
      <c r="AA223" s="273"/>
      <c r="AB223" s="273"/>
      <c r="AC223" s="273"/>
      <c r="AD223" s="272"/>
      <c r="AE223" s="493" t="str">
        <f ca="1">IF('CDO Bespoke'!C248&lt;&gt;"",'CDO Bespoke'!C248,"")</f>
        <v/>
      </c>
      <c r="AF223" s="495"/>
      <c r="AG223" s="583"/>
      <c r="AH223" s="583"/>
      <c r="AI223" s="583"/>
      <c r="AJ223" s="496"/>
      <c r="AK223" s="618"/>
      <c r="AL223" s="495"/>
      <c r="AM223" s="583"/>
      <c r="AN223" s="583"/>
      <c r="AO223" s="583"/>
      <c r="AP223" s="496"/>
      <c r="AQ223" s="618"/>
      <c r="AR223" s="505"/>
      <c r="AS223" s="629"/>
      <c r="AT223" s="618"/>
      <c r="AU223" s="505"/>
      <c r="AV223" s="581"/>
      <c r="AW223" s="618"/>
    </row>
    <row r="224" spans="2:49">
      <c r="B224" s="516" t="s">
        <v>568</v>
      </c>
      <c r="C224" s="517" t="s">
        <v>66</v>
      </c>
      <c r="D224" s="517" t="s">
        <v>57</v>
      </c>
      <c r="E224" s="517" t="s">
        <v>647</v>
      </c>
      <c r="F224" s="517" t="s">
        <v>651</v>
      </c>
      <c r="G224" s="524">
        <v>0.01</v>
      </c>
      <c r="H224" s="524">
        <v>4.4660000000000004E-3</v>
      </c>
      <c r="I224" s="526">
        <v>0.4</v>
      </c>
      <c r="J224" s="592">
        <v>7</v>
      </c>
      <c r="K224" s="518">
        <v>67</v>
      </c>
      <c r="L224" s="272"/>
      <c r="M224" s="272"/>
      <c r="P224" s="273"/>
      <c r="Q224" s="273"/>
      <c r="R224" s="273"/>
      <c r="S224" s="273"/>
      <c r="T224" s="273"/>
      <c r="U224" s="273"/>
      <c r="V224" s="273"/>
      <c r="W224" s="273"/>
      <c r="X224" s="273"/>
      <c r="Y224" s="273"/>
      <c r="Z224" s="273"/>
      <c r="AA224" s="273"/>
      <c r="AB224" s="273"/>
      <c r="AC224" s="273"/>
      <c r="AD224" s="272"/>
      <c r="AE224" s="493" t="str">
        <f ca="1">IF('CDO Bespoke'!C249&lt;&gt;"",'CDO Bespoke'!C249,"")</f>
        <v/>
      </c>
      <c r="AF224" s="495"/>
      <c r="AG224" s="583"/>
      <c r="AH224" s="583"/>
      <c r="AI224" s="583"/>
      <c r="AJ224" s="496"/>
      <c r="AK224" s="618"/>
      <c r="AL224" s="495"/>
      <c r="AM224" s="583"/>
      <c r="AN224" s="583"/>
      <c r="AO224" s="583"/>
      <c r="AP224" s="496"/>
      <c r="AQ224" s="618"/>
      <c r="AR224" s="505"/>
      <c r="AS224" s="629"/>
      <c r="AT224" s="618"/>
      <c r="AU224" s="505"/>
      <c r="AV224" s="581"/>
      <c r="AW224" s="618"/>
    </row>
    <row r="225" spans="2:49">
      <c r="B225" s="533" t="s">
        <v>568</v>
      </c>
      <c r="C225" s="534" t="s">
        <v>66</v>
      </c>
      <c r="D225" s="534" t="s">
        <v>59</v>
      </c>
      <c r="E225" s="534" t="s">
        <v>647</v>
      </c>
      <c r="F225" s="534" t="s">
        <v>651</v>
      </c>
      <c r="G225" s="535">
        <v>0.01</v>
      </c>
      <c r="H225" s="535">
        <v>5.9670000000000001E-3</v>
      </c>
      <c r="I225" s="536">
        <v>0.4</v>
      </c>
      <c r="J225" s="593">
        <v>7</v>
      </c>
      <c r="K225" s="537">
        <v>67</v>
      </c>
      <c r="L225" s="272"/>
      <c r="M225" s="272"/>
      <c r="P225" s="273"/>
      <c r="Q225" s="273"/>
      <c r="R225" s="273"/>
      <c r="S225" s="273"/>
      <c r="T225" s="273"/>
      <c r="U225" s="273"/>
      <c r="V225" s="273"/>
      <c r="W225" s="273"/>
      <c r="X225" s="273"/>
      <c r="Y225" s="273"/>
      <c r="Z225" s="273"/>
      <c r="AA225" s="273"/>
      <c r="AB225" s="273"/>
      <c r="AC225" s="273"/>
      <c r="AD225" s="272"/>
      <c r="AE225" s="493" t="str">
        <f ca="1">IF('CDO Bespoke'!C250&lt;&gt;"",'CDO Bespoke'!C250,"")</f>
        <v/>
      </c>
      <c r="AF225" s="495"/>
      <c r="AG225" s="583"/>
      <c r="AH225" s="583"/>
      <c r="AI225" s="583"/>
      <c r="AJ225" s="496"/>
      <c r="AK225" s="618"/>
      <c r="AL225" s="495"/>
      <c r="AM225" s="583"/>
      <c r="AN225" s="583"/>
      <c r="AO225" s="583"/>
      <c r="AP225" s="496"/>
      <c r="AQ225" s="618"/>
      <c r="AR225" s="505"/>
      <c r="AS225" s="629"/>
      <c r="AT225" s="618"/>
      <c r="AU225" s="505"/>
      <c r="AV225" s="581"/>
      <c r="AW225" s="618"/>
    </row>
    <row r="226" spans="2:49">
      <c r="B226" s="538" t="s">
        <v>569</v>
      </c>
      <c r="C226" s="539" t="s">
        <v>66</v>
      </c>
      <c r="D226" s="539" t="s">
        <v>55</v>
      </c>
      <c r="E226" s="539" t="s">
        <v>645</v>
      </c>
      <c r="F226" s="539" t="s">
        <v>650</v>
      </c>
      <c r="G226" s="540">
        <v>0.01</v>
      </c>
      <c r="H226" s="540">
        <v>3.4719999999999998E-3</v>
      </c>
      <c r="I226" s="541">
        <v>0.4</v>
      </c>
      <c r="J226" s="600">
        <v>4</v>
      </c>
      <c r="K226" s="542">
        <v>68</v>
      </c>
      <c r="L226" s="272"/>
      <c r="M226" s="272"/>
      <c r="P226" s="273"/>
      <c r="Q226" s="273"/>
      <c r="R226" s="273"/>
      <c r="S226" s="273"/>
      <c r="T226" s="273"/>
      <c r="U226" s="273"/>
      <c r="V226" s="273"/>
      <c r="W226" s="273"/>
      <c r="X226" s="273"/>
      <c r="Y226" s="273"/>
      <c r="Z226" s="273"/>
      <c r="AA226" s="273"/>
      <c r="AB226" s="273"/>
      <c r="AC226" s="273"/>
      <c r="AD226" s="272"/>
      <c r="AE226" s="493" t="str">
        <f ca="1">IF('CDO Bespoke'!C251&lt;&gt;"",'CDO Bespoke'!C251,"")</f>
        <v/>
      </c>
      <c r="AF226" s="495"/>
      <c r="AG226" s="583"/>
      <c r="AH226" s="583"/>
      <c r="AI226" s="583"/>
      <c r="AJ226" s="496"/>
      <c r="AK226" s="618"/>
      <c r="AL226" s="495"/>
      <c r="AM226" s="583"/>
      <c r="AN226" s="583"/>
      <c r="AO226" s="583"/>
      <c r="AP226" s="496"/>
      <c r="AQ226" s="618"/>
      <c r="AR226" s="505"/>
      <c r="AS226" s="629"/>
      <c r="AT226" s="618"/>
      <c r="AU226" s="505"/>
      <c r="AV226" s="581"/>
      <c r="AW226" s="618"/>
    </row>
    <row r="227" spans="2:49">
      <c r="B227" s="516" t="s">
        <v>569</v>
      </c>
      <c r="C227" s="517" t="s">
        <v>66</v>
      </c>
      <c r="D227" s="517" t="s">
        <v>57</v>
      </c>
      <c r="E227" s="517" t="s">
        <v>645</v>
      </c>
      <c r="F227" s="517" t="s">
        <v>650</v>
      </c>
      <c r="G227" s="524">
        <v>0.01</v>
      </c>
      <c r="H227" s="524">
        <v>5.6010000000000001E-3</v>
      </c>
      <c r="I227" s="526">
        <v>0.4</v>
      </c>
      <c r="J227" s="592">
        <v>4</v>
      </c>
      <c r="K227" s="518">
        <v>68</v>
      </c>
      <c r="L227" s="272"/>
      <c r="M227" s="272"/>
      <c r="P227" s="273"/>
      <c r="Q227" s="273"/>
      <c r="R227" s="273"/>
      <c r="S227" s="273"/>
      <c r="T227" s="273"/>
      <c r="U227" s="273"/>
      <c r="V227" s="273"/>
      <c r="W227" s="273"/>
      <c r="X227" s="273"/>
      <c r="Y227" s="273"/>
      <c r="Z227" s="273"/>
      <c r="AA227" s="273"/>
      <c r="AB227" s="273"/>
      <c r="AC227" s="273"/>
      <c r="AD227" s="272"/>
      <c r="AE227" s="493" t="str">
        <f ca="1">IF('CDO Bespoke'!C252&lt;&gt;"",'CDO Bespoke'!C252,"")</f>
        <v/>
      </c>
      <c r="AF227" s="495"/>
      <c r="AG227" s="583"/>
      <c r="AH227" s="583"/>
      <c r="AI227" s="583"/>
      <c r="AJ227" s="496"/>
      <c r="AK227" s="618"/>
      <c r="AL227" s="495"/>
      <c r="AM227" s="583"/>
      <c r="AN227" s="583"/>
      <c r="AO227" s="583"/>
      <c r="AP227" s="496"/>
      <c r="AQ227" s="618"/>
      <c r="AR227" s="505"/>
      <c r="AS227" s="629"/>
      <c r="AT227" s="618"/>
      <c r="AU227" s="505"/>
      <c r="AV227" s="581"/>
      <c r="AW227" s="618"/>
    </row>
    <row r="228" spans="2:49">
      <c r="B228" s="533" t="s">
        <v>569</v>
      </c>
      <c r="C228" s="534" t="s">
        <v>66</v>
      </c>
      <c r="D228" s="534" t="s">
        <v>59</v>
      </c>
      <c r="E228" s="534" t="s">
        <v>645</v>
      </c>
      <c r="F228" s="534" t="s">
        <v>650</v>
      </c>
      <c r="G228" s="535">
        <v>0.01</v>
      </c>
      <c r="H228" s="535">
        <v>7.7669999999999996E-3</v>
      </c>
      <c r="I228" s="536">
        <v>0.4</v>
      </c>
      <c r="J228" s="593">
        <v>4</v>
      </c>
      <c r="K228" s="537">
        <v>68</v>
      </c>
      <c r="L228" s="272"/>
      <c r="M228" s="272"/>
      <c r="P228" s="273"/>
      <c r="Q228" s="273"/>
      <c r="R228" s="273"/>
      <c r="S228" s="273"/>
      <c r="T228" s="273"/>
      <c r="U228" s="273"/>
      <c r="V228" s="273"/>
      <c r="W228" s="273"/>
      <c r="X228" s="273"/>
      <c r="Y228" s="273"/>
      <c r="Z228" s="273"/>
      <c r="AA228" s="273"/>
      <c r="AB228" s="273"/>
      <c r="AC228" s="273"/>
      <c r="AD228" s="272"/>
      <c r="AE228" s="493" t="str">
        <f ca="1">IF('CDO Bespoke'!C253&lt;&gt;"",'CDO Bespoke'!C253,"")</f>
        <v/>
      </c>
      <c r="AF228" s="495"/>
      <c r="AG228" s="583"/>
      <c r="AH228" s="583"/>
      <c r="AI228" s="583"/>
      <c r="AJ228" s="496"/>
      <c r="AK228" s="618"/>
      <c r="AL228" s="495"/>
      <c r="AM228" s="583"/>
      <c r="AN228" s="583"/>
      <c r="AO228" s="583"/>
      <c r="AP228" s="496"/>
      <c r="AQ228" s="618"/>
      <c r="AR228" s="505"/>
      <c r="AS228" s="629"/>
      <c r="AT228" s="618"/>
      <c r="AU228" s="505"/>
      <c r="AV228" s="581"/>
      <c r="AW228" s="618"/>
    </row>
    <row r="229" spans="2:49">
      <c r="B229" s="538" t="s">
        <v>578</v>
      </c>
      <c r="C229" s="539" t="s">
        <v>66</v>
      </c>
      <c r="D229" s="539" t="s">
        <v>55</v>
      </c>
      <c r="E229" s="539" t="s">
        <v>649</v>
      </c>
      <c r="F229" s="539" t="s">
        <v>650</v>
      </c>
      <c r="G229" s="540">
        <v>0.01</v>
      </c>
      <c r="H229" s="540">
        <v>1.7849999999999999E-3</v>
      </c>
      <c r="I229" s="541">
        <v>0.4</v>
      </c>
      <c r="J229" s="600">
        <v>4</v>
      </c>
      <c r="K229" s="542">
        <v>69</v>
      </c>
      <c r="L229" s="272"/>
      <c r="M229" s="272"/>
      <c r="P229" s="273"/>
      <c r="Q229" s="273"/>
      <c r="R229" s="273"/>
      <c r="S229" s="273"/>
      <c r="T229" s="273"/>
      <c r="U229" s="273"/>
      <c r="V229" s="273"/>
      <c r="W229" s="273"/>
      <c r="X229" s="273"/>
      <c r="Y229" s="273"/>
      <c r="Z229" s="273"/>
      <c r="AA229" s="273"/>
      <c r="AB229" s="273"/>
      <c r="AC229" s="273"/>
      <c r="AD229" s="272"/>
      <c r="AE229" s="493" t="str">
        <f ca="1">IF('CDO Bespoke'!C254&lt;&gt;"",'CDO Bespoke'!C254,"")</f>
        <v/>
      </c>
      <c r="AF229" s="495"/>
      <c r="AG229" s="583"/>
      <c r="AH229" s="583"/>
      <c r="AI229" s="583"/>
      <c r="AJ229" s="496"/>
      <c r="AK229" s="618"/>
      <c r="AL229" s="495"/>
      <c r="AM229" s="583"/>
      <c r="AN229" s="583"/>
      <c r="AO229" s="583"/>
      <c r="AP229" s="496"/>
      <c r="AQ229" s="618"/>
      <c r="AR229" s="505"/>
      <c r="AS229" s="629"/>
      <c r="AT229" s="618"/>
      <c r="AU229" s="505"/>
      <c r="AV229" s="581"/>
      <c r="AW229" s="618"/>
    </row>
    <row r="230" spans="2:49">
      <c r="B230" s="516" t="s">
        <v>578</v>
      </c>
      <c r="C230" s="517" t="s">
        <v>66</v>
      </c>
      <c r="D230" s="517" t="s">
        <v>57</v>
      </c>
      <c r="E230" s="517" t="s">
        <v>649</v>
      </c>
      <c r="F230" s="517" t="s">
        <v>650</v>
      </c>
      <c r="G230" s="524">
        <v>0.01</v>
      </c>
      <c r="H230" s="524">
        <v>2.7560000000000002E-3</v>
      </c>
      <c r="I230" s="526">
        <v>0.4</v>
      </c>
      <c r="J230" s="592">
        <v>4</v>
      </c>
      <c r="K230" s="518">
        <v>69</v>
      </c>
      <c r="L230" s="272"/>
      <c r="M230" s="272"/>
      <c r="P230" s="273"/>
      <c r="Q230" s="273"/>
      <c r="R230" s="273"/>
      <c r="S230" s="273"/>
      <c r="T230" s="273"/>
      <c r="U230" s="273"/>
      <c r="V230" s="273"/>
      <c r="W230" s="273"/>
      <c r="X230" s="273"/>
      <c r="Y230" s="273"/>
      <c r="Z230" s="273"/>
      <c r="AA230" s="273"/>
      <c r="AB230" s="273"/>
      <c r="AC230" s="273"/>
      <c r="AD230" s="272"/>
      <c r="AE230" s="493" t="str">
        <f ca="1">IF('CDO Bespoke'!C255&lt;&gt;"",'CDO Bespoke'!C255,"")</f>
        <v/>
      </c>
      <c r="AF230" s="495"/>
      <c r="AG230" s="583"/>
      <c r="AH230" s="583"/>
      <c r="AI230" s="583"/>
      <c r="AJ230" s="496"/>
      <c r="AK230" s="618"/>
      <c r="AL230" s="495"/>
      <c r="AM230" s="583"/>
      <c r="AN230" s="583"/>
      <c r="AO230" s="583"/>
      <c r="AP230" s="496"/>
      <c r="AQ230" s="618"/>
      <c r="AR230" s="505"/>
      <c r="AS230" s="629"/>
      <c r="AT230" s="618"/>
      <c r="AU230" s="505"/>
      <c r="AV230" s="581"/>
      <c r="AW230" s="618"/>
    </row>
    <row r="231" spans="2:49">
      <c r="B231" s="533" t="s">
        <v>578</v>
      </c>
      <c r="C231" s="534" t="s">
        <v>66</v>
      </c>
      <c r="D231" s="534" t="s">
        <v>59</v>
      </c>
      <c r="E231" s="534" t="s">
        <v>649</v>
      </c>
      <c r="F231" s="534" t="s">
        <v>650</v>
      </c>
      <c r="G231" s="535">
        <v>0.01</v>
      </c>
      <c r="H231" s="535">
        <v>3.7669999999999999E-3</v>
      </c>
      <c r="I231" s="536">
        <v>0.4</v>
      </c>
      <c r="J231" s="593">
        <v>4</v>
      </c>
      <c r="K231" s="537">
        <v>69</v>
      </c>
      <c r="L231" s="272"/>
      <c r="M231" s="272"/>
      <c r="P231" s="273"/>
      <c r="Q231" s="273"/>
      <c r="R231" s="273"/>
      <c r="S231" s="273"/>
      <c r="T231" s="273"/>
      <c r="U231" s="273"/>
      <c r="V231" s="273"/>
      <c r="W231" s="273"/>
      <c r="X231" s="273"/>
      <c r="Y231" s="273"/>
      <c r="Z231" s="273"/>
      <c r="AA231" s="273"/>
      <c r="AB231" s="273"/>
      <c r="AC231" s="273"/>
      <c r="AD231" s="272"/>
      <c r="AE231" s="493" t="str">
        <f ca="1">IF('CDO Bespoke'!C256&lt;&gt;"",'CDO Bespoke'!C256,"")</f>
        <v/>
      </c>
      <c r="AF231" s="495"/>
      <c r="AG231" s="583"/>
      <c r="AH231" s="583"/>
      <c r="AI231" s="583"/>
      <c r="AJ231" s="496"/>
      <c r="AK231" s="618"/>
      <c r="AL231" s="495"/>
      <c r="AM231" s="583"/>
      <c r="AN231" s="583"/>
      <c r="AO231" s="583"/>
      <c r="AP231" s="496"/>
      <c r="AQ231" s="618"/>
      <c r="AR231" s="505"/>
      <c r="AS231" s="629"/>
      <c r="AT231" s="618"/>
      <c r="AU231" s="505"/>
      <c r="AV231" s="581"/>
      <c r="AW231" s="618"/>
    </row>
    <row r="232" spans="2:49">
      <c r="B232" s="538" t="s">
        <v>570</v>
      </c>
      <c r="C232" s="539" t="s">
        <v>66</v>
      </c>
      <c r="D232" s="539" t="s">
        <v>55</v>
      </c>
      <c r="E232" s="539" t="s">
        <v>647</v>
      </c>
      <c r="F232" s="539" t="s">
        <v>651</v>
      </c>
      <c r="G232" s="540">
        <v>0.01</v>
      </c>
      <c r="H232" s="540">
        <v>2.5920000000000001E-3</v>
      </c>
      <c r="I232" s="541">
        <v>0.4</v>
      </c>
      <c r="J232" s="600">
        <v>7</v>
      </c>
      <c r="K232" s="542">
        <v>70</v>
      </c>
      <c r="L232" s="272"/>
      <c r="M232" s="272"/>
      <c r="P232" s="273"/>
      <c r="Q232" s="273"/>
      <c r="R232" s="273"/>
      <c r="S232" s="273"/>
      <c r="T232" s="273"/>
      <c r="U232" s="273"/>
      <c r="V232" s="273"/>
      <c r="W232" s="273"/>
      <c r="X232" s="273"/>
      <c r="Y232" s="273"/>
      <c r="Z232" s="273"/>
      <c r="AA232" s="273"/>
      <c r="AB232" s="273"/>
      <c r="AC232" s="273"/>
      <c r="AD232" s="272"/>
      <c r="AE232" s="493" t="str">
        <f ca="1">IF('CDO Bespoke'!C257&lt;&gt;"",'CDO Bespoke'!C257,"")</f>
        <v/>
      </c>
      <c r="AF232" s="495"/>
      <c r="AG232" s="583"/>
      <c r="AH232" s="583"/>
      <c r="AI232" s="583"/>
      <c r="AJ232" s="496"/>
      <c r="AK232" s="618"/>
      <c r="AL232" s="495"/>
      <c r="AM232" s="583"/>
      <c r="AN232" s="583"/>
      <c r="AO232" s="583"/>
      <c r="AP232" s="496"/>
      <c r="AQ232" s="618"/>
      <c r="AR232" s="505"/>
      <c r="AS232" s="629"/>
      <c r="AT232" s="618"/>
      <c r="AU232" s="505"/>
      <c r="AV232" s="581"/>
      <c r="AW232" s="618"/>
    </row>
    <row r="233" spans="2:49">
      <c r="B233" s="516" t="s">
        <v>570</v>
      </c>
      <c r="C233" s="517" t="s">
        <v>66</v>
      </c>
      <c r="D233" s="517" t="s">
        <v>57</v>
      </c>
      <c r="E233" s="517" t="s">
        <v>647</v>
      </c>
      <c r="F233" s="517" t="s">
        <v>651</v>
      </c>
      <c r="G233" s="524">
        <v>0.01</v>
      </c>
      <c r="H233" s="524">
        <v>4.5840000000000004E-3</v>
      </c>
      <c r="I233" s="526">
        <v>0.4</v>
      </c>
      <c r="J233" s="592">
        <v>7</v>
      </c>
      <c r="K233" s="518">
        <v>70</v>
      </c>
      <c r="L233" s="272"/>
      <c r="M233" s="272"/>
      <c r="P233" s="273"/>
      <c r="Q233" s="273"/>
      <c r="R233" s="273"/>
      <c r="S233" s="273"/>
      <c r="T233" s="273"/>
      <c r="U233" s="273"/>
      <c r="V233" s="273"/>
      <c r="W233" s="273"/>
      <c r="X233" s="273"/>
      <c r="Y233" s="273"/>
      <c r="Z233" s="273"/>
      <c r="AA233" s="273"/>
      <c r="AB233" s="273"/>
      <c r="AC233" s="273"/>
      <c r="AD233" s="272"/>
      <c r="AE233" s="493" t="str">
        <f ca="1">IF('CDO Bespoke'!C258&lt;&gt;"",'CDO Bespoke'!C258,"")</f>
        <v/>
      </c>
      <c r="AF233" s="495"/>
      <c r="AG233" s="583"/>
      <c r="AH233" s="583"/>
      <c r="AI233" s="583"/>
      <c r="AJ233" s="496"/>
      <c r="AK233" s="618"/>
      <c r="AL233" s="495"/>
      <c r="AM233" s="583"/>
      <c r="AN233" s="583"/>
      <c r="AO233" s="583"/>
      <c r="AP233" s="496"/>
      <c r="AQ233" s="618"/>
      <c r="AR233" s="505"/>
      <c r="AS233" s="629"/>
      <c r="AT233" s="618"/>
      <c r="AU233" s="505"/>
      <c r="AV233" s="581"/>
      <c r="AW233" s="618"/>
    </row>
    <row r="234" spans="2:49">
      <c r="B234" s="533" t="s">
        <v>570</v>
      </c>
      <c r="C234" s="534" t="s">
        <v>66</v>
      </c>
      <c r="D234" s="534" t="s">
        <v>59</v>
      </c>
      <c r="E234" s="534" t="s">
        <v>647</v>
      </c>
      <c r="F234" s="534" t="s">
        <v>651</v>
      </c>
      <c r="G234" s="535">
        <v>0.01</v>
      </c>
      <c r="H234" s="535">
        <v>6.4619999999999999E-3</v>
      </c>
      <c r="I234" s="536">
        <v>0.4</v>
      </c>
      <c r="J234" s="593">
        <v>7</v>
      </c>
      <c r="K234" s="537">
        <v>70</v>
      </c>
      <c r="L234" s="272"/>
      <c r="M234" s="272"/>
      <c r="P234" s="273"/>
      <c r="Q234" s="273"/>
      <c r="R234" s="273"/>
      <c r="S234" s="273"/>
      <c r="T234" s="273"/>
      <c r="U234" s="273"/>
      <c r="V234" s="273"/>
      <c r="W234" s="273"/>
      <c r="X234" s="273"/>
      <c r="Y234" s="273"/>
      <c r="Z234" s="273"/>
      <c r="AA234" s="273"/>
      <c r="AB234" s="273"/>
      <c r="AC234" s="273"/>
      <c r="AD234" s="272"/>
      <c r="AE234" s="493" t="str">
        <f ca="1">IF('CDO Bespoke'!C259&lt;&gt;"",'CDO Bespoke'!C259,"")</f>
        <v/>
      </c>
      <c r="AF234" s="495"/>
      <c r="AG234" s="583"/>
      <c r="AH234" s="583"/>
      <c r="AI234" s="583"/>
      <c r="AJ234" s="496"/>
      <c r="AK234" s="618"/>
      <c r="AL234" s="495"/>
      <c r="AM234" s="583"/>
      <c r="AN234" s="583"/>
      <c r="AO234" s="583"/>
      <c r="AP234" s="496"/>
      <c r="AQ234" s="618"/>
      <c r="AR234" s="505"/>
      <c r="AS234" s="629"/>
      <c r="AT234" s="618"/>
      <c r="AU234" s="505"/>
      <c r="AV234" s="581"/>
      <c r="AW234" s="618"/>
    </row>
    <row r="235" spans="2:49">
      <c r="B235" s="538" t="s">
        <v>571</v>
      </c>
      <c r="C235" s="539" t="s">
        <v>66</v>
      </c>
      <c r="D235" s="539" t="s">
        <v>55</v>
      </c>
      <c r="E235" s="539" t="s">
        <v>647</v>
      </c>
      <c r="F235" s="539" t="s">
        <v>651</v>
      </c>
      <c r="G235" s="540">
        <v>0.01</v>
      </c>
      <c r="H235" s="540">
        <v>2.307E-3</v>
      </c>
      <c r="I235" s="541">
        <v>0.4</v>
      </c>
      <c r="J235" s="600">
        <v>7</v>
      </c>
      <c r="K235" s="542">
        <v>71</v>
      </c>
      <c r="L235" s="272"/>
      <c r="M235" s="272"/>
      <c r="P235" s="273"/>
      <c r="Q235" s="273"/>
      <c r="R235" s="273"/>
      <c r="S235" s="273"/>
      <c r="T235" s="273"/>
      <c r="U235" s="273"/>
      <c r="V235" s="273"/>
      <c r="W235" s="273"/>
      <c r="X235" s="273"/>
      <c r="Y235" s="273"/>
      <c r="Z235" s="273"/>
      <c r="AA235" s="273"/>
      <c r="AB235" s="273"/>
      <c r="AC235" s="273"/>
      <c r="AD235" s="272"/>
      <c r="AE235" s="493" t="str">
        <f ca="1">IF('CDO Bespoke'!C260&lt;&gt;"",'CDO Bespoke'!C260,"")</f>
        <v/>
      </c>
      <c r="AF235" s="495"/>
      <c r="AG235" s="583"/>
      <c r="AH235" s="583"/>
      <c r="AI235" s="583"/>
      <c r="AJ235" s="496"/>
      <c r="AK235" s="618"/>
      <c r="AL235" s="495"/>
      <c r="AM235" s="583"/>
      <c r="AN235" s="583"/>
      <c r="AO235" s="583"/>
      <c r="AP235" s="496"/>
      <c r="AQ235" s="618"/>
      <c r="AR235" s="505"/>
      <c r="AS235" s="629"/>
      <c r="AT235" s="618"/>
      <c r="AU235" s="505"/>
      <c r="AV235" s="581"/>
      <c r="AW235" s="618"/>
    </row>
    <row r="236" spans="2:49">
      <c r="B236" s="516" t="s">
        <v>571</v>
      </c>
      <c r="C236" s="517" t="s">
        <v>66</v>
      </c>
      <c r="D236" s="517" t="s">
        <v>57</v>
      </c>
      <c r="E236" s="517" t="s">
        <v>647</v>
      </c>
      <c r="F236" s="517" t="s">
        <v>651</v>
      </c>
      <c r="G236" s="524">
        <v>0.01</v>
      </c>
      <c r="H236" s="524">
        <v>3.8999999999999998E-3</v>
      </c>
      <c r="I236" s="526">
        <v>0.4</v>
      </c>
      <c r="J236" s="592">
        <v>7</v>
      </c>
      <c r="K236" s="518">
        <v>71</v>
      </c>
      <c r="L236" s="272"/>
      <c r="M236" s="272"/>
      <c r="P236" s="273"/>
      <c r="Q236" s="273"/>
      <c r="R236" s="273"/>
      <c r="S236" s="273"/>
      <c r="T236" s="273"/>
      <c r="U236" s="273"/>
      <c r="V236" s="273"/>
      <c r="W236" s="273"/>
      <c r="X236" s="273"/>
      <c r="Y236" s="273"/>
      <c r="Z236" s="273"/>
      <c r="AA236" s="273"/>
      <c r="AB236" s="273"/>
      <c r="AC236" s="273"/>
      <c r="AD236" s="272"/>
      <c r="AE236" s="493" t="str">
        <f ca="1">IF('CDO Bespoke'!C261&lt;&gt;"",'CDO Bespoke'!C261,"")</f>
        <v/>
      </c>
      <c r="AF236" s="495"/>
      <c r="AG236" s="583"/>
      <c r="AH236" s="583"/>
      <c r="AI236" s="583"/>
      <c r="AJ236" s="496"/>
      <c r="AK236" s="618"/>
      <c r="AL236" s="495"/>
      <c r="AM236" s="583"/>
      <c r="AN236" s="583"/>
      <c r="AO236" s="583"/>
      <c r="AP236" s="496"/>
      <c r="AQ236" s="618"/>
      <c r="AR236" s="505"/>
      <c r="AS236" s="629"/>
      <c r="AT236" s="618"/>
      <c r="AU236" s="505"/>
      <c r="AV236" s="581"/>
      <c r="AW236" s="618"/>
    </row>
    <row r="237" spans="2:49">
      <c r="B237" s="533" t="s">
        <v>571</v>
      </c>
      <c r="C237" s="534" t="s">
        <v>66</v>
      </c>
      <c r="D237" s="534" t="s">
        <v>59</v>
      </c>
      <c r="E237" s="534" t="s">
        <v>647</v>
      </c>
      <c r="F237" s="534" t="s">
        <v>651</v>
      </c>
      <c r="G237" s="535">
        <v>0.01</v>
      </c>
      <c r="H237" s="535">
        <v>5.7710000000000001E-3</v>
      </c>
      <c r="I237" s="536">
        <v>0.4</v>
      </c>
      <c r="J237" s="593">
        <v>7</v>
      </c>
      <c r="K237" s="537">
        <v>71</v>
      </c>
      <c r="L237" s="272"/>
      <c r="M237" s="272"/>
      <c r="P237" s="273"/>
      <c r="Q237" s="273"/>
      <c r="R237" s="273"/>
      <c r="S237" s="273"/>
      <c r="T237" s="273"/>
      <c r="U237" s="273"/>
      <c r="V237" s="273"/>
      <c r="W237" s="273"/>
      <c r="X237" s="273"/>
      <c r="Y237" s="273"/>
      <c r="Z237" s="273"/>
      <c r="AA237" s="273"/>
      <c r="AB237" s="273"/>
      <c r="AC237" s="273"/>
      <c r="AD237" s="272"/>
      <c r="AE237" s="493" t="str">
        <f ca="1">IF('CDO Bespoke'!C262&lt;&gt;"",'CDO Bespoke'!C262,"")</f>
        <v/>
      </c>
      <c r="AF237" s="495"/>
      <c r="AG237" s="583"/>
      <c r="AH237" s="583"/>
      <c r="AI237" s="583"/>
      <c r="AJ237" s="496"/>
      <c r="AK237" s="618"/>
      <c r="AL237" s="495"/>
      <c r="AM237" s="583"/>
      <c r="AN237" s="583"/>
      <c r="AO237" s="583"/>
      <c r="AP237" s="496"/>
      <c r="AQ237" s="618"/>
      <c r="AR237" s="505"/>
      <c r="AS237" s="629"/>
      <c r="AT237" s="618"/>
      <c r="AU237" s="505"/>
      <c r="AV237" s="581"/>
      <c r="AW237" s="618"/>
    </row>
    <row r="238" spans="2:49">
      <c r="B238" s="538" t="s">
        <v>572</v>
      </c>
      <c r="C238" s="539" t="s">
        <v>66</v>
      </c>
      <c r="D238" s="539" t="s">
        <v>55</v>
      </c>
      <c r="E238" s="539" t="s">
        <v>647</v>
      </c>
      <c r="F238" s="539" t="s">
        <v>651</v>
      </c>
      <c r="G238" s="540">
        <v>0.01</v>
      </c>
      <c r="H238" s="540">
        <v>3.751E-3</v>
      </c>
      <c r="I238" s="541">
        <v>0.4</v>
      </c>
      <c r="J238" s="600">
        <v>7</v>
      </c>
      <c r="K238" s="542">
        <v>72</v>
      </c>
      <c r="L238" s="272"/>
      <c r="M238" s="272"/>
      <c r="P238" s="273"/>
      <c r="Q238" s="273"/>
      <c r="R238" s="273"/>
      <c r="S238" s="273"/>
      <c r="T238" s="273"/>
      <c r="U238" s="273"/>
      <c r="V238" s="273"/>
      <c r="W238" s="273"/>
      <c r="X238" s="273"/>
      <c r="Y238" s="273"/>
      <c r="Z238" s="273"/>
      <c r="AA238" s="273"/>
      <c r="AB238" s="273"/>
      <c r="AC238" s="273"/>
      <c r="AD238" s="272"/>
      <c r="AE238" s="493" t="str">
        <f ca="1">IF('CDO Bespoke'!C263&lt;&gt;"",'CDO Bespoke'!C263,"")</f>
        <v/>
      </c>
      <c r="AF238" s="495"/>
      <c r="AG238" s="583"/>
      <c r="AH238" s="583"/>
      <c r="AI238" s="583"/>
      <c r="AJ238" s="496"/>
      <c r="AK238" s="618"/>
      <c r="AL238" s="495"/>
      <c r="AM238" s="583"/>
      <c r="AN238" s="583"/>
      <c r="AO238" s="583"/>
      <c r="AP238" s="496"/>
      <c r="AQ238" s="618"/>
      <c r="AR238" s="505"/>
      <c r="AS238" s="629"/>
      <c r="AT238" s="618"/>
      <c r="AU238" s="505"/>
      <c r="AV238" s="581"/>
      <c r="AW238" s="618"/>
    </row>
    <row r="239" spans="2:49">
      <c r="B239" s="516" t="s">
        <v>572</v>
      </c>
      <c r="C239" s="517" t="s">
        <v>66</v>
      </c>
      <c r="D239" s="517" t="s">
        <v>57</v>
      </c>
      <c r="E239" s="517" t="s">
        <v>647</v>
      </c>
      <c r="F239" s="517" t="s">
        <v>651</v>
      </c>
      <c r="G239" s="524">
        <v>0.01</v>
      </c>
      <c r="H239" s="524">
        <v>5.8129999999999996E-3</v>
      </c>
      <c r="I239" s="526">
        <v>0.4</v>
      </c>
      <c r="J239" s="592">
        <v>7</v>
      </c>
      <c r="K239" s="518">
        <v>72</v>
      </c>
      <c r="L239" s="272"/>
      <c r="M239" s="272"/>
      <c r="P239" s="273"/>
      <c r="Q239" s="273"/>
      <c r="R239" s="273"/>
      <c r="S239" s="273"/>
      <c r="T239" s="273"/>
      <c r="U239" s="273"/>
      <c r="V239" s="273"/>
      <c r="W239" s="273"/>
      <c r="X239" s="273"/>
      <c r="Y239" s="273"/>
      <c r="Z239" s="273"/>
      <c r="AA239" s="273"/>
      <c r="AB239" s="273"/>
      <c r="AC239" s="273"/>
      <c r="AD239" s="272"/>
      <c r="AE239" s="493" t="str">
        <f ca="1">IF('CDO Bespoke'!C264&lt;&gt;"",'CDO Bespoke'!C264,"")</f>
        <v/>
      </c>
      <c r="AF239" s="495"/>
      <c r="AG239" s="583"/>
      <c r="AH239" s="583"/>
      <c r="AI239" s="583"/>
      <c r="AJ239" s="496"/>
      <c r="AK239" s="618"/>
      <c r="AL239" s="495"/>
      <c r="AM239" s="583"/>
      <c r="AN239" s="583"/>
      <c r="AO239" s="583"/>
      <c r="AP239" s="496"/>
      <c r="AQ239" s="618"/>
      <c r="AR239" s="505"/>
      <c r="AS239" s="629"/>
      <c r="AT239" s="618"/>
      <c r="AU239" s="505"/>
      <c r="AV239" s="581"/>
      <c r="AW239" s="618"/>
    </row>
    <row r="240" spans="2:49">
      <c r="B240" s="533" t="s">
        <v>572</v>
      </c>
      <c r="C240" s="534" t="s">
        <v>66</v>
      </c>
      <c r="D240" s="534" t="s">
        <v>59</v>
      </c>
      <c r="E240" s="534" t="s">
        <v>647</v>
      </c>
      <c r="F240" s="534" t="s">
        <v>651</v>
      </c>
      <c r="G240" s="535">
        <v>0.01</v>
      </c>
      <c r="H240" s="535">
        <v>8.0239999999999999E-3</v>
      </c>
      <c r="I240" s="536">
        <v>0.4</v>
      </c>
      <c r="J240" s="593">
        <v>7</v>
      </c>
      <c r="K240" s="537">
        <v>72</v>
      </c>
      <c r="L240" s="272"/>
      <c r="M240" s="272"/>
      <c r="P240" s="273"/>
      <c r="Q240" s="273"/>
      <c r="R240" s="273"/>
      <c r="S240" s="273"/>
      <c r="T240" s="273"/>
      <c r="U240" s="273"/>
      <c r="V240" s="273"/>
      <c r="W240" s="273"/>
      <c r="X240" s="273"/>
      <c r="Y240" s="273"/>
      <c r="Z240" s="273"/>
      <c r="AA240" s="273"/>
      <c r="AB240" s="273"/>
      <c r="AC240" s="273"/>
      <c r="AD240" s="272"/>
      <c r="AE240" s="493" t="str">
        <f ca="1">IF('CDO Bespoke'!C265&lt;&gt;"",'CDO Bespoke'!C265,"")</f>
        <v/>
      </c>
      <c r="AF240" s="495"/>
      <c r="AG240" s="583"/>
      <c r="AH240" s="583"/>
      <c r="AI240" s="583"/>
      <c r="AJ240" s="496"/>
      <c r="AK240" s="618"/>
      <c r="AL240" s="495"/>
      <c r="AM240" s="583"/>
      <c r="AN240" s="583"/>
      <c r="AO240" s="583"/>
      <c r="AP240" s="496"/>
      <c r="AQ240" s="618"/>
      <c r="AR240" s="505"/>
      <c r="AS240" s="629"/>
      <c r="AT240" s="618"/>
      <c r="AU240" s="505"/>
      <c r="AV240" s="581"/>
      <c r="AW240" s="618"/>
    </row>
    <row r="241" spans="2:49">
      <c r="B241" s="538" t="s">
        <v>573</v>
      </c>
      <c r="C241" s="539" t="s">
        <v>66</v>
      </c>
      <c r="D241" s="539" t="s">
        <v>55</v>
      </c>
      <c r="E241" s="539" t="s">
        <v>647</v>
      </c>
      <c r="F241" s="539" t="s">
        <v>651</v>
      </c>
      <c r="G241" s="540">
        <v>0.01</v>
      </c>
      <c r="H241" s="540">
        <v>2.993E-3</v>
      </c>
      <c r="I241" s="541">
        <v>0.4</v>
      </c>
      <c r="J241" s="600">
        <v>7</v>
      </c>
      <c r="K241" s="542">
        <v>73</v>
      </c>
      <c r="L241" s="272"/>
      <c r="M241" s="272"/>
      <c r="P241" s="273"/>
      <c r="Q241" s="273"/>
      <c r="R241" s="273"/>
      <c r="S241" s="273"/>
      <c r="T241" s="273"/>
      <c r="U241" s="273"/>
      <c r="V241" s="273"/>
      <c r="W241" s="273"/>
      <c r="X241" s="273"/>
      <c r="Y241" s="273"/>
      <c r="Z241" s="273"/>
      <c r="AA241" s="273"/>
      <c r="AB241" s="273"/>
      <c r="AC241" s="273"/>
      <c r="AD241" s="272"/>
      <c r="AE241" s="493" t="str">
        <f ca="1">IF('CDO Bespoke'!C266&lt;&gt;"",'CDO Bespoke'!C266,"")</f>
        <v/>
      </c>
      <c r="AF241" s="495"/>
      <c r="AG241" s="583"/>
      <c r="AH241" s="583"/>
      <c r="AI241" s="583"/>
      <c r="AJ241" s="496"/>
      <c r="AK241" s="618"/>
      <c r="AL241" s="495"/>
      <c r="AM241" s="583"/>
      <c r="AN241" s="583"/>
      <c r="AO241" s="583"/>
      <c r="AP241" s="496"/>
      <c r="AQ241" s="618"/>
      <c r="AR241" s="505"/>
      <c r="AS241" s="629"/>
      <c r="AT241" s="618"/>
      <c r="AU241" s="505"/>
      <c r="AV241" s="581"/>
      <c r="AW241" s="618"/>
    </row>
    <row r="242" spans="2:49">
      <c r="B242" s="516" t="s">
        <v>573</v>
      </c>
      <c r="C242" s="517" t="s">
        <v>66</v>
      </c>
      <c r="D242" s="517" t="s">
        <v>57</v>
      </c>
      <c r="E242" s="517" t="s">
        <v>647</v>
      </c>
      <c r="F242" s="517" t="s">
        <v>651</v>
      </c>
      <c r="G242" s="524">
        <v>0.01</v>
      </c>
      <c r="H242" s="524">
        <v>4.7149999999999996E-3</v>
      </c>
      <c r="I242" s="526">
        <v>0.4</v>
      </c>
      <c r="J242" s="592">
        <v>7</v>
      </c>
      <c r="K242" s="518">
        <v>73</v>
      </c>
      <c r="L242" s="272"/>
      <c r="M242" s="272"/>
      <c r="P242" s="273"/>
      <c r="Q242" s="273"/>
      <c r="R242" s="273"/>
      <c r="S242" s="273"/>
      <c r="T242" s="273"/>
      <c r="U242" s="273"/>
      <c r="V242" s="273"/>
      <c r="W242" s="273"/>
      <c r="X242" s="273"/>
      <c r="Y242" s="273"/>
      <c r="Z242" s="273"/>
      <c r="AA242" s="273"/>
      <c r="AB242" s="273"/>
      <c r="AC242" s="273"/>
      <c r="AD242" s="272"/>
      <c r="AE242" s="493" t="str">
        <f ca="1">IF('CDO Bespoke'!C267&lt;&gt;"",'CDO Bespoke'!C267,"")</f>
        <v/>
      </c>
      <c r="AF242" s="495"/>
      <c r="AG242" s="583"/>
      <c r="AH242" s="583"/>
      <c r="AI242" s="583"/>
      <c r="AJ242" s="496"/>
      <c r="AK242" s="618"/>
      <c r="AL242" s="495"/>
      <c r="AM242" s="583"/>
      <c r="AN242" s="583"/>
      <c r="AO242" s="583"/>
      <c r="AP242" s="496"/>
      <c r="AQ242" s="618"/>
      <c r="AR242" s="505"/>
      <c r="AS242" s="629"/>
      <c r="AT242" s="618"/>
      <c r="AU242" s="505"/>
      <c r="AV242" s="581"/>
      <c r="AW242" s="618"/>
    </row>
    <row r="243" spans="2:49">
      <c r="B243" s="533" t="s">
        <v>573</v>
      </c>
      <c r="C243" s="534" t="s">
        <v>66</v>
      </c>
      <c r="D243" s="534" t="s">
        <v>59</v>
      </c>
      <c r="E243" s="534" t="s">
        <v>647</v>
      </c>
      <c r="F243" s="534" t="s">
        <v>651</v>
      </c>
      <c r="G243" s="535">
        <v>0.01</v>
      </c>
      <c r="H243" s="535">
        <v>6.6360000000000004E-3</v>
      </c>
      <c r="I243" s="536">
        <v>0.4</v>
      </c>
      <c r="J243" s="593">
        <v>7</v>
      </c>
      <c r="K243" s="537">
        <v>73</v>
      </c>
      <c r="L243" s="272"/>
      <c r="M243" s="272"/>
      <c r="P243" s="273"/>
      <c r="Q243" s="273"/>
      <c r="R243" s="273"/>
      <c r="S243" s="273"/>
      <c r="T243" s="273"/>
      <c r="U243" s="273"/>
      <c r="V243" s="273"/>
      <c r="W243" s="273"/>
      <c r="X243" s="273"/>
      <c r="Y243" s="273"/>
      <c r="Z243" s="273"/>
      <c r="AA243" s="273"/>
      <c r="AB243" s="273"/>
      <c r="AC243" s="273"/>
      <c r="AD243" s="272"/>
      <c r="AE243" s="493" t="str">
        <f ca="1">IF('CDO Bespoke'!C268&lt;&gt;"",'CDO Bespoke'!C268,"")</f>
        <v/>
      </c>
      <c r="AF243" s="495"/>
      <c r="AG243" s="583"/>
      <c r="AH243" s="583"/>
      <c r="AI243" s="583"/>
      <c r="AJ243" s="496"/>
      <c r="AK243" s="618"/>
      <c r="AL243" s="495"/>
      <c r="AM243" s="583"/>
      <c r="AN243" s="583"/>
      <c r="AO243" s="583"/>
      <c r="AP243" s="496"/>
      <c r="AQ243" s="618"/>
      <c r="AR243" s="505"/>
      <c r="AS243" s="629"/>
      <c r="AT243" s="618"/>
      <c r="AU243" s="505"/>
      <c r="AV243" s="581"/>
      <c r="AW243" s="618"/>
    </row>
    <row r="244" spans="2:49">
      <c r="B244" s="538" t="s">
        <v>574</v>
      </c>
      <c r="C244" s="539" t="s">
        <v>66</v>
      </c>
      <c r="D244" s="539" t="s">
        <v>55</v>
      </c>
      <c r="E244" s="539" t="s">
        <v>647</v>
      </c>
      <c r="F244" s="539" t="s">
        <v>650</v>
      </c>
      <c r="G244" s="540">
        <v>0.01</v>
      </c>
      <c r="H244" s="540">
        <v>4.0020000000000003E-3</v>
      </c>
      <c r="I244" s="541">
        <v>0.4</v>
      </c>
      <c r="J244" s="600">
        <v>4</v>
      </c>
      <c r="K244" s="542">
        <v>74</v>
      </c>
      <c r="L244" s="272"/>
      <c r="M244" s="272"/>
      <c r="P244" s="273"/>
      <c r="Q244" s="273"/>
      <c r="R244" s="273"/>
      <c r="S244" s="273"/>
      <c r="T244" s="273"/>
      <c r="U244" s="273"/>
      <c r="V244" s="273"/>
      <c r="W244" s="273"/>
      <c r="X244" s="273"/>
      <c r="Y244" s="273"/>
      <c r="Z244" s="273"/>
      <c r="AA244" s="273"/>
      <c r="AB244" s="273"/>
      <c r="AC244" s="273"/>
      <c r="AD244" s="272"/>
      <c r="AE244" s="493" t="str">
        <f ca="1">IF('CDO Bespoke'!C269&lt;&gt;"",'CDO Bespoke'!C269,"")</f>
        <v/>
      </c>
      <c r="AF244" s="495"/>
      <c r="AG244" s="583"/>
      <c r="AH244" s="583"/>
      <c r="AI244" s="583"/>
      <c r="AJ244" s="496"/>
      <c r="AK244" s="618"/>
      <c r="AL244" s="495"/>
      <c r="AM244" s="583"/>
      <c r="AN244" s="583"/>
      <c r="AO244" s="583"/>
      <c r="AP244" s="496"/>
      <c r="AQ244" s="618"/>
      <c r="AR244" s="505"/>
      <c r="AS244" s="629"/>
      <c r="AT244" s="618"/>
      <c r="AU244" s="505"/>
      <c r="AV244" s="581"/>
      <c r="AW244" s="618"/>
    </row>
    <row r="245" spans="2:49">
      <c r="B245" s="516" t="s">
        <v>574</v>
      </c>
      <c r="C245" s="517" t="s">
        <v>66</v>
      </c>
      <c r="D245" s="517" t="s">
        <v>57</v>
      </c>
      <c r="E245" s="517" t="s">
        <v>647</v>
      </c>
      <c r="F245" s="517" t="s">
        <v>650</v>
      </c>
      <c r="G245" s="524">
        <v>0.01</v>
      </c>
      <c r="H245" s="524">
        <v>6.0629999999999998E-3</v>
      </c>
      <c r="I245" s="526">
        <v>0.4</v>
      </c>
      <c r="J245" s="592">
        <v>4</v>
      </c>
      <c r="K245" s="518">
        <v>74</v>
      </c>
      <c r="L245" s="272"/>
      <c r="M245" s="272"/>
      <c r="P245" s="273"/>
      <c r="Q245" s="273"/>
      <c r="R245" s="273"/>
      <c r="S245" s="273"/>
      <c r="T245" s="273"/>
      <c r="U245" s="273"/>
      <c r="V245" s="273"/>
      <c r="W245" s="273"/>
      <c r="X245" s="273"/>
      <c r="Y245" s="273"/>
      <c r="Z245" s="273"/>
      <c r="AA245" s="273"/>
      <c r="AB245" s="273"/>
      <c r="AC245" s="273"/>
      <c r="AD245" s="272"/>
      <c r="AE245" s="493" t="str">
        <f ca="1">IF('CDO Bespoke'!C270&lt;&gt;"",'CDO Bespoke'!C270,"")</f>
        <v/>
      </c>
      <c r="AF245" s="495"/>
      <c r="AG245" s="583"/>
      <c r="AH245" s="583"/>
      <c r="AI245" s="583"/>
      <c r="AJ245" s="496"/>
      <c r="AK245" s="618"/>
      <c r="AL245" s="495"/>
      <c r="AM245" s="583"/>
      <c r="AN245" s="583"/>
      <c r="AO245" s="583"/>
      <c r="AP245" s="496"/>
      <c r="AQ245" s="618"/>
      <c r="AR245" s="505"/>
      <c r="AS245" s="629"/>
      <c r="AT245" s="618"/>
      <c r="AU245" s="505"/>
      <c r="AV245" s="581"/>
      <c r="AW245" s="618"/>
    </row>
    <row r="246" spans="2:49">
      <c r="B246" s="533" t="s">
        <v>574</v>
      </c>
      <c r="C246" s="534" t="s">
        <v>66</v>
      </c>
      <c r="D246" s="534" t="s">
        <v>59</v>
      </c>
      <c r="E246" s="534" t="s">
        <v>647</v>
      </c>
      <c r="F246" s="534" t="s">
        <v>650</v>
      </c>
      <c r="G246" s="535">
        <v>0.01</v>
      </c>
      <c r="H246" s="535">
        <v>8.3820000000000006E-3</v>
      </c>
      <c r="I246" s="536">
        <v>0.4</v>
      </c>
      <c r="J246" s="593">
        <v>4</v>
      </c>
      <c r="K246" s="537">
        <v>74</v>
      </c>
      <c r="L246" s="272"/>
      <c r="M246" s="272"/>
      <c r="P246" s="273"/>
      <c r="Q246" s="273"/>
      <c r="R246" s="273"/>
      <c r="S246" s="273"/>
      <c r="T246" s="273"/>
      <c r="U246" s="273"/>
      <c r="V246" s="273"/>
      <c r="W246" s="273"/>
      <c r="X246" s="273"/>
      <c r="Y246" s="273"/>
      <c r="Z246" s="273"/>
      <c r="AA246" s="273"/>
      <c r="AB246" s="273"/>
      <c r="AC246" s="273"/>
      <c r="AD246" s="272"/>
      <c r="AE246" s="493" t="str">
        <f ca="1">IF('CDO Bespoke'!C271&lt;&gt;"",'CDO Bespoke'!C271,"")</f>
        <v/>
      </c>
      <c r="AF246" s="495"/>
      <c r="AG246" s="583"/>
      <c r="AH246" s="583"/>
      <c r="AI246" s="583"/>
      <c r="AJ246" s="496"/>
      <c r="AK246" s="618"/>
      <c r="AL246" s="495"/>
      <c r="AM246" s="583"/>
      <c r="AN246" s="583"/>
      <c r="AO246" s="583"/>
      <c r="AP246" s="496"/>
      <c r="AQ246" s="618"/>
      <c r="AR246" s="505"/>
      <c r="AS246" s="629"/>
      <c r="AT246" s="618"/>
      <c r="AU246" s="505"/>
      <c r="AV246" s="581"/>
      <c r="AW246" s="618"/>
    </row>
    <row r="247" spans="2:49">
      <c r="B247" s="538" t="s">
        <v>579</v>
      </c>
      <c r="C247" s="539" t="s">
        <v>66</v>
      </c>
      <c r="D247" s="539" t="s">
        <v>55</v>
      </c>
      <c r="E247" s="539" t="s">
        <v>649</v>
      </c>
      <c r="F247" s="539" t="s">
        <v>650</v>
      </c>
      <c r="G247" s="540">
        <v>0.01</v>
      </c>
      <c r="H247" s="540">
        <v>1.9380000000000001E-3</v>
      </c>
      <c r="I247" s="541">
        <v>0.4</v>
      </c>
      <c r="J247" s="600">
        <v>4</v>
      </c>
      <c r="K247" s="542">
        <v>75</v>
      </c>
      <c r="L247" s="272"/>
      <c r="M247" s="272"/>
      <c r="P247" s="273"/>
      <c r="Q247" s="273"/>
      <c r="R247" s="273"/>
      <c r="S247" s="273"/>
      <c r="T247" s="273"/>
      <c r="U247" s="273"/>
      <c r="V247" s="273"/>
      <c r="W247" s="273"/>
      <c r="X247" s="273"/>
      <c r="Y247" s="273"/>
      <c r="Z247" s="273"/>
      <c r="AA247" s="273"/>
      <c r="AB247" s="273"/>
      <c r="AC247" s="273"/>
      <c r="AD247" s="272"/>
      <c r="AE247" s="493" t="str">
        <f ca="1">IF('CDO Bespoke'!C272&lt;&gt;"",'CDO Bespoke'!C272,"")</f>
        <v/>
      </c>
      <c r="AF247" s="495"/>
      <c r="AG247" s="583"/>
      <c r="AH247" s="583"/>
      <c r="AI247" s="583"/>
      <c r="AJ247" s="496"/>
      <c r="AK247" s="618"/>
      <c r="AL247" s="495"/>
      <c r="AM247" s="583"/>
      <c r="AN247" s="583"/>
      <c r="AO247" s="583"/>
      <c r="AP247" s="496"/>
      <c r="AQ247" s="618"/>
      <c r="AR247" s="505"/>
      <c r="AS247" s="629"/>
      <c r="AT247" s="618"/>
      <c r="AU247" s="505"/>
      <c r="AV247" s="581"/>
      <c r="AW247" s="618"/>
    </row>
    <row r="248" spans="2:49">
      <c r="B248" s="516" t="s">
        <v>579</v>
      </c>
      <c r="C248" s="517" t="s">
        <v>66</v>
      </c>
      <c r="D248" s="517" t="s">
        <v>57</v>
      </c>
      <c r="E248" s="517" t="s">
        <v>649</v>
      </c>
      <c r="F248" s="517" t="s">
        <v>650</v>
      </c>
      <c r="G248" s="524">
        <v>0.01</v>
      </c>
      <c r="H248" s="524">
        <v>3.1410000000000001E-3</v>
      </c>
      <c r="I248" s="526">
        <v>0.4</v>
      </c>
      <c r="J248" s="592">
        <v>4</v>
      </c>
      <c r="K248" s="518">
        <v>75</v>
      </c>
      <c r="L248" s="272"/>
      <c r="M248" s="272"/>
      <c r="P248" s="273"/>
      <c r="Q248" s="273"/>
      <c r="R248" s="273"/>
      <c r="S248" s="273"/>
      <c r="T248" s="273"/>
      <c r="U248" s="273"/>
      <c r="V248" s="273"/>
      <c r="W248" s="273"/>
      <c r="X248" s="273"/>
      <c r="Y248" s="273"/>
      <c r="Z248" s="273"/>
      <c r="AA248" s="273"/>
      <c r="AB248" s="273"/>
      <c r="AC248" s="273"/>
      <c r="AD248" s="272"/>
      <c r="AE248" s="493" t="str">
        <f ca="1">IF('CDO Bespoke'!C273&lt;&gt;"",'CDO Bespoke'!C273,"")</f>
        <v/>
      </c>
      <c r="AF248" s="495"/>
      <c r="AG248" s="583"/>
      <c r="AH248" s="583"/>
      <c r="AI248" s="583"/>
      <c r="AJ248" s="496"/>
      <c r="AK248" s="618"/>
      <c r="AL248" s="495"/>
      <c r="AM248" s="583"/>
      <c r="AN248" s="583"/>
      <c r="AO248" s="583"/>
      <c r="AP248" s="496"/>
      <c r="AQ248" s="618"/>
      <c r="AR248" s="505"/>
      <c r="AS248" s="629"/>
      <c r="AT248" s="618"/>
      <c r="AU248" s="505"/>
      <c r="AV248" s="581"/>
      <c r="AW248" s="618"/>
    </row>
    <row r="249" spans="2:49">
      <c r="B249" s="533" t="s">
        <v>579</v>
      </c>
      <c r="C249" s="534" t="s">
        <v>66</v>
      </c>
      <c r="D249" s="534" t="s">
        <v>59</v>
      </c>
      <c r="E249" s="534" t="s">
        <v>649</v>
      </c>
      <c r="F249" s="534" t="s">
        <v>650</v>
      </c>
      <c r="G249" s="535">
        <v>0.01</v>
      </c>
      <c r="H249" s="535">
        <v>4.7060000000000001E-3</v>
      </c>
      <c r="I249" s="536">
        <v>0.4</v>
      </c>
      <c r="J249" s="593">
        <v>4</v>
      </c>
      <c r="K249" s="537">
        <v>75</v>
      </c>
      <c r="L249" s="272"/>
      <c r="M249" s="272"/>
      <c r="P249" s="273"/>
      <c r="Q249" s="273"/>
      <c r="R249" s="273"/>
      <c r="S249" s="273"/>
      <c r="T249" s="273"/>
      <c r="U249" s="273"/>
      <c r="V249" s="273"/>
      <c r="W249" s="273"/>
      <c r="X249" s="273"/>
      <c r="Y249" s="273"/>
      <c r="Z249" s="273"/>
      <c r="AA249" s="273"/>
      <c r="AB249" s="273"/>
      <c r="AC249" s="273"/>
      <c r="AD249" s="272"/>
      <c r="AE249" s="493" t="str">
        <f ca="1">IF('CDO Bespoke'!C274&lt;&gt;"",'CDO Bespoke'!C274,"")</f>
        <v/>
      </c>
      <c r="AF249" s="495"/>
      <c r="AG249" s="583"/>
      <c r="AH249" s="583"/>
      <c r="AI249" s="583"/>
      <c r="AJ249" s="496"/>
      <c r="AK249" s="618"/>
      <c r="AL249" s="495"/>
      <c r="AM249" s="583"/>
      <c r="AN249" s="583"/>
      <c r="AO249" s="583"/>
      <c r="AP249" s="496"/>
      <c r="AQ249" s="618"/>
      <c r="AR249" s="505"/>
      <c r="AS249" s="629"/>
      <c r="AT249" s="618"/>
      <c r="AU249" s="505"/>
      <c r="AV249" s="581"/>
      <c r="AW249" s="618"/>
    </row>
    <row r="250" spans="2:49">
      <c r="B250" s="538" t="s">
        <v>580</v>
      </c>
      <c r="C250" s="539" t="s">
        <v>66</v>
      </c>
      <c r="D250" s="539" t="s">
        <v>55</v>
      </c>
      <c r="E250" s="539" t="s">
        <v>645</v>
      </c>
      <c r="F250" s="539" t="s">
        <v>650</v>
      </c>
      <c r="G250" s="540">
        <v>0.01</v>
      </c>
      <c r="H250" s="540">
        <v>1.7650000000000001E-3</v>
      </c>
      <c r="I250" s="541">
        <v>0.4</v>
      </c>
      <c r="J250" s="600">
        <v>4</v>
      </c>
      <c r="K250" s="542">
        <v>76</v>
      </c>
      <c r="L250" s="272"/>
      <c r="M250" s="272"/>
      <c r="P250" s="273"/>
      <c r="Q250" s="273"/>
      <c r="R250" s="273"/>
      <c r="S250" s="273"/>
      <c r="T250" s="273"/>
      <c r="U250" s="273"/>
      <c r="V250" s="273"/>
      <c r="W250" s="273"/>
      <c r="X250" s="273"/>
      <c r="Y250" s="273"/>
      <c r="Z250" s="273"/>
      <c r="AA250" s="273"/>
      <c r="AB250" s="273"/>
      <c r="AC250" s="273"/>
      <c r="AD250" s="272"/>
      <c r="AE250" s="493" t="str">
        <f ca="1">IF('CDO Bespoke'!C275&lt;&gt;"",'CDO Bespoke'!C275,"")</f>
        <v/>
      </c>
      <c r="AF250" s="495"/>
      <c r="AG250" s="583"/>
      <c r="AH250" s="583"/>
      <c r="AI250" s="583"/>
      <c r="AJ250" s="496"/>
      <c r="AK250" s="618"/>
      <c r="AL250" s="495"/>
      <c r="AM250" s="583"/>
      <c r="AN250" s="583"/>
      <c r="AO250" s="583"/>
      <c r="AP250" s="496"/>
      <c r="AQ250" s="618"/>
      <c r="AR250" s="505"/>
      <c r="AS250" s="629"/>
      <c r="AT250" s="618"/>
      <c r="AU250" s="505"/>
      <c r="AV250" s="581"/>
      <c r="AW250" s="618"/>
    </row>
    <row r="251" spans="2:49">
      <c r="B251" s="516" t="s">
        <v>580</v>
      </c>
      <c r="C251" s="517" t="s">
        <v>66</v>
      </c>
      <c r="D251" s="517" t="s">
        <v>57</v>
      </c>
      <c r="E251" s="517" t="s">
        <v>645</v>
      </c>
      <c r="F251" s="517" t="s">
        <v>650</v>
      </c>
      <c r="G251" s="524">
        <v>0.01</v>
      </c>
      <c r="H251" s="524">
        <v>2.9750000000000002E-3</v>
      </c>
      <c r="I251" s="526">
        <v>0.4</v>
      </c>
      <c r="J251" s="592">
        <v>4</v>
      </c>
      <c r="K251" s="518">
        <v>76</v>
      </c>
      <c r="L251" s="272"/>
      <c r="M251" s="272"/>
      <c r="P251" s="273"/>
      <c r="Q251" s="273"/>
      <c r="R251" s="273"/>
      <c r="S251" s="273"/>
      <c r="T251" s="273"/>
      <c r="U251" s="273"/>
      <c r="V251" s="273"/>
      <c r="W251" s="273"/>
      <c r="X251" s="273"/>
      <c r="Y251" s="273"/>
      <c r="Z251" s="273"/>
      <c r="AA251" s="273"/>
      <c r="AB251" s="273"/>
      <c r="AC251" s="273"/>
      <c r="AD251" s="272"/>
      <c r="AE251" s="493" t="str">
        <f ca="1">IF('CDO Bespoke'!C276&lt;&gt;"",'CDO Bespoke'!C276,"")</f>
        <v/>
      </c>
      <c r="AF251" s="495"/>
      <c r="AG251" s="583"/>
      <c r="AH251" s="583"/>
      <c r="AI251" s="583"/>
      <c r="AJ251" s="496"/>
      <c r="AK251" s="618"/>
      <c r="AL251" s="495"/>
      <c r="AM251" s="583"/>
      <c r="AN251" s="583"/>
      <c r="AO251" s="583"/>
      <c r="AP251" s="496"/>
      <c r="AQ251" s="618"/>
      <c r="AR251" s="505"/>
      <c r="AS251" s="629"/>
      <c r="AT251" s="618"/>
      <c r="AU251" s="505"/>
      <c r="AV251" s="581"/>
      <c r="AW251" s="618"/>
    </row>
    <row r="252" spans="2:49">
      <c r="B252" s="533" t="s">
        <v>580</v>
      </c>
      <c r="C252" s="534" t="s">
        <v>66</v>
      </c>
      <c r="D252" s="534" t="s">
        <v>59</v>
      </c>
      <c r="E252" s="534" t="s">
        <v>645</v>
      </c>
      <c r="F252" s="534" t="s">
        <v>650</v>
      </c>
      <c r="G252" s="535">
        <v>0.01</v>
      </c>
      <c r="H252" s="535">
        <v>4.2370000000000003E-3</v>
      </c>
      <c r="I252" s="536">
        <v>0.4</v>
      </c>
      <c r="J252" s="593">
        <v>4</v>
      </c>
      <c r="K252" s="537">
        <v>76</v>
      </c>
      <c r="L252" s="272"/>
      <c r="M252" s="272"/>
      <c r="P252" s="273"/>
      <c r="Q252" s="273"/>
      <c r="R252" s="273"/>
      <c r="S252" s="273"/>
      <c r="T252" s="273"/>
      <c r="U252" s="273"/>
      <c r="V252" s="273"/>
      <c r="W252" s="273"/>
      <c r="X252" s="273"/>
      <c r="Y252" s="273"/>
      <c r="Z252" s="273"/>
      <c r="AA252" s="273"/>
      <c r="AB252" s="273"/>
      <c r="AC252" s="273"/>
      <c r="AD252" s="272"/>
      <c r="AE252" s="493" t="str">
        <f ca="1">IF('CDO Bespoke'!C277&lt;&gt;"",'CDO Bespoke'!C277,"")</f>
        <v/>
      </c>
      <c r="AF252" s="495"/>
      <c r="AG252" s="583"/>
      <c r="AH252" s="583"/>
      <c r="AI252" s="583"/>
      <c r="AJ252" s="496"/>
      <c r="AK252" s="618"/>
      <c r="AL252" s="495"/>
      <c r="AM252" s="583"/>
      <c r="AN252" s="583"/>
      <c r="AO252" s="583"/>
      <c r="AP252" s="496"/>
      <c r="AQ252" s="618"/>
      <c r="AR252" s="505"/>
      <c r="AS252" s="629"/>
      <c r="AT252" s="618"/>
      <c r="AU252" s="505"/>
      <c r="AV252" s="581"/>
      <c r="AW252" s="618"/>
    </row>
    <row r="253" spans="2:49">
      <c r="B253" s="538" t="s">
        <v>575</v>
      </c>
      <c r="C253" s="539" t="s">
        <v>66</v>
      </c>
      <c r="D253" s="539" t="s">
        <v>55</v>
      </c>
      <c r="E253" s="539" t="s">
        <v>647</v>
      </c>
      <c r="F253" s="539" t="s">
        <v>651</v>
      </c>
      <c r="G253" s="540">
        <v>0.01</v>
      </c>
      <c r="H253" s="540">
        <v>2.5079999999999998E-3</v>
      </c>
      <c r="I253" s="541">
        <v>0.4</v>
      </c>
      <c r="J253" s="600">
        <v>7</v>
      </c>
      <c r="K253" s="542">
        <v>77</v>
      </c>
      <c r="L253" s="272"/>
      <c r="M253" s="272"/>
      <c r="P253" s="273"/>
      <c r="Q253" s="273"/>
      <c r="R253" s="273"/>
      <c r="S253" s="273"/>
      <c r="T253" s="273"/>
      <c r="U253" s="273"/>
      <c r="V253" s="273"/>
      <c r="W253" s="273"/>
      <c r="X253" s="273"/>
      <c r="Y253" s="273"/>
      <c r="Z253" s="273"/>
      <c r="AA253" s="273"/>
      <c r="AB253" s="273"/>
      <c r="AC253" s="273"/>
      <c r="AD253" s="272"/>
      <c r="AE253" s="493" t="str">
        <f ca="1">IF('CDO Bespoke'!C278&lt;&gt;"",'CDO Bespoke'!C278,"")</f>
        <v/>
      </c>
      <c r="AF253" s="495"/>
      <c r="AG253" s="583"/>
      <c r="AH253" s="583"/>
      <c r="AI253" s="583"/>
      <c r="AJ253" s="496"/>
      <c r="AK253" s="618"/>
      <c r="AL253" s="495"/>
      <c r="AM253" s="583"/>
      <c r="AN253" s="583"/>
      <c r="AO253" s="583"/>
      <c r="AP253" s="496"/>
      <c r="AQ253" s="618"/>
      <c r="AR253" s="505"/>
      <c r="AS253" s="629"/>
      <c r="AT253" s="618"/>
      <c r="AU253" s="505"/>
      <c r="AV253" s="581"/>
      <c r="AW253" s="618"/>
    </row>
    <row r="254" spans="2:49">
      <c r="B254" s="516" t="s">
        <v>575</v>
      </c>
      <c r="C254" s="517" t="s">
        <v>66</v>
      </c>
      <c r="D254" s="517" t="s">
        <v>57</v>
      </c>
      <c r="E254" s="517" t="s">
        <v>647</v>
      </c>
      <c r="F254" s="517" t="s">
        <v>651</v>
      </c>
      <c r="G254" s="524">
        <v>0.01</v>
      </c>
      <c r="H254" s="524">
        <v>4.2789999999999998E-3</v>
      </c>
      <c r="I254" s="526">
        <v>0.4</v>
      </c>
      <c r="J254" s="592">
        <v>7</v>
      </c>
      <c r="K254" s="518">
        <v>77</v>
      </c>
      <c r="L254" s="272"/>
      <c r="M254" s="272"/>
      <c r="P254" s="273"/>
      <c r="Q254" s="273"/>
      <c r="R254" s="273"/>
      <c r="S254" s="273"/>
      <c r="T254" s="273"/>
      <c r="U254" s="273"/>
      <c r="V254" s="273"/>
      <c r="W254" s="273"/>
      <c r="X254" s="273"/>
      <c r="Y254" s="273"/>
      <c r="Z254" s="273"/>
      <c r="AA254" s="273"/>
      <c r="AB254" s="273"/>
      <c r="AC254" s="273"/>
      <c r="AD254" s="272"/>
      <c r="AE254" s="493" t="str">
        <f ca="1">IF('CDO Bespoke'!C279&lt;&gt;"",'CDO Bespoke'!C279,"")</f>
        <v/>
      </c>
      <c r="AF254" s="495"/>
      <c r="AG254" s="583"/>
      <c r="AH254" s="583"/>
      <c r="AI254" s="583"/>
      <c r="AJ254" s="496"/>
      <c r="AK254" s="618"/>
      <c r="AL254" s="495"/>
      <c r="AM254" s="583"/>
      <c r="AN254" s="583"/>
      <c r="AO254" s="583"/>
      <c r="AP254" s="496"/>
      <c r="AQ254" s="618"/>
      <c r="AR254" s="505"/>
      <c r="AS254" s="629"/>
      <c r="AT254" s="618"/>
      <c r="AU254" s="505"/>
      <c r="AV254" s="581"/>
      <c r="AW254" s="618"/>
    </row>
    <row r="255" spans="2:49">
      <c r="B255" s="533" t="s">
        <v>575</v>
      </c>
      <c r="C255" s="534" t="s">
        <v>66</v>
      </c>
      <c r="D255" s="534" t="s">
        <v>59</v>
      </c>
      <c r="E255" s="534" t="s">
        <v>647</v>
      </c>
      <c r="F255" s="534" t="s">
        <v>651</v>
      </c>
      <c r="G255" s="535">
        <v>0.01</v>
      </c>
      <c r="H255" s="535">
        <v>5.8820000000000001E-3</v>
      </c>
      <c r="I255" s="536">
        <v>0.4</v>
      </c>
      <c r="J255" s="593">
        <v>7</v>
      </c>
      <c r="K255" s="537">
        <v>77</v>
      </c>
      <c r="L255" s="272"/>
      <c r="M255" s="272"/>
      <c r="P255" s="273"/>
      <c r="Q255" s="273"/>
      <c r="R255" s="273"/>
      <c r="S255" s="273"/>
      <c r="T255" s="273"/>
      <c r="U255" s="273"/>
      <c r="V255" s="273"/>
      <c r="W255" s="273"/>
      <c r="X255" s="273"/>
      <c r="Y255" s="273"/>
      <c r="Z255" s="273"/>
      <c r="AA255" s="273"/>
      <c r="AB255" s="273"/>
      <c r="AC255" s="273"/>
      <c r="AD255" s="272"/>
      <c r="AE255" s="493" t="str">
        <f ca="1">IF('CDO Bespoke'!C280&lt;&gt;"",'CDO Bespoke'!C280,"")</f>
        <v/>
      </c>
      <c r="AF255" s="495"/>
      <c r="AG255" s="583"/>
      <c r="AH255" s="583"/>
      <c r="AI255" s="583"/>
      <c r="AJ255" s="496"/>
      <c r="AK255" s="618"/>
      <c r="AL255" s="495"/>
      <c r="AM255" s="583"/>
      <c r="AN255" s="583"/>
      <c r="AO255" s="583"/>
      <c r="AP255" s="496"/>
      <c r="AQ255" s="618"/>
      <c r="AR255" s="505"/>
      <c r="AS255" s="629"/>
      <c r="AT255" s="618"/>
      <c r="AU255" s="505"/>
      <c r="AV255" s="581"/>
      <c r="AW255" s="618"/>
    </row>
    <row r="256" spans="2:49">
      <c r="B256" s="538" t="s">
        <v>581</v>
      </c>
      <c r="C256" s="539" t="s">
        <v>66</v>
      </c>
      <c r="D256" s="539" t="s">
        <v>55</v>
      </c>
      <c r="E256" s="539" t="s">
        <v>647</v>
      </c>
      <c r="F256" s="539" t="s">
        <v>668</v>
      </c>
      <c r="G256" s="540">
        <v>0.01</v>
      </c>
      <c r="H256" s="540">
        <v>2.1419999999999998E-3</v>
      </c>
      <c r="I256" s="541">
        <v>0.4</v>
      </c>
      <c r="J256" s="600">
        <v>5</v>
      </c>
      <c r="K256" s="542">
        <v>78</v>
      </c>
      <c r="L256" s="272"/>
      <c r="M256" s="272"/>
      <c r="P256" s="273"/>
      <c r="Q256" s="273"/>
      <c r="R256" s="273"/>
      <c r="S256" s="273"/>
      <c r="T256" s="273"/>
      <c r="U256" s="273"/>
      <c r="V256" s="273"/>
      <c r="W256" s="273"/>
      <c r="X256" s="273"/>
      <c r="Y256" s="273"/>
      <c r="Z256" s="273"/>
      <c r="AA256" s="273"/>
      <c r="AB256" s="273"/>
      <c r="AC256" s="273"/>
      <c r="AD256" s="272"/>
      <c r="AE256" s="493" t="str">
        <f ca="1">IF('CDO Bespoke'!C281&lt;&gt;"",'CDO Bespoke'!C281,"")</f>
        <v/>
      </c>
      <c r="AF256" s="495"/>
      <c r="AG256" s="583"/>
      <c r="AH256" s="583"/>
      <c r="AI256" s="583"/>
      <c r="AJ256" s="496"/>
      <c r="AK256" s="618"/>
      <c r="AL256" s="495"/>
      <c r="AM256" s="583"/>
      <c r="AN256" s="583"/>
      <c r="AO256" s="583"/>
      <c r="AP256" s="496"/>
      <c r="AQ256" s="618"/>
      <c r="AR256" s="505"/>
      <c r="AS256" s="629"/>
      <c r="AT256" s="618"/>
      <c r="AU256" s="505"/>
      <c r="AV256" s="581"/>
      <c r="AW256" s="618"/>
    </row>
    <row r="257" spans="2:49">
      <c r="B257" s="516" t="s">
        <v>581</v>
      </c>
      <c r="C257" s="517" t="s">
        <v>66</v>
      </c>
      <c r="D257" s="517" t="s">
        <v>57</v>
      </c>
      <c r="E257" s="517" t="s">
        <v>647</v>
      </c>
      <c r="F257" s="517" t="s">
        <v>668</v>
      </c>
      <c r="G257" s="524">
        <v>0.01</v>
      </c>
      <c r="H257" s="524">
        <v>3.333E-3</v>
      </c>
      <c r="I257" s="526">
        <v>0.4</v>
      </c>
      <c r="J257" s="592">
        <v>5</v>
      </c>
      <c r="K257" s="518">
        <v>78</v>
      </c>
      <c r="L257" s="272"/>
      <c r="M257" s="272"/>
      <c r="P257" s="273"/>
      <c r="Q257" s="273"/>
      <c r="R257" s="273"/>
      <c r="S257" s="273"/>
      <c r="T257" s="273"/>
      <c r="U257" s="273"/>
      <c r="V257" s="273"/>
      <c r="W257" s="273"/>
      <c r="X257" s="273"/>
      <c r="Y257" s="273"/>
      <c r="Z257" s="273"/>
      <c r="AA257" s="273"/>
      <c r="AB257" s="273"/>
      <c r="AC257" s="273"/>
      <c r="AD257" s="272"/>
      <c r="AE257" s="493" t="str">
        <f ca="1">IF('CDO Bespoke'!C282&lt;&gt;"",'CDO Bespoke'!C282,"")</f>
        <v/>
      </c>
      <c r="AF257" s="495"/>
      <c r="AG257" s="583"/>
      <c r="AH257" s="583"/>
      <c r="AI257" s="583"/>
      <c r="AJ257" s="496"/>
      <c r="AK257" s="618"/>
      <c r="AL257" s="495"/>
      <c r="AM257" s="583"/>
      <c r="AN257" s="583"/>
      <c r="AO257" s="583"/>
      <c r="AP257" s="496"/>
      <c r="AQ257" s="618"/>
      <c r="AR257" s="505"/>
      <c r="AS257" s="629"/>
      <c r="AT257" s="618"/>
      <c r="AU257" s="505"/>
      <c r="AV257" s="581"/>
      <c r="AW257" s="618"/>
    </row>
    <row r="258" spans="2:49">
      <c r="B258" s="533" t="s">
        <v>581</v>
      </c>
      <c r="C258" s="534" t="s">
        <v>66</v>
      </c>
      <c r="D258" s="534" t="s">
        <v>59</v>
      </c>
      <c r="E258" s="534" t="s">
        <v>647</v>
      </c>
      <c r="F258" s="534" t="s">
        <v>668</v>
      </c>
      <c r="G258" s="535">
        <v>0.01</v>
      </c>
      <c r="H258" s="535">
        <v>4.7910000000000001E-3</v>
      </c>
      <c r="I258" s="536">
        <v>0.4</v>
      </c>
      <c r="J258" s="593">
        <v>5</v>
      </c>
      <c r="K258" s="537">
        <v>78</v>
      </c>
      <c r="L258" s="272"/>
      <c r="M258" s="272"/>
      <c r="P258" s="273"/>
      <c r="Q258" s="273"/>
      <c r="R258" s="273"/>
      <c r="S258" s="273"/>
      <c r="T258" s="273"/>
      <c r="U258" s="273"/>
      <c r="V258" s="273"/>
      <c r="W258" s="273"/>
      <c r="X258" s="273"/>
      <c r="Y258" s="273"/>
      <c r="Z258" s="273"/>
      <c r="AA258" s="273"/>
      <c r="AB258" s="273"/>
      <c r="AC258" s="273"/>
      <c r="AD258" s="272"/>
      <c r="AE258" s="493" t="str">
        <f ca="1">IF('CDO Bespoke'!C283&lt;&gt;"",'CDO Bespoke'!C283,"")</f>
        <v/>
      </c>
      <c r="AF258" s="495"/>
      <c r="AG258" s="583"/>
      <c r="AH258" s="583"/>
      <c r="AI258" s="583"/>
      <c r="AJ258" s="496"/>
      <c r="AK258" s="618"/>
      <c r="AL258" s="495"/>
      <c r="AM258" s="583"/>
      <c r="AN258" s="583"/>
      <c r="AO258" s="583"/>
      <c r="AP258" s="496"/>
      <c r="AQ258" s="618"/>
      <c r="AR258" s="505"/>
      <c r="AS258" s="629"/>
      <c r="AT258" s="618"/>
      <c r="AU258" s="505"/>
      <c r="AV258" s="581"/>
      <c r="AW258" s="618"/>
    </row>
    <row r="259" spans="2:49">
      <c r="B259" s="538" t="s">
        <v>582</v>
      </c>
      <c r="C259" s="539" t="s">
        <v>66</v>
      </c>
      <c r="D259" s="539" t="s">
        <v>55</v>
      </c>
      <c r="E259" s="539" t="s">
        <v>647</v>
      </c>
      <c r="F259" s="539" t="s">
        <v>672</v>
      </c>
      <c r="G259" s="540">
        <v>0.01</v>
      </c>
      <c r="H259" s="540">
        <v>3.7789999999999998E-3</v>
      </c>
      <c r="I259" s="541">
        <v>0.4</v>
      </c>
      <c r="J259" s="600">
        <v>6</v>
      </c>
      <c r="K259" s="542">
        <v>79</v>
      </c>
      <c r="L259" s="272"/>
      <c r="M259" s="272"/>
      <c r="P259" s="273"/>
      <c r="Q259" s="273"/>
      <c r="R259" s="273"/>
      <c r="S259" s="273"/>
      <c r="T259" s="273"/>
      <c r="U259" s="273"/>
      <c r="V259" s="273"/>
      <c r="W259" s="273"/>
      <c r="X259" s="273"/>
      <c r="Y259" s="273"/>
      <c r="Z259" s="273"/>
      <c r="AA259" s="273"/>
      <c r="AB259" s="273"/>
      <c r="AC259" s="273"/>
      <c r="AD259" s="272"/>
      <c r="AE259" s="493" t="str">
        <f ca="1">IF('CDO Bespoke'!C284&lt;&gt;"",'CDO Bespoke'!C284,"")</f>
        <v/>
      </c>
      <c r="AF259" s="495"/>
      <c r="AG259" s="583"/>
      <c r="AH259" s="583"/>
      <c r="AI259" s="583"/>
      <c r="AJ259" s="496"/>
      <c r="AK259" s="618"/>
      <c r="AL259" s="495"/>
      <c r="AM259" s="583"/>
      <c r="AN259" s="583"/>
      <c r="AO259" s="583"/>
      <c r="AP259" s="496"/>
      <c r="AQ259" s="618"/>
      <c r="AR259" s="505"/>
      <c r="AS259" s="629"/>
      <c r="AT259" s="618"/>
      <c r="AU259" s="505"/>
      <c r="AV259" s="581"/>
      <c r="AW259" s="618"/>
    </row>
    <row r="260" spans="2:49">
      <c r="B260" s="516" t="s">
        <v>582</v>
      </c>
      <c r="C260" s="517" t="s">
        <v>66</v>
      </c>
      <c r="D260" s="517" t="s">
        <v>57</v>
      </c>
      <c r="E260" s="517" t="s">
        <v>647</v>
      </c>
      <c r="F260" s="517" t="s">
        <v>672</v>
      </c>
      <c r="G260" s="524">
        <v>0.01</v>
      </c>
      <c r="H260" s="524">
        <v>7.345E-3</v>
      </c>
      <c r="I260" s="526">
        <v>0.4</v>
      </c>
      <c r="J260" s="592">
        <v>6</v>
      </c>
      <c r="K260" s="518">
        <v>79</v>
      </c>
      <c r="L260" s="272"/>
      <c r="M260" s="272"/>
      <c r="P260" s="273"/>
      <c r="Q260" s="273"/>
      <c r="R260" s="273"/>
      <c r="S260" s="273"/>
      <c r="T260" s="273"/>
      <c r="U260" s="273"/>
      <c r="V260" s="273"/>
      <c r="W260" s="273"/>
      <c r="X260" s="273"/>
      <c r="Y260" s="273"/>
      <c r="Z260" s="273"/>
      <c r="AA260" s="273"/>
      <c r="AB260" s="273"/>
      <c r="AC260" s="273"/>
      <c r="AD260" s="272"/>
      <c r="AE260" s="493" t="str">
        <f ca="1">IF('CDO Bespoke'!C285&lt;&gt;"",'CDO Bespoke'!C285,"")</f>
        <v/>
      </c>
      <c r="AF260" s="495"/>
      <c r="AG260" s="583"/>
      <c r="AH260" s="583"/>
      <c r="AI260" s="583"/>
      <c r="AJ260" s="496"/>
      <c r="AK260" s="618"/>
      <c r="AL260" s="495"/>
      <c r="AM260" s="583"/>
      <c r="AN260" s="583"/>
      <c r="AO260" s="583"/>
      <c r="AP260" s="496"/>
      <c r="AQ260" s="618"/>
      <c r="AR260" s="505"/>
      <c r="AS260" s="629"/>
      <c r="AT260" s="618"/>
      <c r="AU260" s="505"/>
      <c r="AV260" s="581"/>
      <c r="AW260" s="618"/>
    </row>
    <row r="261" spans="2:49">
      <c r="B261" s="533" t="s">
        <v>582</v>
      </c>
      <c r="C261" s="534" t="s">
        <v>66</v>
      </c>
      <c r="D261" s="534" t="s">
        <v>59</v>
      </c>
      <c r="E261" s="534" t="s">
        <v>647</v>
      </c>
      <c r="F261" s="534" t="s">
        <v>672</v>
      </c>
      <c r="G261" s="535">
        <v>0.01</v>
      </c>
      <c r="H261" s="535">
        <v>1.0267999999999999E-2</v>
      </c>
      <c r="I261" s="536">
        <v>0.4</v>
      </c>
      <c r="J261" s="593">
        <v>6</v>
      </c>
      <c r="K261" s="537">
        <v>79</v>
      </c>
      <c r="L261" s="272"/>
      <c r="M261" s="272"/>
      <c r="P261" s="273"/>
      <c r="Q261" s="273"/>
      <c r="R261" s="273"/>
      <c r="S261" s="273"/>
      <c r="T261" s="273"/>
      <c r="U261" s="273"/>
      <c r="V261" s="273"/>
      <c r="W261" s="273"/>
      <c r="X261" s="273"/>
      <c r="Y261" s="273"/>
      <c r="Z261" s="273"/>
      <c r="AA261" s="273"/>
      <c r="AB261" s="273"/>
      <c r="AC261" s="273"/>
      <c r="AD261" s="272"/>
      <c r="AE261" s="493" t="str">
        <f ca="1">IF('CDO Bespoke'!C286&lt;&gt;"",'CDO Bespoke'!C286,"")</f>
        <v/>
      </c>
      <c r="AF261" s="495"/>
      <c r="AG261" s="583"/>
      <c r="AH261" s="583"/>
      <c r="AI261" s="583"/>
      <c r="AJ261" s="496"/>
      <c r="AK261" s="618"/>
      <c r="AL261" s="495"/>
      <c r="AM261" s="583"/>
      <c r="AN261" s="583"/>
      <c r="AO261" s="583"/>
      <c r="AP261" s="496"/>
      <c r="AQ261" s="618"/>
      <c r="AR261" s="505"/>
      <c r="AS261" s="629"/>
      <c r="AT261" s="618"/>
      <c r="AU261" s="505"/>
      <c r="AV261" s="581"/>
      <c r="AW261" s="618"/>
    </row>
    <row r="262" spans="2:49">
      <c r="B262" s="538" t="s">
        <v>583</v>
      </c>
      <c r="C262" s="539" t="s">
        <v>66</v>
      </c>
      <c r="D262" s="539" t="s">
        <v>55</v>
      </c>
      <c r="E262" s="539" t="s">
        <v>647</v>
      </c>
      <c r="F262" s="539" t="s">
        <v>672</v>
      </c>
      <c r="G262" s="540">
        <v>0.01</v>
      </c>
      <c r="H262" s="540">
        <v>2.137E-3</v>
      </c>
      <c r="I262" s="541">
        <v>0.4</v>
      </c>
      <c r="J262" s="600">
        <v>6</v>
      </c>
      <c r="K262" s="542">
        <v>80</v>
      </c>
      <c r="L262" s="272"/>
      <c r="M262" s="272"/>
      <c r="P262" s="273"/>
      <c r="Q262" s="273"/>
      <c r="R262" s="273"/>
      <c r="S262" s="273"/>
      <c r="T262" s="273"/>
      <c r="U262" s="273"/>
      <c r="V262" s="273"/>
      <c r="W262" s="273"/>
      <c r="X262" s="273"/>
      <c r="Y262" s="273"/>
      <c r="Z262" s="273"/>
      <c r="AA262" s="273"/>
      <c r="AB262" s="273"/>
      <c r="AC262" s="273"/>
      <c r="AD262" s="272"/>
      <c r="AE262" s="493" t="str">
        <f ca="1">IF('CDO Bespoke'!C287&lt;&gt;"",'CDO Bespoke'!C287,"")</f>
        <v/>
      </c>
      <c r="AF262" s="495"/>
      <c r="AG262" s="583"/>
      <c r="AH262" s="583"/>
      <c r="AI262" s="583"/>
      <c r="AJ262" s="496"/>
      <c r="AK262" s="618"/>
      <c r="AL262" s="495"/>
      <c r="AM262" s="583"/>
      <c r="AN262" s="583"/>
      <c r="AO262" s="583"/>
      <c r="AP262" s="496"/>
      <c r="AQ262" s="618"/>
      <c r="AR262" s="505"/>
      <c r="AS262" s="629"/>
      <c r="AT262" s="618"/>
      <c r="AU262" s="505"/>
      <c r="AV262" s="581"/>
      <c r="AW262" s="618"/>
    </row>
    <row r="263" spans="2:49">
      <c r="B263" s="516" t="s">
        <v>583</v>
      </c>
      <c r="C263" s="517" t="s">
        <v>66</v>
      </c>
      <c r="D263" s="517" t="s">
        <v>57</v>
      </c>
      <c r="E263" s="517" t="s">
        <v>647</v>
      </c>
      <c r="F263" s="517" t="s">
        <v>672</v>
      </c>
      <c r="G263" s="524">
        <v>0.01</v>
      </c>
      <c r="H263" s="524">
        <v>3.2109999999999999E-3</v>
      </c>
      <c r="I263" s="526">
        <v>0.4</v>
      </c>
      <c r="J263" s="592">
        <v>6</v>
      </c>
      <c r="K263" s="518">
        <v>80</v>
      </c>
      <c r="L263" s="272"/>
      <c r="M263" s="272"/>
      <c r="P263" s="273"/>
      <c r="Q263" s="273"/>
      <c r="R263" s="273"/>
      <c r="S263" s="273"/>
      <c r="T263" s="273"/>
      <c r="U263" s="273"/>
      <c r="V263" s="273"/>
      <c r="W263" s="273"/>
      <c r="X263" s="273"/>
      <c r="Y263" s="273"/>
      <c r="Z263" s="273"/>
      <c r="AA263" s="273"/>
      <c r="AB263" s="273"/>
      <c r="AC263" s="273"/>
      <c r="AD263" s="272"/>
      <c r="AE263" s="493" t="str">
        <f ca="1">IF('CDO Bespoke'!C288&lt;&gt;"",'CDO Bespoke'!C288,"")</f>
        <v/>
      </c>
      <c r="AF263" s="495"/>
      <c r="AG263" s="583"/>
      <c r="AH263" s="583"/>
      <c r="AI263" s="583"/>
      <c r="AJ263" s="496"/>
      <c r="AK263" s="618"/>
      <c r="AL263" s="495"/>
      <c r="AM263" s="583"/>
      <c r="AN263" s="583"/>
      <c r="AO263" s="583"/>
      <c r="AP263" s="496"/>
      <c r="AQ263" s="618"/>
      <c r="AR263" s="505"/>
      <c r="AS263" s="629"/>
      <c r="AT263" s="618"/>
      <c r="AU263" s="505"/>
      <c r="AV263" s="581"/>
      <c r="AW263" s="618"/>
    </row>
    <row r="264" spans="2:49">
      <c r="B264" s="533" t="s">
        <v>583</v>
      </c>
      <c r="C264" s="534" t="s">
        <v>66</v>
      </c>
      <c r="D264" s="534" t="s">
        <v>59</v>
      </c>
      <c r="E264" s="534" t="s">
        <v>647</v>
      </c>
      <c r="F264" s="534" t="s">
        <v>672</v>
      </c>
      <c r="G264" s="535">
        <v>0.01</v>
      </c>
      <c r="H264" s="535">
        <v>4.6039999999999996E-3</v>
      </c>
      <c r="I264" s="536">
        <v>0.4</v>
      </c>
      <c r="J264" s="593">
        <v>6</v>
      </c>
      <c r="K264" s="537">
        <v>80</v>
      </c>
      <c r="L264" s="272"/>
      <c r="M264" s="272"/>
      <c r="P264" s="273"/>
      <c r="Q264" s="273"/>
      <c r="R264" s="273"/>
      <c r="S264" s="273"/>
      <c r="T264" s="273"/>
      <c r="U264" s="273"/>
      <c r="V264" s="273"/>
      <c r="W264" s="273"/>
      <c r="X264" s="273"/>
      <c r="Y264" s="273"/>
      <c r="Z264" s="273"/>
      <c r="AA264" s="273"/>
      <c r="AB264" s="273"/>
      <c r="AC264" s="273"/>
      <c r="AD264" s="272"/>
      <c r="AE264" s="493" t="str">
        <f ca="1">IF('CDO Bespoke'!C289&lt;&gt;"",'CDO Bespoke'!C289,"")</f>
        <v/>
      </c>
      <c r="AF264" s="495"/>
      <c r="AG264" s="583"/>
      <c r="AH264" s="583"/>
      <c r="AI264" s="583"/>
      <c r="AJ264" s="496"/>
      <c r="AK264" s="618"/>
      <c r="AL264" s="495"/>
      <c r="AM264" s="583"/>
      <c r="AN264" s="583"/>
      <c r="AO264" s="583"/>
      <c r="AP264" s="496"/>
      <c r="AQ264" s="618"/>
      <c r="AR264" s="505"/>
      <c r="AS264" s="629"/>
      <c r="AT264" s="618"/>
      <c r="AU264" s="505"/>
      <c r="AV264" s="581"/>
      <c r="AW264" s="618"/>
    </row>
    <row r="265" spans="2:49">
      <c r="B265" s="538" t="s">
        <v>584</v>
      </c>
      <c r="C265" s="539" t="s">
        <v>66</v>
      </c>
      <c r="D265" s="539" t="s">
        <v>55</v>
      </c>
      <c r="E265" s="539" t="s">
        <v>647</v>
      </c>
      <c r="F265" s="539" t="s">
        <v>668</v>
      </c>
      <c r="G265" s="540">
        <v>0.01</v>
      </c>
      <c r="H265" s="540">
        <v>4.9890000000000004E-3</v>
      </c>
      <c r="I265" s="541">
        <v>0.4</v>
      </c>
      <c r="J265" s="600">
        <v>5</v>
      </c>
      <c r="K265" s="542">
        <v>81</v>
      </c>
      <c r="L265" s="272"/>
      <c r="M265" s="272"/>
      <c r="P265" s="273"/>
      <c r="Q265" s="273"/>
      <c r="R265" s="273"/>
      <c r="S265" s="273"/>
      <c r="T265" s="273"/>
      <c r="U265" s="273"/>
      <c r="V265" s="273"/>
      <c r="W265" s="273"/>
      <c r="X265" s="273"/>
      <c r="Y265" s="273"/>
      <c r="Z265" s="273"/>
      <c r="AA265" s="273"/>
      <c r="AB265" s="273"/>
      <c r="AC265" s="273"/>
      <c r="AD265" s="272"/>
      <c r="AE265" s="493" t="str">
        <f ca="1">IF('CDO Bespoke'!C290&lt;&gt;"",'CDO Bespoke'!C290,"")</f>
        <v/>
      </c>
      <c r="AF265" s="495"/>
      <c r="AG265" s="583"/>
      <c r="AH265" s="583"/>
      <c r="AI265" s="583"/>
      <c r="AJ265" s="496"/>
      <c r="AK265" s="618"/>
      <c r="AL265" s="495"/>
      <c r="AM265" s="583"/>
      <c r="AN265" s="583"/>
      <c r="AO265" s="583"/>
      <c r="AP265" s="496"/>
      <c r="AQ265" s="618"/>
      <c r="AR265" s="505"/>
      <c r="AS265" s="629"/>
      <c r="AT265" s="618"/>
      <c r="AU265" s="505"/>
      <c r="AV265" s="581"/>
      <c r="AW265" s="618"/>
    </row>
    <row r="266" spans="2:49">
      <c r="B266" s="516" t="s">
        <v>584</v>
      </c>
      <c r="C266" s="517" t="s">
        <v>66</v>
      </c>
      <c r="D266" s="517" t="s">
        <v>57</v>
      </c>
      <c r="E266" s="517" t="s">
        <v>647</v>
      </c>
      <c r="F266" s="517" t="s">
        <v>668</v>
      </c>
      <c r="G266" s="524">
        <v>0.01</v>
      </c>
      <c r="H266" s="524">
        <v>1.01E-2</v>
      </c>
      <c r="I266" s="526">
        <v>0.4</v>
      </c>
      <c r="J266" s="592">
        <v>5</v>
      </c>
      <c r="K266" s="518">
        <v>81</v>
      </c>
      <c r="L266" s="272"/>
      <c r="M266" s="272"/>
      <c r="P266" s="273"/>
      <c r="Q266" s="273"/>
      <c r="R266" s="273"/>
      <c r="S266" s="273"/>
      <c r="T266" s="273"/>
      <c r="U266" s="273"/>
      <c r="V266" s="273"/>
      <c r="W266" s="273"/>
      <c r="X266" s="273"/>
      <c r="Y266" s="273"/>
      <c r="Z266" s="273"/>
      <c r="AA266" s="273"/>
      <c r="AB266" s="273"/>
      <c r="AC266" s="273"/>
      <c r="AD266" s="272"/>
      <c r="AE266" s="493" t="str">
        <f ca="1">IF('CDO Bespoke'!C291&lt;&gt;"",'CDO Bespoke'!C291,"")</f>
        <v/>
      </c>
      <c r="AF266" s="495"/>
      <c r="AG266" s="583"/>
      <c r="AH266" s="583"/>
      <c r="AI266" s="583"/>
      <c r="AJ266" s="496"/>
      <c r="AK266" s="618"/>
      <c r="AL266" s="495"/>
      <c r="AM266" s="583"/>
      <c r="AN266" s="583"/>
      <c r="AO266" s="583"/>
      <c r="AP266" s="496"/>
      <c r="AQ266" s="618"/>
      <c r="AR266" s="505"/>
      <c r="AS266" s="629"/>
      <c r="AT266" s="618"/>
      <c r="AU266" s="505"/>
      <c r="AV266" s="581"/>
      <c r="AW266" s="618"/>
    </row>
    <row r="267" spans="2:49">
      <c r="B267" s="533" t="s">
        <v>584</v>
      </c>
      <c r="C267" s="534" t="s">
        <v>66</v>
      </c>
      <c r="D267" s="534" t="s">
        <v>59</v>
      </c>
      <c r="E267" s="534" t="s">
        <v>647</v>
      </c>
      <c r="F267" s="534" t="s">
        <v>668</v>
      </c>
      <c r="G267" s="535">
        <v>0.01</v>
      </c>
      <c r="H267" s="535">
        <v>1.474E-2</v>
      </c>
      <c r="I267" s="536">
        <v>0.4</v>
      </c>
      <c r="J267" s="593">
        <v>5</v>
      </c>
      <c r="K267" s="537">
        <v>81</v>
      </c>
      <c r="L267" s="272"/>
      <c r="M267" s="272"/>
      <c r="P267" s="273"/>
      <c r="Q267" s="273"/>
      <c r="R267" s="273"/>
      <c r="S267" s="273"/>
      <c r="T267" s="273"/>
      <c r="U267" s="273"/>
      <c r="V267" s="273"/>
      <c r="W267" s="273"/>
      <c r="X267" s="273"/>
      <c r="Y267" s="273"/>
      <c r="Z267" s="273"/>
      <c r="AA267" s="273"/>
      <c r="AB267" s="273"/>
      <c r="AC267" s="273"/>
      <c r="AD267" s="272"/>
      <c r="AE267" s="493" t="str">
        <f ca="1">IF('CDO Bespoke'!C292&lt;&gt;"",'CDO Bespoke'!C292,"")</f>
        <v/>
      </c>
      <c r="AF267" s="495"/>
      <c r="AG267" s="583"/>
      <c r="AH267" s="583"/>
      <c r="AI267" s="583"/>
      <c r="AJ267" s="496"/>
      <c r="AK267" s="618"/>
      <c r="AL267" s="495"/>
      <c r="AM267" s="583"/>
      <c r="AN267" s="583"/>
      <c r="AO267" s="583"/>
      <c r="AP267" s="496"/>
      <c r="AQ267" s="618"/>
      <c r="AR267" s="505"/>
      <c r="AS267" s="629"/>
      <c r="AT267" s="618"/>
      <c r="AU267" s="505"/>
      <c r="AV267" s="581"/>
      <c r="AW267" s="618"/>
    </row>
    <row r="268" spans="2:49">
      <c r="B268" s="538" t="s">
        <v>594</v>
      </c>
      <c r="C268" s="539" t="s">
        <v>66</v>
      </c>
      <c r="D268" s="539" t="s">
        <v>55</v>
      </c>
      <c r="E268" s="539" t="s">
        <v>647</v>
      </c>
      <c r="F268" s="539" t="s">
        <v>672</v>
      </c>
      <c r="G268" s="540">
        <v>0.01</v>
      </c>
      <c r="H268" s="540">
        <v>2.7200000000000002E-3</v>
      </c>
      <c r="I268" s="541">
        <v>0.4</v>
      </c>
      <c r="J268" s="600">
        <v>6</v>
      </c>
      <c r="K268" s="542">
        <v>82</v>
      </c>
      <c r="L268" s="272"/>
      <c r="M268" s="272"/>
      <c r="P268" s="273"/>
      <c r="Q268" s="273"/>
      <c r="R268" s="273"/>
      <c r="S268" s="273"/>
      <c r="T268" s="273"/>
      <c r="U268" s="273"/>
      <c r="V268" s="273"/>
      <c r="W268" s="273"/>
      <c r="X268" s="273"/>
      <c r="Y268" s="273"/>
      <c r="Z268" s="273"/>
      <c r="AA268" s="273"/>
      <c r="AB268" s="273"/>
      <c r="AC268" s="273"/>
      <c r="AD268" s="272"/>
      <c r="AE268" s="493" t="str">
        <f ca="1">IF('CDO Bespoke'!C293&lt;&gt;"",'CDO Bespoke'!C293,"")</f>
        <v/>
      </c>
      <c r="AF268" s="495"/>
      <c r="AG268" s="583"/>
      <c r="AH268" s="583"/>
      <c r="AI268" s="583"/>
      <c r="AJ268" s="496"/>
      <c r="AK268" s="618"/>
      <c r="AL268" s="495"/>
      <c r="AM268" s="583"/>
      <c r="AN268" s="583"/>
      <c r="AO268" s="583"/>
      <c r="AP268" s="496"/>
      <c r="AQ268" s="618"/>
      <c r="AR268" s="505"/>
      <c r="AS268" s="629"/>
      <c r="AT268" s="618"/>
      <c r="AU268" s="505"/>
      <c r="AV268" s="581"/>
      <c r="AW268" s="618"/>
    </row>
    <row r="269" spans="2:49">
      <c r="B269" s="516" t="s">
        <v>594</v>
      </c>
      <c r="C269" s="517" t="s">
        <v>66</v>
      </c>
      <c r="D269" s="517" t="s">
        <v>57</v>
      </c>
      <c r="E269" s="517" t="s">
        <v>647</v>
      </c>
      <c r="F269" s="517" t="s">
        <v>672</v>
      </c>
      <c r="G269" s="524">
        <v>0.01</v>
      </c>
      <c r="H269" s="524">
        <v>4.6210000000000001E-3</v>
      </c>
      <c r="I269" s="526">
        <v>0.4</v>
      </c>
      <c r="J269" s="592">
        <v>6</v>
      </c>
      <c r="K269" s="518">
        <v>82</v>
      </c>
      <c r="L269" s="272"/>
      <c r="M269" s="272"/>
      <c r="P269" s="273"/>
      <c r="Q269" s="273"/>
      <c r="R269" s="273"/>
      <c r="S269" s="273"/>
      <c r="T269" s="273"/>
      <c r="U269" s="273"/>
      <c r="V269" s="273"/>
      <c r="W269" s="273"/>
      <c r="X269" s="273"/>
      <c r="Y269" s="273"/>
      <c r="Z269" s="273"/>
      <c r="AA269" s="273"/>
      <c r="AB269" s="273"/>
      <c r="AC269" s="273"/>
      <c r="AD269" s="272"/>
      <c r="AE269" s="493" t="str">
        <f ca="1">IF('CDO Bespoke'!C294&lt;&gt;"",'CDO Bespoke'!C294,"")</f>
        <v/>
      </c>
      <c r="AF269" s="495"/>
      <c r="AG269" s="583"/>
      <c r="AH269" s="583"/>
      <c r="AI269" s="583"/>
      <c r="AJ269" s="496"/>
      <c r="AK269" s="618"/>
      <c r="AL269" s="495"/>
      <c r="AM269" s="583"/>
      <c r="AN269" s="583"/>
      <c r="AO269" s="583"/>
      <c r="AP269" s="496"/>
      <c r="AQ269" s="618"/>
      <c r="AR269" s="505"/>
      <c r="AS269" s="629"/>
      <c r="AT269" s="618"/>
      <c r="AU269" s="505"/>
      <c r="AV269" s="581"/>
      <c r="AW269" s="618"/>
    </row>
    <row r="270" spans="2:49">
      <c r="B270" s="533" t="s">
        <v>594</v>
      </c>
      <c r="C270" s="534" t="s">
        <v>66</v>
      </c>
      <c r="D270" s="534" t="s">
        <v>59</v>
      </c>
      <c r="E270" s="534" t="s">
        <v>647</v>
      </c>
      <c r="F270" s="534" t="s">
        <v>672</v>
      </c>
      <c r="G270" s="535">
        <v>0.01</v>
      </c>
      <c r="H270" s="535">
        <v>6.9170000000000004E-3</v>
      </c>
      <c r="I270" s="536">
        <v>0.4</v>
      </c>
      <c r="J270" s="593">
        <v>6</v>
      </c>
      <c r="K270" s="537">
        <v>82</v>
      </c>
      <c r="L270" s="272"/>
      <c r="M270" s="272"/>
      <c r="P270" s="273"/>
      <c r="Q270" s="273"/>
      <c r="R270" s="273"/>
      <c r="S270" s="273"/>
      <c r="T270" s="273"/>
      <c r="U270" s="273"/>
      <c r="V270" s="273"/>
      <c r="W270" s="273"/>
      <c r="X270" s="273"/>
      <c r="Y270" s="273"/>
      <c r="Z270" s="273"/>
      <c r="AA270" s="273"/>
      <c r="AB270" s="273"/>
      <c r="AC270" s="273"/>
      <c r="AD270" s="272"/>
      <c r="AE270" s="493" t="str">
        <f ca="1">IF('CDO Bespoke'!C295&lt;&gt;"",'CDO Bespoke'!C295,"")</f>
        <v/>
      </c>
      <c r="AF270" s="495"/>
      <c r="AG270" s="583"/>
      <c r="AH270" s="583"/>
      <c r="AI270" s="583"/>
      <c r="AJ270" s="496"/>
      <c r="AK270" s="618"/>
      <c r="AL270" s="495"/>
      <c r="AM270" s="583"/>
      <c r="AN270" s="583"/>
      <c r="AO270" s="583"/>
      <c r="AP270" s="496"/>
      <c r="AQ270" s="618"/>
      <c r="AR270" s="505"/>
      <c r="AS270" s="629"/>
      <c r="AT270" s="618"/>
      <c r="AU270" s="505"/>
      <c r="AV270" s="581"/>
      <c r="AW270" s="618"/>
    </row>
    <row r="271" spans="2:49">
      <c r="B271" s="538" t="s">
        <v>585</v>
      </c>
      <c r="C271" s="539" t="s">
        <v>66</v>
      </c>
      <c r="D271" s="539" t="s">
        <v>55</v>
      </c>
      <c r="E271" s="539" t="s">
        <v>647</v>
      </c>
      <c r="F271" s="539" t="s">
        <v>672</v>
      </c>
      <c r="G271" s="540">
        <v>0.01</v>
      </c>
      <c r="H271" s="540">
        <v>1.753E-3</v>
      </c>
      <c r="I271" s="541">
        <v>0.4</v>
      </c>
      <c r="J271" s="600">
        <v>6</v>
      </c>
      <c r="K271" s="542">
        <v>83</v>
      </c>
      <c r="L271" s="272"/>
      <c r="M271" s="272"/>
      <c r="P271" s="273"/>
      <c r="Q271" s="273"/>
      <c r="R271" s="273"/>
      <c r="S271" s="273"/>
      <c r="T271" s="273"/>
      <c r="U271" s="273"/>
      <c r="V271" s="273"/>
      <c r="W271" s="273"/>
      <c r="X271" s="273"/>
      <c r="Y271" s="273"/>
      <c r="Z271" s="273"/>
      <c r="AA271" s="273"/>
      <c r="AB271" s="273"/>
      <c r="AC271" s="273"/>
      <c r="AD271" s="272"/>
      <c r="AE271" s="493" t="str">
        <f ca="1">IF('CDO Bespoke'!C296&lt;&gt;"",'CDO Bespoke'!C296,"")</f>
        <v/>
      </c>
      <c r="AF271" s="495"/>
      <c r="AG271" s="583"/>
      <c r="AH271" s="583"/>
      <c r="AI271" s="583"/>
      <c r="AJ271" s="496"/>
      <c r="AK271" s="618"/>
      <c r="AL271" s="495"/>
      <c r="AM271" s="583"/>
      <c r="AN271" s="583"/>
      <c r="AO271" s="583"/>
      <c r="AP271" s="496"/>
      <c r="AQ271" s="618"/>
      <c r="AR271" s="505"/>
      <c r="AS271" s="629"/>
      <c r="AT271" s="618"/>
      <c r="AU271" s="505"/>
      <c r="AV271" s="581"/>
      <c r="AW271" s="618"/>
    </row>
    <row r="272" spans="2:49">
      <c r="B272" s="516" t="s">
        <v>585</v>
      </c>
      <c r="C272" s="517" t="s">
        <v>66</v>
      </c>
      <c r="D272" s="517" t="s">
        <v>57</v>
      </c>
      <c r="E272" s="517" t="s">
        <v>647</v>
      </c>
      <c r="F272" s="517" t="s">
        <v>672</v>
      </c>
      <c r="G272" s="524">
        <v>0.01</v>
      </c>
      <c r="H272" s="524">
        <v>3.101E-3</v>
      </c>
      <c r="I272" s="526">
        <v>0.4</v>
      </c>
      <c r="J272" s="592">
        <v>6</v>
      </c>
      <c r="K272" s="518">
        <v>83</v>
      </c>
      <c r="L272" s="272"/>
      <c r="M272" s="272"/>
      <c r="P272" s="273"/>
      <c r="Q272" s="273"/>
      <c r="R272" s="273"/>
      <c r="S272" s="273"/>
      <c r="T272" s="273"/>
      <c r="U272" s="273"/>
      <c r="V272" s="273"/>
      <c r="W272" s="273"/>
      <c r="X272" s="273"/>
      <c r="Y272" s="273"/>
      <c r="Z272" s="273"/>
      <c r="AA272" s="273"/>
      <c r="AB272" s="273"/>
      <c r="AC272" s="273"/>
      <c r="AD272" s="272"/>
      <c r="AE272" s="493" t="str">
        <f ca="1">IF('CDO Bespoke'!C297&lt;&gt;"",'CDO Bespoke'!C297,"")</f>
        <v/>
      </c>
      <c r="AF272" s="495"/>
      <c r="AG272" s="583"/>
      <c r="AH272" s="583"/>
      <c r="AI272" s="583"/>
      <c r="AJ272" s="496"/>
      <c r="AK272" s="618"/>
      <c r="AL272" s="495"/>
      <c r="AM272" s="583"/>
      <c r="AN272" s="583"/>
      <c r="AO272" s="583"/>
      <c r="AP272" s="496"/>
      <c r="AQ272" s="618"/>
      <c r="AR272" s="505"/>
      <c r="AS272" s="629"/>
      <c r="AT272" s="618"/>
      <c r="AU272" s="505"/>
      <c r="AV272" s="581"/>
      <c r="AW272" s="618"/>
    </row>
    <row r="273" spans="2:49">
      <c r="B273" s="533" t="s">
        <v>585</v>
      </c>
      <c r="C273" s="534" t="s">
        <v>66</v>
      </c>
      <c r="D273" s="534" t="s">
        <v>59</v>
      </c>
      <c r="E273" s="534" t="s">
        <v>647</v>
      </c>
      <c r="F273" s="534" t="s">
        <v>672</v>
      </c>
      <c r="G273" s="535">
        <v>0.01</v>
      </c>
      <c r="H273" s="535">
        <v>4.653E-3</v>
      </c>
      <c r="I273" s="536">
        <v>0.4</v>
      </c>
      <c r="J273" s="593">
        <v>6</v>
      </c>
      <c r="K273" s="537">
        <v>83</v>
      </c>
      <c r="L273" s="272"/>
      <c r="M273" s="272"/>
      <c r="P273" s="273"/>
      <c r="Q273" s="273"/>
      <c r="R273" s="273"/>
      <c r="S273" s="273"/>
      <c r="T273" s="273"/>
      <c r="U273" s="273"/>
      <c r="V273" s="273"/>
      <c r="W273" s="273"/>
      <c r="X273" s="273"/>
      <c r="Y273" s="273"/>
      <c r="Z273" s="273"/>
      <c r="AA273" s="273"/>
      <c r="AB273" s="273"/>
      <c r="AC273" s="273"/>
      <c r="AD273" s="272"/>
      <c r="AE273" s="493" t="str">
        <f ca="1">IF('CDO Bespoke'!C298&lt;&gt;"",'CDO Bespoke'!C298,"")</f>
        <v/>
      </c>
      <c r="AF273" s="495"/>
      <c r="AG273" s="583"/>
      <c r="AH273" s="583"/>
      <c r="AI273" s="583"/>
      <c r="AJ273" s="496"/>
      <c r="AK273" s="618"/>
      <c r="AL273" s="495"/>
      <c r="AM273" s="583"/>
      <c r="AN273" s="583"/>
      <c r="AO273" s="583"/>
      <c r="AP273" s="496"/>
      <c r="AQ273" s="618"/>
      <c r="AR273" s="505"/>
      <c r="AS273" s="629"/>
      <c r="AT273" s="618"/>
      <c r="AU273" s="505"/>
      <c r="AV273" s="581"/>
      <c r="AW273" s="618"/>
    </row>
    <row r="274" spans="2:49">
      <c r="B274" s="538" t="s">
        <v>586</v>
      </c>
      <c r="C274" s="539" t="s">
        <v>66</v>
      </c>
      <c r="D274" s="539" t="s">
        <v>55</v>
      </c>
      <c r="E274" s="539" t="s">
        <v>647</v>
      </c>
      <c r="F274" s="539" t="s">
        <v>668</v>
      </c>
      <c r="G274" s="540">
        <v>0.01</v>
      </c>
      <c r="H274" s="540">
        <v>3.1080000000000001E-3</v>
      </c>
      <c r="I274" s="541">
        <v>0.4</v>
      </c>
      <c r="J274" s="600">
        <v>5</v>
      </c>
      <c r="K274" s="542">
        <v>84</v>
      </c>
      <c r="L274" s="272"/>
      <c r="M274" s="272"/>
      <c r="P274" s="273"/>
      <c r="Q274" s="273"/>
      <c r="R274" s="273"/>
      <c r="S274" s="273"/>
      <c r="T274" s="273"/>
      <c r="U274" s="273"/>
      <c r="V274" s="273"/>
      <c r="W274" s="273"/>
      <c r="X274" s="273"/>
      <c r="Y274" s="273"/>
      <c r="Z274" s="273"/>
      <c r="AA274" s="273"/>
      <c r="AB274" s="273"/>
      <c r="AC274" s="273"/>
      <c r="AD274" s="272"/>
      <c r="AE274" s="493" t="str">
        <f ca="1">IF('CDO Bespoke'!C299&lt;&gt;"",'CDO Bespoke'!C299,"")</f>
        <v/>
      </c>
      <c r="AF274" s="495"/>
      <c r="AG274" s="583"/>
      <c r="AH274" s="583"/>
      <c r="AI274" s="583"/>
      <c r="AJ274" s="496"/>
      <c r="AK274" s="618"/>
      <c r="AL274" s="495"/>
      <c r="AM274" s="583"/>
      <c r="AN274" s="583"/>
      <c r="AO274" s="583"/>
      <c r="AP274" s="496"/>
      <c r="AQ274" s="618"/>
      <c r="AR274" s="505"/>
      <c r="AS274" s="629"/>
      <c r="AT274" s="618"/>
      <c r="AU274" s="505"/>
      <c r="AV274" s="581"/>
      <c r="AW274" s="618"/>
    </row>
    <row r="275" spans="2:49">
      <c r="B275" s="516" t="s">
        <v>586</v>
      </c>
      <c r="C275" s="517" t="s">
        <v>66</v>
      </c>
      <c r="D275" s="517" t="s">
        <v>57</v>
      </c>
      <c r="E275" s="517" t="s">
        <v>647</v>
      </c>
      <c r="F275" s="517" t="s">
        <v>668</v>
      </c>
      <c r="G275" s="524">
        <v>0.01</v>
      </c>
      <c r="H275" s="524">
        <v>5.4169999999999999E-3</v>
      </c>
      <c r="I275" s="526">
        <v>0.4</v>
      </c>
      <c r="J275" s="592">
        <v>5</v>
      </c>
      <c r="K275" s="518">
        <v>84</v>
      </c>
      <c r="L275" s="272"/>
      <c r="M275" s="272"/>
      <c r="P275" s="273"/>
      <c r="Q275" s="273"/>
      <c r="R275" s="273"/>
      <c r="S275" s="273"/>
      <c r="T275" s="273"/>
      <c r="U275" s="273"/>
      <c r="V275" s="273"/>
      <c r="W275" s="273"/>
      <c r="X275" s="273"/>
      <c r="Y275" s="273"/>
      <c r="Z275" s="273"/>
      <c r="AA275" s="273"/>
      <c r="AB275" s="273"/>
      <c r="AC275" s="273"/>
      <c r="AD275" s="272"/>
      <c r="AE275" s="493" t="str">
        <f ca="1">IF('CDO Bespoke'!C300&lt;&gt;"",'CDO Bespoke'!C300,"")</f>
        <v/>
      </c>
      <c r="AF275" s="495"/>
      <c r="AG275" s="583"/>
      <c r="AH275" s="583"/>
      <c r="AI275" s="583"/>
      <c r="AJ275" s="496"/>
      <c r="AK275" s="618"/>
      <c r="AL275" s="495"/>
      <c r="AM275" s="583"/>
      <c r="AN275" s="583"/>
      <c r="AO275" s="583"/>
      <c r="AP275" s="496"/>
      <c r="AQ275" s="618"/>
      <c r="AR275" s="505"/>
      <c r="AS275" s="629"/>
      <c r="AT275" s="618"/>
      <c r="AU275" s="505"/>
      <c r="AV275" s="581"/>
      <c r="AW275" s="618"/>
    </row>
    <row r="276" spans="2:49">
      <c r="B276" s="533" t="s">
        <v>586</v>
      </c>
      <c r="C276" s="534" t="s">
        <v>66</v>
      </c>
      <c r="D276" s="534" t="s">
        <v>59</v>
      </c>
      <c r="E276" s="534" t="s">
        <v>647</v>
      </c>
      <c r="F276" s="534" t="s">
        <v>668</v>
      </c>
      <c r="G276" s="535">
        <v>0.01</v>
      </c>
      <c r="H276" s="535">
        <v>8.0789999999999994E-3</v>
      </c>
      <c r="I276" s="536">
        <v>0.4</v>
      </c>
      <c r="J276" s="593">
        <v>5</v>
      </c>
      <c r="K276" s="537">
        <v>84</v>
      </c>
      <c r="L276" s="272"/>
      <c r="M276" s="272"/>
      <c r="P276" s="273"/>
      <c r="Q276" s="273"/>
      <c r="R276" s="273"/>
      <c r="S276" s="273"/>
      <c r="T276" s="273"/>
      <c r="U276" s="273"/>
      <c r="V276" s="273"/>
      <c r="W276" s="273"/>
      <c r="X276" s="273"/>
      <c r="Y276" s="273"/>
      <c r="Z276" s="273"/>
      <c r="AA276" s="273"/>
      <c r="AB276" s="273"/>
      <c r="AC276" s="273"/>
      <c r="AD276" s="272"/>
      <c r="AE276" s="493" t="str">
        <f ca="1">IF('CDO Bespoke'!C301&lt;&gt;"",'CDO Bespoke'!C301,"")</f>
        <v/>
      </c>
      <c r="AF276" s="495"/>
      <c r="AG276" s="583"/>
      <c r="AH276" s="583"/>
      <c r="AI276" s="583"/>
      <c r="AJ276" s="496"/>
      <c r="AK276" s="618"/>
      <c r="AL276" s="495"/>
      <c r="AM276" s="583"/>
      <c r="AN276" s="583"/>
      <c r="AO276" s="583"/>
      <c r="AP276" s="496"/>
      <c r="AQ276" s="618"/>
      <c r="AR276" s="505"/>
      <c r="AS276" s="629"/>
      <c r="AT276" s="618"/>
      <c r="AU276" s="505"/>
      <c r="AV276" s="581"/>
      <c r="AW276" s="618"/>
    </row>
    <row r="277" spans="2:49">
      <c r="B277" s="538" t="s">
        <v>595</v>
      </c>
      <c r="C277" s="539" t="s">
        <v>66</v>
      </c>
      <c r="D277" s="539" t="s">
        <v>55</v>
      </c>
      <c r="E277" s="539" t="s">
        <v>647</v>
      </c>
      <c r="F277" s="539" t="s">
        <v>668</v>
      </c>
      <c r="G277" s="540">
        <v>0.01</v>
      </c>
      <c r="H277" s="540">
        <v>2.4889999999999999E-3</v>
      </c>
      <c r="I277" s="541">
        <v>0.4</v>
      </c>
      <c r="J277" s="600">
        <v>5</v>
      </c>
      <c r="K277" s="542">
        <v>85</v>
      </c>
      <c r="L277" s="272"/>
      <c r="M277" s="272"/>
      <c r="P277" s="273"/>
      <c r="Q277" s="273"/>
      <c r="R277" s="273"/>
      <c r="S277" s="273"/>
      <c r="T277" s="273"/>
      <c r="U277" s="273"/>
      <c r="V277" s="273"/>
      <c r="W277" s="273"/>
      <c r="X277" s="273"/>
      <c r="Y277" s="273"/>
      <c r="Z277" s="273"/>
      <c r="AA277" s="273"/>
      <c r="AB277" s="273"/>
      <c r="AC277" s="273"/>
      <c r="AD277" s="272"/>
      <c r="AE277" s="493" t="str">
        <f ca="1">IF('CDO Bespoke'!C302&lt;&gt;"",'CDO Bespoke'!C302,"")</f>
        <v/>
      </c>
      <c r="AF277" s="495"/>
      <c r="AG277" s="583"/>
      <c r="AH277" s="583"/>
      <c r="AI277" s="583"/>
      <c r="AJ277" s="496"/>
      <c r="AK277" s="618"/>
      <c r="AL277" s="495"/>
      <c r="AM277" s="583"/>
      <c r="AN277" s="583"/>
      <c r="AO277" s="583"/>
      <c r="AP277" s="496"/>
      <c r="AQ277" s="618"/>
      <c r="AR277" s="505"/>
      <c r="AS277" s="629"/>
      <c r="AT277" s="618"/>
      <c r="AU277" s="505"/>
      <c r="AV277" s="581"/>
      <c r="AW277" s="618"/>
    </row>
    <row r="278" spans="2:49">
      <c r="B278" s="516" t="s">
        <v>595</v>
      </c>
      <c r="C278" s="517" t="s">
        <v>66</v>
      </c>
      <c r="D278" s="517" t="s">
        <v>57</v>
      </c>
      <c r="E278" s="517" t="s">
        <v>647</v>
      </c>
      <c r="F278" s="517" t="s">
        <v>668</v>
      </c>
      <c r="G278" s="524">
        <v>0.01</v>
      </c>
      <c r="H278" s="524">
        <v>4.5339999999999998E-3</v>
      </c>
      <c r="I278" s="526">
        <v>0.4</v>
      </c>
      <c r="J278" s="592">
        <v>5</v>
      </c>
      <c r="K278" s="518">
        <v>85</v>
      </c>
      <c r="L278" s="272"/>
      <c r="M278" s="272"/>
      <c r="P278" s="273"/>
      <c r="Q278" s="273"/>
      <c r="R278" s="273"/>
      <c r="S278" s="273"/>
      <c r="T278" s="273"/>
      <c r="U278" s="273"/>
      <c r="V278" s="273"/>
      <c r="W278" s="273"/>
      <c r="X278" s="273"/>
      <c r="Y278" s="273"/>
      <c r="Z278" s="273"/>
      <c r="AA278" s="273"/>
      <c r="AB278" s="273"/>
      <c r="AC278" s="273"/>
      <c r="AD278" s="272"/>
      <c r="AE278" s="493" t="str">
        <f ca="1">IF('CDO Bespoke'!C303&lt;&gt;"",'CDO Bespoke'!C303,"")</f>
        <v/>
      </c>
      <c r="AF278" s="495"/>
      <c r="AG278" s="583"/>
      <c r="AH278" s="583"/>
      <c r="AI278" s="583"/>
      <c r="AJ278" s="496"/>
      <c r="AK278" s="618"/>
      <c r="AL278" s="495"/>
      <c r="AM278" s="583"/>
      <c r="AN278" s="583"/>
      <c r="AO278" s="583"/>
      <c r="AP278" s="496"/>
      <c r="AQ278" s="618"/>
      <c r="AR278" s="505"/>
      <c r="AS278" s="629"/>
      <c r="AT278" s="618"/>
      <c r="AU278" s="505"/>
      <c r="AV278" s="581"/>
      <c r="AW278" s="618"/>
    </row>
    <row r="279" spans="2:49">
      <c r="B279" s="533" t="s">
        <v>595</v>
      </c>
      <c r="C279" s="534" t="s">
        <v>66</v>
      </c>
      <c r="D279" s="534" t="s">
        <v>59</v>
      </c>
      <c r="E279" s="534" t="s">
        <v>647</v>
      </c>
      <c r="F279" s="534" t="s">
        <v>668</v>
      </c>
      <c r="G279" s="535">
        <v>0.01</v>
      </c>
      <c r="H279" s="535">
        <v>6.875E-3</v>
      </c>
      <c r="I279" s="536">
        <v>0.4</v>
      </c>
      <c r="J279" s="593">
        <v>5</v>
      </c>
      <c r="K279" s="537">
        <v>85</v>
      </c>
      <c r="L279" s="272"/>
      <c r="M279" s="272"/>
      <c r="P279" s="273"/>
      <c r="Q279" s="273"/>
      <c r="R279" s="273"/>
      <c r="S279" s="273"/>
      <c r="T279" s="273"/>
      <c r="U279" s="273"/>
      <c r="V279" s="273"/>
      <c r="W279" s="273"/>
      <c r="X279" s="273"/>
      <c r="Y279" s="273"/>
      <c r="Z279" s="273"/>
      <c r="AA279" s="273"/>
      <c r="AB279" s="273"/>
      <c r="AC279" s="273"/>
      <c r="AD279" s="272"/>
      <c r="AE279" s="493" t="str">
        <f ca="1">IF('CDO Bespoke'!C304&lt;&gt;"",'CDO Bespoke'!C304,"")</f>
        <v/>
      </c>
      <c r="AF279" s="495"/>
      <c r="AG279" s="583"/>
      <c r="AH279" s="583"/>
      <c r="AI279" s="583"/>
      <c r="AJ279" s="496"/>
      <c r="AK279" s="618"/>
      <c r="AL279" s="495"/>
      <c r="AM279" s="583"/>
      <c r="AN279" s="583"/>
      <c r="AO279" s="583"/>
      <c r="AP279" s="496"/>
      <c r="AQ279" s="618"/>
      <c r="AR279" s="505"/>
      <c r="AS279" s="629"/>
      <c r="AT279" s="618"/>
      <c r="AU279" s="505"/>
      <c r="AV279" s="581"/>
      <c r="AW279" s="618"/>
    </row>
    <row r="280" spans="2:49">
      <c r="B280" s="538" t="s">
        <v>587</v>
      </c>
      <c r="C280" s="539" t="s">
        <v>66</v>
      </c>
      <c r="D280" s="539" t="s">
        <v>55</v>
      </c>
      <c r="E280" s="539" t="s">
        <v>647</v>
      </c>
      <c r="F280" s="539" t="s">
        <v>672</v>
      </c>
      <c r="G280" s="540">
        <v>0.01</v>
      </c>
      <c r="H280" s="540">
        <v>9.5580000000000005E-3</v>
      </c>
      <c r="I280" s="541">
        <v>0.4</v>
      </c>
      <c r="J280" s="600">
        <v>6</v>
      </c>
      <c r="K280" s="542">
        <v>86</v>
      </c>
      <c r="L280" s="272"/>
      <c r="M280" s="272"/>
      <c r="P280" s="273"/>
      <c r="Q280" s="273"/>
      <c r="R280" s="273"/>
      <c r="S280" s="273"/>
      <c r="T280" s="273"/>
      <c r="U280" s="273"/>
      <c r="V280" s="273"/>
      <c r="W280" s="273"/>
      <c r="X280" s="273"/>
      <c r="Y280" s="273"/>
      <c r="Z280" s="273"/>
      <c r="AA280" s="273"/>
      <c r="AB280" s="273"/>
      <c r="AC280" s="273"/>
      <c r="AD280" s="272"/>
      <c r="AE280" s="493" t="str">
        <f ca="1">IF('CDO Bespoke'!C305&lt;&gt;"",'CDO Bespoke'!C305,"")</f>
        <v/>
      </c>
      <c r="AF280" s="495"/>
      <c r="AG280" s="583"/>
      <c r="AH280" s="583"/>
      <c r="AI280" s="583"/>
      <c r="AJ280" s="496"/>
      <c r="AK280" s="618"/>
      <c r="AL280" s="495"/>
      <c r="AM280" s="583"/>
      <c r="AN280" s="583"/>
      <c r="AO280" s="583"/>
      <c r="AP280" s="496"/>
      <c r="AQ280" s="618"/>
      <c r="AR280" s="505"/>
      <c r="AS280" s="629"/>
      <c r="AT280" s="618"/>
      <c r="AU280" s="505"/>
      <c r="AV280" s="581"/>
      <c r="AW280" s="618"/>
    </row>
    <row r="281" spans="2:49">
      <c r="B281" s="516" t="s">
        <v>587</v>
      </c>
      <c r="C281" s="517" t="s">
        <v>66</v>
      </c>
      <c r="D281" s="517" t="s">
        <v>57</v>
      </c>
      <c r="E281" s="517" t="s">
        <v>647</v>
      </c>
      <c r="F281" s="517" t="s">
        <v>672</v>
      </c>
      <c r="G281" s="524">
        <v>0.01</v>
      </c>
      <c r="H281" s="524">
        <v>1.5862999999999999E-2</v>
      </c>
      <c r="I281" s="526">
        <v>0.4</v>
      </c>
      <c r="J281" s="592">
        <v>6</v>
      </c>
      <c r="K281" s="518">
        <v>86</v>
      </c>
      <c r="L281" s="272"/>
      <c r="M281" s="272"/>
      <c r="P281" s="273"/>
      <c r="Q281" s="273"/>
      <c r="R281" s="273"/>
      <c r="S281" s="273"/>
      <c r="T281" s="273"/>
      <c r="U281" s="273"/>
      <c r="V281" s="273"/>
      <c r="W281" s="273"/>
      <c r="X281" s="273"/>
      <c r="Y281" s="273"/>
      <c r="Z281" s="273"/>
      <c r="AA281" s="273"/>
      <c r="AB281" s="273"/>
      <c r="AC281" s="273"/>
      <c r="AD281" s="272"/>
      <c r="AE281" s="493" t="str">
        <f ca="1">IF('CDO Bespoke'!C306&lt;&gt;"",'CDO Bespoke'!C306,"")</f>
        <v/>
      </c>
      <c r="AF281" s="495"/>
      <c r="AG281" s="583"/>
      <c r="AH281" s="583"/>
      <c r="AI281" s="583"/>
      <c r="AJ281" s="496"/>
      <c r="AK281" s="618"/>
      <c r="AL281" s="495"/>
      <c r="AM281" s="583"/>
      <c r="AN281" s="583"/>
      <c r="AO281" s="583"/>
      <c r="AP281" s="496"/>
      <c r="AQ281" s="618"/>
      <c r="AR281" s="505"/>
      <c r="AS281" s="629"/>
      <c r="AT281" s="618"/>
      <c r="AU281" s="505"/>
      <c r="AV281" s="581"/>
      <c r="AW281" s="618"/>
    </row>
    <row r="282" spans="2:49">
      <c r="B282" s="533" t="s">
        <v>587</v>
      </c>
      <c r="C282" s="534" t="s">
        <v>66</v>
      </c>
      <c r="D282" s="534" t="s">
        <v>59</v>
      </c>
      <c r="E282" s="534" t="s">
        <v>647</v>
      </c>
      <c r="F282" s="534" t="s">
        <v>672</v>
      </c>
      <c r="G282" s="535">
        <v>0.01</v>
      </c>
      <c r="H282" s="535">
        <v>1.9740000000000001E-2</v>
      </c>
      <c r="I282" s="536">
        <v>0.4</v>
      </c>
      <c r="J282" s="593">
        <v>6</v>
      </c>
      <c r="K282" s="537">
        <v>86</v>
      </c>
      <c r="L282" s="272"/>
      <c r="M282" s="272"/>
      <c r="P282" s="273"/>
      <c r="Q282" s="273"/>
      <c r="R282" s="273"/>
      <c r="S282" s="273"/>
      <c r="T282" s="273"/>
      <c r="U282" s="273"/>
      <c r="V282" s="273"/>
      <c r="W282" s="273"/>
      <c r="X282" s="273"/>
      <c r="Y282" s="273"/>
      <c r="Z282" s="273"/>
      <c r="AA282" s="273"/>
      <c r="AB282" s="273"/>
      <c r="AC282" s="273"/>
      <c r="AD282" s="272"/>
      <c r="AE282" s="493" t="str">
        <f ca="1">IF('CDO Bespoke'!C307&lt;&gt;"",'CDO Bespoke'!C307,"")</f>
        <v/>
      </c>
      <c r="AF282" s="495"/>
      <c r="AG282" s="583"/>
      <c r="AH282" s="583"/>
      <c r="AI282" s="583"/>
      <c r="AJ282" s="496"/>
      <c r="AK282" s="618"/>
      <c r="AL282" s="495"/>
      <c r="AM282" s="583"/>
      <c r="AN282" s="583"/>
      <c r="AO282" s="583"/>
      <c r="AP282" s="496"/>
      <c r="AQ282" s="618"/>
      <c r="AR282" s="505"/>
      <c r="AS282" s="629"/>
      <c r="AT282" s="618"/>
      <c r="AU282" s="505"/>
      <c r="AV282" s="581"/>
      <c r="AW282" s="618"/>
    </row>
    <row r="283" spans="2:49">
      <c r="B283" s="538" t="s">
        <v>615</v>
      </c>
      <c r="C283" s="539" t="s">
        <v>66</v>
      </c>
      <c r="D283" s="539" t="s">
        <v>55</v>
      </c>
      <c r="E283" s="539" t="s">
        <v>645</v>
      </c>
      <c r="F283" s="539" t="s">
        <v>668</v>
      </c>
      <c r="G283" s="540">
        <v>0.01</v>
      </c>
      <c r="H283" s="540">
        <v>7.8799999999999996E-4</v>
      </c>
      <c r="I283" s="541">
        <v>0.4</v>
      </c>
      <c r="J283" s="600">
        <v>5</v>
      </c>
      <c r="K283" s="542">
        <v>87</v>
      </c>
      <c r="L283" s="272"/>
      <c r="M283" s="272"/>
      <c r="P283" s="273"/>
      <c r="Q283" s="273"/>
      <c r="R283" s="273"/>
      <c r="S283" s="273"/>
      <c r="T283" s="273"/>
      <c r="U283" s="273"/>
      <c r="V283" s="273"/>
      <c r="W283" s="273"/>
      <c r="X283" s="273"/>
      <c r="Y283" s="273"/>
      <c r="Z283" s="273"/>
      <c r="AA283" s="273"/>
      <c r="AB283" s="273"/>
      <c r="AC283" s="273"/>
      <c r="AD283" s="272"/>
      <c r="AE283" s="493" t="str">
        <f ca="1">IF('CDO Bespoke'!C308&lt;&gt;"",'CDO Bespoke'!C308,"")</f>
        <v/>
      </c>
      <c r="AF283" s="495"/>
      <c r="AG283" s="583"/>
      <c r="AH283" s="583"/>
      <c r="AI283" s="583"/>
      <c r="AJ283" s="496"/>
      <c r="AK283" s="618"/>
      <c r="AL283" s="495"/>
      <c r="AM283" s="583"/>
      <c r="AN283" s="583"/>
      <c r="AO283" s="583"/>
      <c r="AP283" s="496"/>
      <c r="AQ283" s="618"/>
      <c r="AR283" s="505"/>
      <c r="AS283" s="629"/>
      <c r="AT283" s="618"/>
      <c r="AU283" s="505"/>
      <c r="AV283" s="581"/>
      <c r="AW283" s="618"/>
    </row>
    <row r="284" spans="2:49">
      <c r="B284" s="516" t="s">
        <v>615</v>
      </c>
      <c r="C284" s="517" t="s">
        <v>66</v>
      </c>
      <c r="D284" s="517" t="s">
        <v>57</v>
      </c>
      <c r="E284" s="517" t="s">
        <v>645</v>
      </c>
      <c r="F284" s="517" t="s">
        <v>668</v>
      </c>
      <c r="G284" s="524">
        <v>0.01</v>
      </c>
      <c r="H284" s="524">
        <v>1.3649999999999999E-3</v>
      </c>
      <c r="I284" s="526">
        <v>0.4</v>
      </c>
      <c r="J284" s="592">
        <v>5</v>
      </c>
      <c r="K284" s="518">
        <v>87</v>
      </c>
      <c r="L284" s="272"/>
      <c r="M284" s="272"/>
      <c r="P284" s="273"/>
      <c r="Q284" s="273"/>
      <c r="R284" s="273"/>
      <c r="S284" s="273"/>
      <c r="T284" s="273"/>
      <c r="U284" s="273"/>
      <c r="V284" s="273"/>
      <c r="W284" s="273"/>
      <c r="X284" s="273"/>
      <c r="Y284" s="273"/>
      <c r="Z284" s="273"/>
      <c r="AA284" s="273"/>
      <c r="AB284" s="273"/>
      <c r="AC284" s="273"/>
      <c r="AD284" s="272"/>
      <c r="AE284" s="493" t="str">
        <f ca="1">IF('CDO Bespoke'!C309&lt;&gt;"",'CDO Bespoke'!C309,"")</f>
        <v/>
      </c>
      <c r="AF284" s="495"/>
      <c r="AG284" s="583"/>
      <c r="AH284" s="583"/>
      <c r="AI284" s="583"/>
      <c r="AJ284" s="496"/>
      <c r="AK284" s="618"/>
      <c r="AL284" s="495"/>
      <c r="AM284" s="583"/>
      <c r="AN284" s="583"/>
      <c r="AO284" s="583"/>
      <c r="AP284" s="496"/>
      <c r="AQ284" s="618"/>
      <c r="AR284" s="505"/>
      <c r="AS284" s="629"/>
      <c r="AT284" s="618"/>
      <c r="AU284" s="505"/>
      <c r="AV284" s="581"/>
      <c r="AW284" s="618"/>
    </row>
    <row r="285" spans="2:49">
      <c r="B285" s="533" t="s">
        <v>615</v>
      </c>
      <c r="C285" s="534" t="s">
        <v>66</v>
      </c>
      <c r="D285" s="534" t="s">
        <v>59</v>
      </c>
      <c r="E285" s="534" t="s">
        <v>645</v>
      </c>
      <c r="F285" s="534" t="s">
        <v>668</v>
      </c>
      <c r="G285" s="535">
        <v>0.01</v>
      </c>
      <c r="H285" s="535">
        <v>2.568E-3</v>
      </c>
      <c r="I285" s="536">
        <v>0.4</v>
      </c>
      <c r="J285" s="593">
        <v>5</v>
      </c>
      <c r="K285" s="537">
        <v>87</v>
      </c>
      <c r="L285" s="272"/>
      <c r="M285" s="272"/>
      <c r="P285" s="273"/>
      <c r="Q285" s="273"/>
      <c r="R285" s="273"/>
      <c r="S285" s="273"/>
      <c r="T285" s="273"/>
      <c r="U285" s="273"/>
      <c r="V285" s="273"/>
      <c r="W285" s="273"/>
      <c r="X285" s="273"/>
      <c r="Y285" s="273"/>
      <c r="Z285" s="273"/>
      <c r="AA285" s="273"/>
      <c r="AB285" s="273"/>
      <c r="AC285" s="273"/>
      <c r="AD285" s="272"/>
      <c r="AE285" s="493" t="str">
        <f ca="1">IF('CDO Bespoke'!C310&lt;&gt;"",'CDO Bespoke'!C310,"")</f>
        <v/>
      </c>
      <c r="AF285" s="495"/>
      <c r="AG285" s="583"/>
      <c r="AH285" s="583"/>
      <c r="AI285" s="583"/>
      <c r="AJ285" s="496"/>
      <c r="AK285" s="618"/>
      <c r="AL285" s="495"/>
      <c r="AM285" s="583"/>
      <c r="AN285" s="583"/>
      <c r="AO285" s="583"/>
      <c r="AP285" s="496"/>
      <c r="AQ285" s="618"/>
      <c r="AR285" s="505"/>
      <c r="AS285" s="629"/>
      <c r="AT285" s="618"/>
      <c r="AU285" s="505"/>
      <c r="AV285" s="581"/>
      <c r="AW285" s="618"/>
    </row>
    <row r="286" spans="2:49">
      <c r="B286" s="538" t="s">
        <v>588</v>
      </c>
      <c r="C286" s="539" t="s">
        <v>66</v>
      </c>
      <c r="D286" s="539" t="s">
        <v>55</v>
      </c>
      <c r="E286" s="539" t="s">
        <v>647</v>
      </c>
      <c r="F286" s="539" t="s">
        <v>652</v>
      </c>
      <c r="G286" s="540">
        <v>0.01</v>
      </c>
      <c r="H286" s="540">
        <v>1.861E-3</v>
      </c>
      <c r="I286" s="541">
        <v>0.4</v>
      </c>
      <c r="J286" s="600">
        <v>6</v>
      </c>
      <c r="K286" s="542">
        <v>88</v>
      </c>
      <c r="L286" s="272"/>
      <c r="M286" s="272"/>
      <c r="P286" s="273"/>
      <c r="Q286" s="273"/>
      <c r="R286" s="273"/>
      <c r="S286" s="273"/>
      <c r="T286" s="273"/>
      <c r="U286" s="273"/>
      <c r="V286" s="273"/>
      <c r="W286" s="273"/>
      <c r="X286" s="273"/>
      <c r="Y286" s="273"/>
      <c r="Z286" s="273"/>
      <c r="AA286" s="273"/>
      <c r="AB286" s="273"/>
      <c r="AC286" s="273"/>
      <c r="AD286" s="272"/>
      <c r="AE286" s="493" t="str">
        <f ca="1">IF('CDO Bespoke'!C311&lt;&gt;"",'CDO Bespoke'!C311,"")</f>
        <v/>
      </c>
      <c r="AF286" s="495"/>
      <c r="AG286" s="583"/>
      <c r="AH286" s="583"/>
      <c r="AI286" s="583"/>
      <c r="AJ286" s="496"/>
      <c r="AK286" s="618"/>
      <c r="AL286" s="495"/>
      <c r="AM286" s="583"/>
      <c r="AN286" s="583"/>
      <c r="AO286" s="583"/>
      <c r="AP286" s="496"/>
      <c r="AQ286" s="618"/>
      <c r="AR286" s="505"/>
      <c r="AS286" s="629"/>
      <c r="AT286" s="618"/>
      <c r="AU286" s="505"/>
      <c r="AV286" s="581"/>
      <c r="AW286" s="618"/>
    </row>
    <row r="287" spans="2:49">
      <c r="B287" s="516" t="s">
        <v>588</v>
      </c>
      <c r="C287" s="517" t="s">
        <v>66</v>
      </c>
      <c r="D287" s="517" t="s">
        <v>57</v>
      </c>
      <c r="E287" s="517" t="s">
        <v>647</v>
      </c>
      <c r="F287" s="517" t="s">
        <v>652</v>
      </c>
      <c r="G287" s="524">
        <v>0.01</v>
      </c>
      <c r="H287" s="524">
        <v>3.0709999999999999E-3</v>
      </c>
      <c r="I287" s="526">
        <v>0.4</v>
      </c>
      <c r="J287" s="592">
        <v>6</v>
      </c>
      <c r="K287" s="518">
        <v>88</v>
      </c>
      <c r="L287" s="272"/>
      <c r="M287" s="272"/>
      <c r="P287" s="273"/>
      <c r="Q287" s="273"/>
      <c r="R287" s="273"/>
      <c r="S287" s="273"/>
      <c r="T287" s="273"/>
      <c r="U287" s="273"/>
      <c r="V287" s="273"/>
      <c r="W287" s="273"/>
      <c r="X287" s="273"/>
      <c r="Y287" s="273"/>
      <c r="Z287" s="273"/>
      <c r="AA287" s="273"/>
      <c r="AB287" s="273"/>
      <c r="AC287" s="273"/>
      <c r="AD287" s="272"/>
      <c r="AE287" s="493" t="str">
        <f ca="1">IF('CDO Bespoke'!C312&lt;&gt;"",'CDO Bespoke'!C312,"")</f>
        <v/>
      </c>
      <c r="AF287" s="495"/>
      <c r="AG287" s="583"/>
      <c r="AH287" s="583"/>
      <c r="AI287" s="583"/>
      <c r="AJ287" s="496"/>
      <c r="AK287" s="618"/>
      <c r="AL287" s="495"/>
      <c r="AM287" s="583"/>
      <c r="AN287" s="583"/>
      <c r="AO287" s="583"/>
      <c r="AP287" s="496"/>
      <c r="AQ287" s="618"/>
      <c r="AR287" s="505"/>
      <c r="AS287" s="629"/>
      <c r="AT287" s="618"/>
      <c r="AU287" s="505"/>
      <c r="AV287" s="581"/>
      <c r="AW287" s="618"/>
    </row>
    <row r="288" spans="2:49">
      <c r="B288" s="533" t="s">
        <v>588</v>
      </c>
      <c r="C288" s="534" t="s">
        <v>66</v>
      </c>
      <c r="D288" s="534" t="s">
        <v>59</v>
      </c>
      <c r="E288" s="534" t="s">
        <v>647</v>
      </c>
      <c r="F288" s="534" t="s">
        <v>652</v>
      </c>
      <c r="G288" s="535">
        <v>0.01</v>
      </c>
      <c r="H288" s="535">
        <v>4.4549999999999998E-3</v>
      </c>
      <c r="I288" s="536">
        <v>0.4</v>
      </c>
      <c r="J288" s="593">
        <v>6</v>
      </c>
      <c r="K288" s="537">
        <v>88</v>
      </c>
      <c r="L288" s="272"/>
      <c r="M288" s="272"/>
      <c r="P288" s="273"/>
      <c r="Q288" s="273"/>
      <c r="R288" s="273"/>
      <c r="S288" s="273"/>
      <c r="T288" s="273"/>
      <c r="U288" s="273"/>
      <c r="V288" s="273"/>
      <c r="W288" s="273"/>
      <c r="X288" s="273"/>
      <c r="Y288" s="273"/>
      <c r="Z288" s="273"/>
      <c r="AA288" s="273"/>
      <c r="AB288" s="273"/>
      <c r="AC288" s="273"/>
      <c r="AD288" s="272"/>
      <c r="AE288" s="493" t="str">
        <f ca="1">IF('CDO Bespoke'!C313&lt;&gt;"",'CDO Bespoke'!C313,"")</f>
        <v/>
      </c>
      <c r="AF288" s="495"/>
      <c r="AG288" s="583"/>
      <c r="AH288" s="583"/>
      <c r="AI288" s="583"/>
      <c r="AJ288" s="496"/>
      <c r="AK288" s="618"/>
      <c r="AL288" s="495"/>
      <c r="AM288" s="583"/>
      <c r="AN288" s="583"/>
      <c r="AO288" s="583"/>
      <c r="AP288" s="496"/>
      <c r="AQ288" s="618"/>
      <c r="AR288" s="505"/>
      <c r="AS288" s="629"/>
      <c r="AT288" s="618"/>
      <c r="AU288" s="505"/>
      <c r="AV288" s="581"/>
      <c r="AW288" s="618"/>
    </row>
    <row r="289" spans="2:49">
      <c r="B289" s="538" t="s">
        <v>596</v>
      </c>
      <c r="C289" s="539" t="s">
        <v>66</v>
      </c>
      <c r="D289" s="539" t="s">
        <v>55</v>
      </c>
      <c r="E289" s="539" t="s">
        <v>647</v>
      </c>
      <c r="F289" s="539" t="s">
        <v>672</v>
      </c>
      <c r="G289" s="540">
        <v>0.01</v>
      </c>
      <c r="H289" s="540">
        <v>3.8760000000000001E-3</v>
      </c>
      <c r="I289" s="541">
        <v>0.4</v>
      </c>
      <c r="J289" s="600">
        <v>6</v>
      </c>
      <c r="K289" s="542">
        <v>89</v>
      </c>
      <c r="L289" s="272"/>
      <c r="M289" s="272"/>
      <c r="P289" s="273"/>
      <c r="Q289" s="273"/>
      <c r="R289" s="273"/>
      <c r="S289" s="273"/>
      <c r="T289" s="273"/>
      <c r="U289" s="273"/>
      <c r="V289" s="273"/>
      <c r="W289" s="273"/>
      <c r="X289" s="273"/>
      <c r="Y289" s="273"/>
      <c r="Z289" s="273"/>
      <c r="AA289" s="273"/>
      <c r="AB289" s="273"/>
      <c r="AC289" s="273"/>
      <c r="AD289" s="272"/>
      <c r="AE289" s="493" t="str">
        <f ca="1">IF('CDO Bespoke'!C314&lt;&gt;"",'CDO Bespoke'!C314,"")</f>
        <v/>
      </c>
      <c r="AF289" s="495"/>
      <c r="AG289" s="583"/>
      <c r="AH289" s="583"/>
      <c r="AI289" s="583"/>
      <c r="AJ289" s="496"/>
      <c r="AK289" s="618"/>
      <c r="AL289" s="495"/>
      <c r="AM289" s="583"/>
      <c r="AN289" s="583"/>
      <c r="AO289" s="583"/>
      <c r="AP289" s="496"/>
      <c r="AQ289" s="618"/>
      <c r="AR289" s="505"/>
      <c r="AS289" s="629"/>
      <c r="AT289" s="618"/>
      <c r="AU289" s="505"/>
      <c r="AV289" s="581"/>
      <c r="AW289" s="618"/>
    </row>
    <row r="290" spans="2:49">
      <c r="B290" s="516" t="s">
        <v>596</v>
      </c>
      <c r="C290" s="517" t="s">
        <v>66</v>
      </c>
      <c r="D290" s="517" t="s">
        <v>57</v>
      </c>
      <c r="E290" s="517" t="s">
        <v>647</v>
      </c>
      <c r="F290" s="517" t="s">
        <v>672</v>
      </c>
      <c r="G290" s="524">
        <v>0.01</v>
      </c>
      <c r="H290" s="524">
        <v>6.6940000000000003E-3</v>
      </c>
      <c r="I290" s="526">
        <v>0.4</v>
      </c>
      <c r="J290" s="592">
        <v>6</v>
      </c>
      <c r="K290" s="518">
        <v>89</v>
      </c>
      <c r="L290" s="272"/>
      <c r="M290" s="272"/>
      <c r="P290" s="273"/>
      <c r="Q290" s="273"/>
      <c r="R290" s="273"/>
      <c r="S290" s="273"/>
      <c r="T290" s="273"/>
      <c r="U290" s="273"/>
      <c r="V290" s="273"/>
      <c r="W290" s="273"/>
      <c r="X290" s="273"/>
      <c r="Y290" s="273"/>
      <c r="Z290" s="273"/>
      <c r="AA290" s="273"/>
      <c r="AB290" s="273"/>
      <c r="AC290" s="273"/>
      <c r="AD290" s="272"/>
      <c r="AE290" s="493" t="str">
        <f ca="1">IF('CDO Bespoke'!C315&lt;&gt;"",'CDO Bespoke'!C315,"")</f>
        <v/>
      </c>
      <c r="AF290" s="495"/>
      <c r="AG290" s="583"/>
      <c r="AH290" s="583"/>
      <c r="AI290" s="583"/>
      <c r="AJ290" s="496"/>
      <c r="AK290" s="618"/>
      <c r="AL290" s="495"/>
      <c r="AM290" s="583"/>
      <c r="AN290" s="583"/>
      <c r="AO290" s="583"/>
      <c r="AP290" s="496"/>
      <c r="AQ290" s="618"/>
      <c r="AR290" s="505"/>
      <c r="AS290" s="629"/>
      <c r="AT290" s="618"/>
      <c r="AU290" s="505"/>
      <c r="AV290" s="581"/>
      <c r="AW290" s="618"/>
    </row>
    <row r="291" spans="2:49">
      <c r="B291" s="533" t="s">
        <v>596</v>
      </c>
      <c r="C291" s="534" t="s">
        <v>66</v>
      </c>
      <c r="D291" s="534" t="s">
        <v>59</v>
      </c>
      <c r="E291" s="534" t="s">
        <v>647</v>
      </c>
      <c r="F291" s="534" t="s">
        <v>672</v>
      </c>
      <c r="G291" s="535">
        <v>0.01</v>
      </c>
      <c r="H291" s="535">
        <v>1.0071999999999999E-2</v>
      </c>
      <c r="I291" s="536">
        <v>0.4</v>
      </c>
      <c r="J291" s="593">
        <v>6</v>
      </c>
      <c r="K291" s="537">
        <v>89</v>
      </c>
      <c r="L291" s="272"/>
      <c r="M291" s="272"/>
      <c r="P291" s="273"/>
      <c r="Q291" s="273"/>
      <c r="R291" s="273"/>
      <c r="S291" s="273"/>
      <c r="T291" s="273"/>
      <c r="U291" s="273"/>
      <c r="V291" s="273"/>
      <c r="W291" s="273"/>
      <c r="X291" s="273"/>
      <c r="Y291" s="273"/>
      <c r="Z291" s="273"/>
      <c r="AA291" s="273"/>
      <c r="AB291" s="273"/>
      <c r="AC291" s="273"/>
      <c r="AD291" s="272"/>
      <c r="AE291" s="493" t="str">
        <f ca="1">IF('CDO Bespoke'!C316&lt;&gt;"",'CDO Bespoke'!C316,"")</f>
        <v/>
      </c>
      <c r="AF291" s="495"/>
      <c r="AG291" s="583"/>
      <c r="AH291" s="583"/>
      <c r="AI291" s="583"/>
      <c r="AJ291" s="496"/>
      <c r="AK291" s="618"/>
      <c r="AL291" s="495"/>
      <c r="AM291" s="583"/>
      <c r="AN291" s="583"/>
      <c r="AO291" s="583"/>
      <c r="AP291" s="496"/>
      <c r="AQ291" s="618"/>
      <c r="AR291" s="505"/>
      <c r="AS291" s="629"/>
      <c r="AT291" s="618"/>
      <c r="AU291" s="505"/>
      <c r="AV291" s="581"/>
      <c r="AW291" s="618"/>
    </row>
    <row r="292" spans="2:49">
      <c r="B292" s="538" t="s">
        <v>589</v>
      </c>
      <c r="C292" s="539" t="s">
        <v>66</v>
      </c>
      <c r="D292" s="539" t="s">
        <v>55</v>
      </c>
      <c r="E292" s="539" t="s">
        <v>645</v>
      </c>
      <c r="F292" s="539" t="s">
        <v>672</v>
      </c>
      <c r="G292" s="540">
        <v>0.01</v>
      </c>
      <c r="H292" s="540">
        <v>1.3079999999999999E-3</v>
      </c>
      <c r="I292" s="541">
        <v>0.4</v>
      </c>
      <c r="J292" s="600">
        <v>6</v>
      </c>
      <c r="K292" s="542">
        <v>90</v>
      </c>
      <c r="L292" s="272"/>
      <c r="M292" s="272"/>
      <c r="P292" s="273"/>
      <c r="Q292" s="273"/>
      <c r="R292" s="273"/>
      <c r="S292" s="273"/>
      <c r="T292" s="273"/>
      <c r="U292" s="273"/>
      <c r="V292" s="273"/>
      <c r="W292" s="273"/>
      <c r="X292" s="273"/>
      <c r="Y292" s="273"/>
      <c r="Z292" s="273"/>
      <c r="AA292" s="273"/>
      <c r="AB292" s="273"/>
      <c r="AC292" s="273"/>
      <c r="AD292" s="272"/>
      <c r="AE292" s="493" t="str">
        <f ca="1">IF('CDO Bespoke'!C317&lt;&gt;"",'CDO Bespoke'!C317,"")</f>
        <v/>
      </c>
      <c r="AF292" s="495"/>
      <c r="AG292" s="583"/>
      <c r="AH292" s="583"/>
      <c r="AI292" s="583"/>
      <c r="AJ292" s="496"/>
      <c r="AK292" s="618"/>
      <c r="AL292" s="495"/>
      <c r="AM292" s="583"/>
      <c r="AN292" s="583"/>
      <c r="AO292" s="583"/>
      <c r="AP292" s="496"/>
      <c r="AQ292" s="618"/>
      <c r="AR292" s="505"/>
      <c r="AS292" s="629"/>
      <c r="AT292" s="618"/>
      <c r="AU292" s="505"/>
      <c r="AV292" s="581"/>
      <c r="AW292" s="618"/>
    </row>
    <row r="293" spans="2:49">
      <c r="B293" s="516" t="s">
        <v>589</v>
      </c>
      <c r="C293" s="517" t="s">
        <v>66</v>
      </c>
      <c r="D293" s="517" t="s">
        <v>57</v>
      </c>
      <c r="E293" s="517" t="s">
        <v>645</v>
      </c>
      <c r="F293" s="517" t="s">
        <v>672</v>
      </c>
      <c r="G293" s="524">
        <v>0.01</v>
      </c>
      <c r="H293" s="524">
        <v>2.3080000000000002E-3</v>
      </c>
      <c r="I293" s="526">
        <v>0.4</v>
      </c>
      <c r="J293" s="592">
        <v>6</v>
      </c>
      <c r="K293" s="518">
        <v>90</v>
      </c>
      <c r="L293" s="272"/>
      <c r="M293" s="272"/>
      <c r="P293" s="273"/>
      <c r="Q293" s="273"/>
      <c r="R293" s="273"/>
      <c r="S293" s="273"/>
      <c r="T293" s="273"/>
      <c r="U293" s="273"/>
      <c r="V293" s="273"/>
      <c r="W293" s="273"/>
      <c r="X293" s="273"/>
      <c r="Y293" s="273"/>
      <c r="Z293" s="273"/>
      <c r="AA293" s="273"/>
      <c r="AB293" s="273"/>
      <c r="AC293" s="273"/>
      <c r="AD293" s="272"/>
      <c r="AE293" s="493" t="str">
        <f ca="1">IF('CDO Bespoke'!C318&lt;&gt;"",'CDO Bespoke'!C318,"")</f>
        <v/>
      </c>
      <c r="AF293" s="495"/>
      <c r="AG293" s="583"/>
      <c r="AH293" s="583"/>
      <c r="AI293" s="583"/>
      <c r="AJ293" s="496"/>
      <c r="AK293" s="618"/>
      <c r="AL293" s="495"/>
      <c r="AM293" s="583"/>
      <c r="AN293" s="583"/>
      <c r="AO293" s="583"/>
      <c r="AP293" s="496"/>
      <c r="AQ293" s="618"/>
      <c r="AR293" s="505"/>
      <c r="AS293" s="629"/>
      <c r="AT293" s="618"/>
      <c r="AU293" s="505"/>
      <c r="AV293" s="581"/>
      <c r="AW293" s="618"/>
    </row>
    <row r="294" spans="2:49">
      <c r="B294" s="533" t="s">
        <v>589</v>
      </c>
      <c r="C294" s="534" t="s">
        <v>66</v>
      </c>
      <c r="D294" s="534" t="s">
        <v>59</v>
      </c>
      <c r="E294" s="534" t="s">
        <v>645</v>
      </c>
      <c r="F294" s="534" t="s">
        <v>672</v>
      </c>
      <c r="G294" s="535">
        <v>0.01</v>
      </c>
      <c r="H294" s="535">
        <v>3.643E-3</v>
      </c>
      <c r="I294" s="536">
        <v>0.4</v>
      </c>
      <c r="J294" s="593">
        <v>6</v>
      </c>
      <c r="K294" s="537">
        <v>90</v>
      </c>
      <c r="L294" s="272"/>
      <c r="M294" s="272"/>
      <c r="P294" s="273"/>
      <c r="Q294" s="273"/>
      <c r="R294" s="273"/>
      <c r="S294" s="273"/>
      <c r="T294" s="273"/>
      <c r="U294" s="273"/>
      <c r="V294" s="273"/>
      <c r="W294" s="273"/>
      <c r="X294" s="273"/>
      <c r="Y294" s="273"/>
      <c r="Z294" s="273"/>
      <c r="AA294" s="273"/>
      <c r="AB294" s="273"/>
      <c r="AC294" s="273"/>
      <c r="AD294" s="272"/>
      <c r="AE294" s="493" t="str">
        <f ca="1">IF('CDO Bespoke'!C319&lt;&gt;"",'CDO Bespoke'!C319,"")</f>
        <v/>
      </c>
      <c r="AF294" s="495"/>
      <c r="AG294" s="583"/>
      <c r="AH294" s="583"/>
      <c r="AI294" s="583"/>
      <c r="AJ294" s="496"/>
      <c r="AK294" s="618"/>
      <c r="AL294" s="495"/>
      <c r="AM294" s="583"/>
      <c r="AN294" s="583"/>
      <c r="AO294" s="583"/>
      <c r="AP294" s="496"/>
      <c r="AQ294" s="618"/>
      <c r="AR294" s="505"/>
      <c r="AS294" s="629"/>
      <c r="AT294" s="618"/>
      <c r="AU294" s="505"/>
      <c r="AV294" s="581"/>
      <c r="AW294" s="618"/>
    </row>
    <row r="295" spans="2:49">
      <c r="B295" s="538" t="s">
        <v>597</v>
      </c>
      <c r="C295" s="539" t="s">
        <v>66</v>
      </c>
      <c r="D295" s="539" t="s">
        <v>55</v>
      </c>
      <c r="E295" s="539" t="s">
        <v>647</v>
      </c>
      <c r="F295" s="539" t="s">
        <v>672</v>
      </c>
      <c r="G295" s="540">
        <v>0.01</v>
      </c>
      <c r="H295" s="540">
        <v>1.5479999999999999E-3</v>
      </c>
      <c r="I295" s="541">
        <v>0.4</v>
      </c>
      <c r="J295" s="600">
        <v>6</v>
      </c>
      <c r="K295" s="542">
        <v>91</v>
      </c>
      <c r="L295" s="272"/>
      <c r="M295" s="272"/>
      <c r="P295" s="273"/>
      <c r="Q295" s="273"/>
      <c r="R295" s="273"/>
      <c r="S295" s="273"/>
      <c r="T295" s="273"/>
      <c r="U295" s="273"/>
      <c r="V295" s="273"/>
      <c r="W295" s="273"/>
      <c r="X295" s="273"/>
      <c r="Y295" s="273"/>
      <c r="Z295" s="273"/>
      <c r="AA295" s="273"/>
      <c r="AB295" s="273"/>
      <c r="AC295" s="273"/>
      <c r="AD295" s="272"/>
      <c r="AE295" s="493" t="str">
        <f ca="1">IF('CDO Bespoke'!C320&lt;&gt;"",'CDO Bespoke'!C320,"")</f>
        <v/>
      </c>
      <c r="AF295" s="495"/>
      <c r="AG295" s="583"/>
      <c r="AH295" s="583"/>
      <c r="AI295" s="583"/>
      <c r="AJ295" s="496"/>
      <c r="AK295" s="618"/>
      <c r="AL295" s="495"/>
      <c r="AM295" s="583"/>
      <c r="AN295" s="583"/>
      <c r="AO295" s="583"/>
      <c r="AP295" s="496"/>
      <c r="AQ295" s="618"/>
      <c r="AR295" s="505"/>
      <c r="AS295" s="629"/>
      <c r="AT295" s="618"/>
      <c r="AU295" s="505"/>
      <c r="AV295" s="581"/>
      <c r="AW295" s="618"/>
    </row>
    <row r="296" spans="2:49">
      <c r="B296" s="516" t="s">
        <v>597</v>
      </c>
      <c r="C296" s="517" t="s">
        <v>66</v>
      </c>
      <c r="D296" s="517" t="s">
        <v>57</v>
      </c>
      <c r="E296" s="517" t="s">
        <v>647</v>
      </c>
      <c r="F296" s="517" t="s">
        <v>672</v>
      </c>
      <c r="G296" s="524">
        <v>0.01</v>
      </c>
      <c r="H296" s="524">
        <v>2.565E-3</v>
      </c>
      <c r="I296" s="526">
        <v>0.4</v>
      </c>
      <c r="J296" s="592">
        <v>6</v>
      </c>
      <c r="K296" s="518">
        <v>91</v>
      </c>
      <c r="L296" s="272"/>
      <c r="M296" s="272"/>
      <c r="P296" s="273"/>
      <c r="Q296" s="273"/>
      <c r="R296" s="273"/>
      <c r="S296" s="273"/>
      <c r="T296" s="273"/>
      <c r="U296" s="273"/>
      <c r="V296" s="273"/>
      <c r="W296" s="273"/>
      <c r="X296" s="273"/>
      <c r="Y296" s="273"/>
      <c r="Z296" s="273"/>
      <c r="AA296" s="273"/>
      <c r="AB296" s="273"/>
      <c r="AC296" s="273"/>
      <c r="AD296" s="272"/>
      <c r="AE296" s="493" t="str">
        <f ca="1">IF('CDO Bespoke'!C321&lt;&gt;"",'CDO Bespoke'!C321,"")</f>
        <v/>
      </c>
      <c r="AF296" s="495"/>
      <c r="AG296" s="583"/>
      <c r="AH296" s="583"/>
      <c r="AI296" s="583"/>
      <c r="AJ296" s="496"/>
      <c r="AK296" s="618"/>
      <c r="AL296" s="495"/>
      <c r="AM296" s="583"/>
      <c r="AN296" s="583"/>
      <c r="AO296" s="583"/>
      <c r="AP296" s="496"/>
      <c r="AQ296" s="618"/>
      <c r="AR296" s="505"/>
      <c r="AS296" s="629"/>
      <c r="AT296" s="618"/>
      <c r="AU296" s="505"/>
      <c r="AV296" s="581"/>
      <c r="AW296" s="618"/>
    </row>
    <row r="297" spans="2:49">
      <c r="B297" s="533" t="s">
        <v>597</v>
      </c>
      <c r="C297" s="534" t="s">
        <v>66</v>
      </c>
      <c r="D297" s="534" t="s">
        <v>59</v>
      </c>
      <c r="E297" s="534" t="s">
        <v>647</v>
      </c>
      <c r="F297" s="534" t="s">
        <v>672</v>
      </c>
      <c r="G297" s="535">
        <v>0.01</v>
      </c>
      <c r="H297" s="535">
        <v>3.594E-3</v>
      </c>
      <c r="I297" s="536">
        <v>0.4</v>
      </c>
      <c r="J297" s="593">
        <v>6</v>
      </c>
      <c r="K297" s="537">
        <v>91</v>
      </c>
      <c r="L297" s="272"/>
      <c r="M297" s="272"/>
      <c r="P297" s="273"/>
      <c r="Q297" s="273"/>
      <c r="R297" s="273"/>
      <c r="S297" s="273"/>
      <c r="T297" s="273"/>
      <c r="U297" s="273"/>
      <c r="V297" s="273"/>
      <c r="W297" s="273"/>
      <c r="X297" s="273"/>
      <c r="Y297" s="273"/>
      <c r="Z297" s="273"/>
      <c r="AA297" s="273"/>
      <c r="AB297" s="273"/>
      <c r="AC297" s="273"/>
      <c r="AD297" s="272"/>
      <c r="AE297" s="493" t="str">
        <f ca="1">IF('CDO Bespoke'!C322&lt;&gt;"",'CDO Bespoke'!C322,"")</f>
        <v/>
      </c>
      <c r="AF297" s="495"/>
      <c r="AG297" s="583"/>
      <c r="AH297" s="583"/>
      <c r="AI297" s="583"/>
      <c r="AJ297" s="496"/>
      <c r="AK297" s="618"/>
      <c r="AL297" s="495"/>
      <c r="AM297" s="583"/>
      <c r="AN297" s="583"/>
      <c r="AO297" s="583"/>
      <c r="AP297" s="496"/>
      <c r="AQ297" s="618"/>
      <c r="AR297" s="505"/>
      <c r="AS297" s="629"/>
      <c r="AT297" s="618"/>
      <c r="AU297" s="505"/>
      <c r="AV297" s="581"/>
      <c r="AW297" s="618"/>
    </row>
    <row r="298" spans="2:49">
      <c r="B298" s="538" t="s">
        <v>590</v>
      </c>
      <c r="C298" s="539" t="s">
        <v>66</v>
      </c>
      <c r="D298" s="539" t="s">
        <v>55</v>
      </c>
      <c r="E298" s="539" t="s">
        <v>647</v>
      </c>
      <c r="F298" s="539" t="s">
        <v>672</v>
      </c>
      <c r="G298" s="540">
        <v>0.01</v>
      </c>
      <c r="H298" s="540">
        <v>1.606E-3</v>
      </c>
      <c r="I298" s="541">
        <v>0.4</v>
      </c>
      <c r="J298" s="600">
        <v>6</v>
      </c>
      <c r="K298" s="542">
        <v>92</v>
      </c>
      <c r="L298" s="272"/>
      <c r="M298" s="272"/>
      <c r="P298" s="273"/>
      <c r="Q298" s="273"/>
      <c r="R298" s="273"/>
      <c r="S298" s="273"/>
      <c r="T298" s="273"/>
      <c r="U298" s="273"/>
      <c r="V298" s="273"/>
      <c r="W298" s="273"/>
      <c r="X298" s="273"/>
      <c r="Y298" s="273"/>
      <c r="Z298" s="273"/>
      <c r="AA298" s="273"/>
      <c r="AB298" s="273"/>
      <c r="AC298" s="273"/>
      <c r="AD298" s="272"/>
      <c r="AE298" s="493" t="str">
        <f ca="1">IF('CDO Bespoke'!C323&lt;&gt;"",'CDO Bespoke'!C323,"")</f>
        <v/>
      </c>
      <c r="AF298" s="495"/>
      <c r="AG298" s="583"/>
      <c r="AH298" s="583"/>
      <c r="AI298" s="583"/>
      <c r="AJ298" s="496"/>
      <c r="AK298" s="618"/>
      <c r="AL298" s="495"/>
      <c r="AM298" s="583"/>
      <c r="AN298" s="583"/>
      <c r="AO298" s="583"/>
      <c r="AP298" s="496"/>
      <c r="AQ298" s="618"/>
      <c r="AR298" s="505"/>
      <c r="AS298" s="629"/>
      <c r="AT298" s="618"/>
      <c r="AU298" s="505"/>
      <c r="AV298" s="581"/>
      <c r="AW298" s="618"/>
    </row>
    <row r="299" spans="2:49">
      <c r="B299" s="516" t="s">
        <v>590</v>
      </c>
      <c r="C299" s="517" t="s">
        <v>66</v>
      </c>
      <c r="D299" s="517" t="s">
        <v>57</v>
      </c>
      <c r="E299" s="517" t="s">
        <v>647</v>
      </c>
      <c r="F299" s="517" t="s">
        <v>672</v>
      </c>
      <c r="G299" s="524">
        <v>0.01</v>
      </c>
      <c r="H299" s="524">
        <v>2.6679999999999998E-3</v>
      </c>
      <c r="I299" s="526">
        <v>0.4</v>
      </c>
      <c r="J299" s="592">
        <v>6</v>
      </c>
      <c r="K299" s="518">
        <v>92</v>
      </c>
      <c r="L299" s="272"/>
      <c r="M299" s="272"/>
      <c r="P299" s="273"/>
      <c r="Q299" s="273"/>
      <c r="R299" s="273"/>
      <c r="S299" s="273"/>
      <c r="T299" s="273"/>
      <c r="U299" s="273"/>
      <c r="V299" s="273"/>
      <c r="W299" s="273"/>
      <c r="X299" s="273"/>
      <c r="Y299" s="273"/>
      <c r="Z299" s="273"/>
      <c r="AA299" s="273"/>
      <c r="AB299" s="273"/>
      <c r="AC299" s="273"/>
      <c r="AD299" s="272"/>
      <c r="AE299" s="493" t="str">
        <f ca="1">IF('CDO Bespoke'!C324&lt;&gt;"",'CDO Bespoke'!C324,"")</f>
        <v/>
      </c>
      <c r="AF299" s="495"/>
      <c r="AG299" s="583"/>
      <c r="AH299" s="583"/>
      <c r="AI299" s="583"/>
      <c r="AJ299" s="496"/>
      <c r="AK299" s="618"/>
      <c r="AL299" s="495"/>
      <c r="AM299" s="583"/>
      <c r="AN299" s="583"/>
      <c r="AO299" s="583"/>
      <c r="AP299" s="496"/>
      <c r="AQ299" s="618"/>
      <c r="AR299" s="505"/>
      <c r="AS299" s="629"/>
      <c r="AT299" s="618"/>
      <c r="AU299" s="505"/>
      <c r="AV299" s="581"/>
      <c r="AW299" s="618"/>
    </row>
    <row r="300" spans="2:49">
      <c r="B300" s="533" t="s">
        <v>590</v>
      </c>
      <c r="C300" s="534" t="s">
        <v>66</v>
      </c>
      <c r="D300" s="534" t="s">
        <v>59</v>
      </c>
      <c r="E300" s="534" t="s">
        <v>647</v>
      </c>
      <c r="F300" s="534" t="s">
        <v>672</v>
      </c>
      <c r="G300" s="535">
        <v>0.01</v>
      </c>
      <c r="H300" s="535">
        <v>3.9750000000000002E-3</v>
      </c>
      <c r="I300" s="536">
        <v>0.4</v>
      </c>
      <c r="J300" s="593">
        <v>6</v>
      </c>
      <c r="K300" s="537">
        <v>92</v>
      </c>
      <c r="L300" s="272"/>
      <c r="M300" s="272"/>
      <c r="P300" s="273"/>
      <c r="Q300" s="273"/>
      <c r="R300" s="273"/>
      <c r="S300" s="273"/>
      <c r="T300" s="273"/>
      <c r="U300" s="273"/>
      <c r="V300" s="273"/>
      <c r="W300" s="273"/>
      <c r="X300" s="273"/>
      <c r="Y300" s="273"/>
      <c r="Z300" s="273"/>
      <c r="AA300" s="273"/>
      <c r="AB300" s="273"/>
      <c r="AC300" s="273"/>
      <c r="AD300" s="272"/>
      <c r="AE300" s="493" t="str">
        <f ca="1">IF('CDO Bespoke'!C325&lt;&gt;"",'CDO Bespoke'!C325,"")</f>
        <v/>
      </c>
      <c r="AF300" s="495"/>
      <c r="AG300" s="583"/>
      <c r="AH300" s="583"/>
      <c r="AI300" s="583"/>
      <c r="AJ300" s="496"/>
      <c r="AK300" s="618"/>
      <c r="AL300" s="495"/>
      <c r="AM300" s="583"/>
      <c r="AN300" s="583"/>
      <c r="AO300" s="583"/>
      <c r="AP300" s="496"/>
      <c r="AQ300" s="618"/>
      <c r="AR300" s="505"/>
      <c r="AS300" s="629"/>
      <c r="AT300" s="618"/>
      <c r="AU300" s="505"/>
      <c r="AV300" s="581"/>
      <c r="AW300" s="618"/>
    </row>
    <row r="301" spans="2:49">
      <c r="B301" s="538" t="s">
        <v>591</v>
      </c>
      <c r="C301" s="539" t="s">
        <v>66</v>
      </c>
      <c r="D301" s="539" t="s">
        <v>55</v>
      </c>
      <c r="E301" s="539" t="s">
        <v>647</v>
      </c>
      <c r="F301" s="539" t="s">
        <v>668</v>
      </c>
      <c r="G301" s="540">
        <v>0.01</v>
      </c>
      <c r="H301" s="540">
        <v>3.0330000000000001E-3</v>
      </c>
      <c r="I301" s="541">
        <v>0.4</v>
      </c>
      <c r="J301" s="600">
        <v>5</v>
      </c>
      <c r="K301" s="542">
        <v>93</v>
      </c>
      <c r="L301" s="272"/>
      <c r="M301" s="272"/>
      <c r="P301" s="273"/>
      <c r="Q301" s="273"/>
      <c r="R301" s="273"/>
      <c r="S301" s="273"/>
      <c r="T301" s="273"/>
      <c r="U301" s="273"/>
      <c r="V301" s="273"/>
      <c r="W301" s="273"/>
      <c r="X301" s="273"/>
      <c r="Y301" s="273"/>
      <c r="Z301" s="273"/>
      <c r="AA301" s="273"/>
      <c r="AB301" s="273"/>
      <c r="AC301" s="273"/>
      <c r="AD301" s="272"/>
      <c r="AE301" s="493" t="str">
        <f ca="1">IF('CDO Bespoke'!C326&lt;&gt;"",'CDO Bespoke'!C326,"")</f>
        <v/>
      </c>
      <c r="AF301" s="495"/>
      <c r="AG301" s="583"/>
      <c r="AH301" s="583"/>
      <c r="AI301" s="583"/>
      <c r="AJ301" s="496"/>
      <c r="AK301" s="618"/>
      <c r="AL301" s="495"/>
      <c r="AM301" s="583"/>
      <c r="AN301" s="583"/>
      <c r="AO301" s="583"/>
      <c r="AP301" s="496"/>
      <c r="AQ301" s="618"/>
      <c r="AR301" s="505"/>
      <c r="AS301" s="629"/>
      <c r="AT301" s="618"/>
      <c r="AU301" s="505"/>
      <c r="AV301" s="581"/>
      <c r="AW301" s="618"/>
    </row>
    <row r="302" spans="2:49">
      <c r="B302" s="516" t="s">
        <v>591</v>
      </c>
      <c r="C302" s="517" t="s">
        <v>66</v>
      </c>
      <c r="D302" s="517" t="s">
        <v>57</v>
      </c>
      <c r="E302" s="517" t="s">
        <v>647</v>
      </c>
      <c r="F302" s="517" t="s">
        <v>668</v>
      </c>
      <c r="G302" s="524">
        <v>0.01</v>
      </c>
      <c r="H302" s="524">
        <v>5.5510000000000004E-3</v>
      </c>
      <c r="I302" s="526">
        <v>0.4</v>
      </c>
      <c r="J302" s="592">
        <v>5</v>
      </c>
      <c r="K302" s="518">
        <v>93</v>
      </c>
      <c r="L302" s="272"/>
      <c r="M302" s="272"/>
      <c r="P302" s="273"/>
      <c r="Q302" s="273"/>
      <c r="R302" s="273"/>
      <c r="S302" s="273"/>
      <c r="T302" s="273"/>
      <c r="U302" s="273"/>
      <c r="V302" s="273"/>
      <c r="W302" s="273"/>
      <c r="X302" s="273"/>
      <c r="Y302" s="273"/>
      <c r="Z302" s="273"/>
      <c r="AA302" s="273"/>
      <c r="AB302" s="273"/>
      <c r="AC302" s="273"/>
      <c r="AD302" s="272"/>
      <c r="AE302" s="493" t="str">
        <f ca="1">IF('CDO Bespoke'!C327&lt;&gt;"",'CDO Bespoke'!C327,"")</f>
        <v/>
      </c>
      <c r="AF302" s="495"/>
      <c r="AG302" s="583"/>
      <c r="AH302" s="583"/>
      <c r="AI302" s="583"/>
      <c r="AJ302" s="496"/>
      <c r="AK302" s="618"/>
      <c r="AL302" s="495"/>
      <c r="AM302" s="583"/>
      <c r="AN302" s="583"/>
      <c r="AO302" s="583"/>
      <c r="AP302" s="496"/>
      <c r="AQ302" s="618"/>
      <c r="AR302" s="505"/>
      <c r="AS302" s="629"/>
      <c r="AT302" s="618"/>
      <c r="AU302" s="505"/>
      <c r="AV302" s="581"/>
      <c r="AW302" s="618"/>
    </row>
    <row r="303" spans="2:49">
      <c r="B303" s="533" t="s">
        <v>591</v>
      </c>
      <c r="C303" s="534" t="s">
        <v>66</v>
      </c>
      <c r="D303" s="534" t="s">
        <v>59</v>
      </c>
      <c r="E303" s="534" t="s">
        <v>647</v>
      </c>
      <c r="F303" s="534" t="s">
        <v>668</v>
      </c>
      <c r="G303" s="535">
        <v>0.01</v>
      </c>
      <c r="H303" s="535">
        <v>8.4740000000000006E-3</v>
      </c>
      <c r="I303" s="536">
        <v>0.4</v>
      </c>
      <c r="J303" s="593">
        <v>5</v>
      </c>
      <c r="K303" s="537">
        <v>93</v>
      </c>
      <c r="L303" s="272"/>
      <c r="M303" s="272"/>
      <c r="P303" s="273"/>
      <c r="Q303" s="273"/>
      <c r="R303" s="273"/>
      <c r="S303" s="273"/>
      <c r="T303" s="273"/>
      <c r="U303" s="273"/>
      <c r="V303" s="273"/>
      <c r="W303" s="273"/>
      <c r="X303" s="273"/>
      <c r="Y303" s="273"/>
      <c r="Z303" s="273"/>
      <c r="AA303" s="273"/>
      <c r="AB303" s="273"/>
      <c r="AC303" s="273"/>
      <c r="AD303" s="272"/>
      <c r="AE303" s="493" t="str">
        <f ca="1">IF('CDO Bespoke'!C328&lt;&gt;"",'CDO Bespoke'!C328,"")</f>
        <v/>
      </c>
      <c r="AF303" s="495"/>
      <c r="AG303" s="583"/>
      <c r="AH303" s="583"/>
      <c r="AI303" s="583"/>
      <c r="AJ303" s="496"/>
      <c r="AK303" s="618"/>
      <c r="AL303" s="495"/>
      <c r="AM303" s="583"/>
      <c r="AN303" s="583"/>
      <c r="AO303" s="583"/>
      <c r="AP303" s="496"/>
      <c r="AQ303" s="618"/>
      <c r="AR303" s="505"/>
      <c r="AS303" s="629"/>
      <c r="AT303" s="618"/>
      <c r="AU303" s="505"/>
      <c r="AV303" s="581"/>
      <c r="AW303" s="618"/>
    </row>
    <row r="304" spans="2:49">
      <c r="B304" s="538" t="s">
        <v>592</v>
      </c>
      <c r="C304" s="539" t="s">
        <v>66</v>
      </c>
      <c r="D304" s="539" t="s">
        <v>55</v>
      </c>
      <c r="E304" s="539" t="s">
        <v>647</v>
      </c>
      <c r="F304" s="539" t="s">
        <v>672</v>
      </c>
      <c r="G304" s="540">
        <v>0.01</v>
      </c>
      <c r="H304" s="540">
        <v>3.7399999999999998E-3</v>
      </c>
      <c r="I304" s="541">
        <v>0.4</v>
      </c>
      <c r="J304" s="600">
        <v>6</v>
      </c>
      <c r="K304" s="542">
        <v>94</v>
      </c>
      <c r="L304" s="272"/>
      <c r="M304" s="272"/>
      <c r="P304" s="273"/>
      <c r="Q304" s="273"/>
      <c r="R304" s="273"/>
      <c r="S304" s="273"/>
      <c r="T304" s="273"/>
      <c r="U304" s="273"/>
      <c r="V304" s="273"/>
      <c r="W304" s="273"/>
      <c r="X304" s="273"/>
      <c r="Y304" s="273"/>
      <c r="Z304" s="273"/>
      <c r="AA304" s="273"/>
      <c r="AB304" s="273"/>
      <c r="AC304" s="273"/>
      <c r="AD304" s="272"/>
      <c r="AE304" s="493" t="str">
        <f ca="1">IF('CDO Bespoke'!C329&lt;&gt;"",'CDO Bespoke'!C329,"")</f>
        <v/>
      </c>
      <c r="AF304" s="495"/>
      <c r="AG304" s="583"/>
      <c r="AH304" s="583"/>
      <c r="AI304" s="583"/>
      <c r="AJ304" s="496"/>
      <c r="AK304" s="618"/>
      <c r="AL304" s="495"/>
      <c r="AM304" s="583"/>
      <c r="AN304" s="583"/>
      <c r="AO304" s="583"/>
      <c r="AP304" s="496"/>
      <c r="AQ304" s="618"/>
      <c r="AR304" s="505"/>
      <c r="AS304" s="629"/>
      <c r="AT304" s="618"/>
      <c r="AU304" s="505"/>
      <c r="AV304" s="581"/>
      <c r="AW304" s="618"/>
    </row>
    <row r="305" spans="2:49">
      <c r="B305" s="516" t="s">
        <v>592</v>
      </c>
      <c r="C305" s="517" t="s">
        <v>66</v>
      </c>
      <c r="D305" s="517" t="s">
        <v>57</v>
      </c>
      <c r="E305" s="517" t="s">
        <v>647</v>
      </c>
      <c r="F305" s="517" t="s">
        <v>672</v>
      </c>
      <c r="G305" s="524">
        <v>0.01</v>
      </c>
      <c r="H305" s="524">
        <v>6.6239999999999997E-3</v>
      </c>
      <c r="I305" s="526">
        <v>0.4</v>
      </c>
      <c r="J305" s="592">
        <v>6</v>
      </c>
      <c r="K305" s="518">
        <v>94</v>
      </c>
      <c r="L305" s="272"/>
      <c r="M305" s="272"/>
      <c r="P305" s="273"/>
      <c r="Q305" s="273"/>
      <c r="R305" s="273"/>
      <c r="S305" s="273"/>
      <c r="T305" s="273"/>
      <c r="U305" s="273"/>
      <c r="V305" s="273"/>
      <c r="W305" s="273"/>
      <c r="X305" s="273"/>
      <c r="Y305" s="273"/>
      <c r="Z305" s="273"/>
      <c r="AA305" s="273"/>
      <c r="AB305" s="273"/>
      <c r="AC305" s="273"/>
      <c r="AD305" s="272"/>
      <c r="AE305" s="493" t="str">
        <f ca="1">IF('CDO Bespoke'!C330&lt;&gt;"",'CDO Bespoke'!C330,"")</f>
        <v/>
      </c>
      <c r="AF305" s="495"/>
      <c r="AG305" s="583"/>
      <c r="AH305" s="583"/>
      <c r="AI305" s="583"/>
      <c r="AJ305" s="496"/>
      <c r="AK305" s="618"/>
      <c r="AL305" s="495"/>
      <c r="AM305" s="583"/>
      <c r="AN305" s="583"/>
      <c r="AO305" s="583"/>
      <c r="AP305" s="496"/>
      <c r="AQ305" s="618"/>
      <c r="AR305" s="505"/>
      <c r="AS305" s="629"/>
      <c r="AT305" s="618"/>
      <c r="AU305" s="505"/>
      <c r="AV305" s="581"/>
      <c r="AW305" s="618"/>
    </row>
    <row r="306" spans="2:49">
      <c r="B306" s="533" t="s">
        <v>592</v>
      </c>
      <c r="C306" s="534" t="s">
        <v>66</v>
      </c>
      <c r="D306" s="534" t="s">
        <v>59</v>
      </c>
      <c r="E306" s="534" t="s">
        <v>647</v>
      </c>
      <c r="F306" s="534" t="s">
        <v>672</v>
      </c>
      <c r="G306" s="535">
        <v>0.01</v>
      </c>
      <c r="H306" s="535">
        <v>9.2910000000000006E-3</v>
      </c>
      <c r="I306" s="536">
        <v>0.4</v>
      </c>
      <c r="J306" s="593">
        <v>6</v>
      </c>
      <c r="K306" s="537">
        <v>94</v>
      </c>
      <c r="L306" s="272"/>
      <c r="M306" s="272"/>
      <c r="P306" s="273"/>
      <c r="Q306" s="273"/>
      <c r="R306" s="273"/>
      <c r="S306" s="273"/>
      <c r="T306" s="273"/>
      <c r="U306" s="273"/>
      <c r="V306" s="273"/>
      <c r="W306" s="273"/>
      <c r="X306" s="273"/>
      <c r="Y306" s="273"/>
      <c r="Z306" s="273"/>
      <c r="AA306" s="273"/>
      <c r="AB306" s="273"/>
      <c r="AC306" s="273"/>
      <c r="AD306" s="272"/>
      <c r="AE306" s="493" t="str">
        <f ca="1">IF('CDO Bespoke'!C331&lt;&gt;"",'CDO Bespoke'!C331,"")</f>
        <v/>
      </c>
      <c r="AF306" s="495"/>
      <c r="AG306" s="583"/>
      <c r="AH306" s="583"/>
      <c r="AI306" s="583"/>
      <c r="AJ306" s="496"/>
      <c r="AK306" s="618"/>
      <c r="AL306" s="495"/>
      <c r="AM306" s="583"/>
      <c r="AN306" s="583"/>
      <c r="AO306" s="583"/>
      <c r="AP306" s="496"/>
      <c r="AQ306" s="618"/>
      <c r="AR306" s="505"/>
      <c r="AS306" s="629"/>
      <c r="AT306" s="618"/>
      <c r="AU306" s="505"/>
      <c r="AV306" s="581"/>
      <c r="AW306" s="618"/>
    </row>
    <row r="307" spans="2:49">
      <c r="B307" s="538" t="s">
        <v>593</v>
      </c>
      <c r="C307" s="539" t="s">
        <v>66</v>
      </c>
      <c r="D307" s="539" t="s">
        <v>55</v>
      </c>
      <c r="E307" s="539" t="s">
        <v>647</v>
      </c>
      <c r="F307" s="539" t="s">
        <v>668</v>
      </c>
      <c r="G307" s="540">
        <v>0.01</v>
      </c>
      <c r="H307" s="540">
        <v>3.8470000000000002E-3</v>
      </c>
      <c r="I307" s="541">
        <v>0.4</v>
      </c>
      <c r="J307" s="600">
        <v>5</v>
      </c>
      <c r="K307" s="542">
        <v>95</v>
      </c>
      <c r="L307" s="272"/>
      <c r="M307" s="272"/>
      <c r="P307" s="273"/>
      <c r="Q307" s="273"/>
      <c r="R307" s="273"/>
      <c r="S307" s="273"/>
      <c r="T307" s="273"/>
      <c r="U307" s="273"/>
      <c r="V307" s="273"/>
      <c r="W307" s="273"/>
      <c r="X307" s="273"/>
      <c r="Y307" s="273"/>
      <c r="Z307" s="273"/>
      <c r="AA307" s="273"/>
      <c r="AB307" s="273"/>
      <c r="AC307" s="273"/>
      <c r="AD307" s="272"/>
      <c r="AE307" s="493" t="str">
        <f ca="1">IF('CDO Bespoke'!C332&lt;&gt;"",'CDO Bespoke'!C332,"")</f>
        <v/>
      </c>
      <c r="AF307" s="495"/>
      <c r="AG307" s="583"/>
      <c r="AH307" s="583"/>
      <c r="AI307" s="583"/>
      <c r="AJ307" s="496"/>
      <c r="AK307" s="618"/>
      <c r="AL307" s="495"/>
      <c r="AM307" s="583"/>
      <c r="AN307" s="583"/>
      <c r="AO307" s="583"/>
      <c r="AP307" s="496"/>
      <c r="AQ307" s="618"/>
      <c r="AR307" s="505"/>
      <c r="AS307" s="629"/>
      <c r="AT307" s="618"/>
      <c r="AU307" s="505"/>
      <c r="AV307" s="581"/>
      <c r="AW307" s="618"/>
    </row>
    <row r="308" spans="2:49">
      <c r="B308" s="516" t="s">
        <v>593</v>
      </c>
      <c r="C308" s="517" t="s">
        <v>66</v>
      </c>
      <c r="D308" s="517" t="s">
        <v>57</v>
      </c>
      <c r="E308" s="517" t="s">
        <v>647</v>
      </c>
      <c r="F308" s="517" t="s">
        <v>668</v>
      </c>
      <c r="G308" s="524">
        <v>0.01</v>
      </c>
      <c r="H308" s="524">
        <v>6.4609999999999997E-3</v>
      </c>
      <c r="I308" s="526">
        <v>0.4</v>
      </c>
      <c r="J308" s="592">
        <v>5</v>
      </c>
      <c r="K308" s="518">
        <v>95</v>
      </c>
      <c r="L308" s="272"/>
      <c r="M308" s="272"/>
      <c r="P308" s="273"/>
      <c r="Q308" s="273"/>
      <c r="R308" s="273"/>
      <c r="S308" s="273"/>
      <c r="T308" s="273"/>
      <c r="U308" s="273"/>
      <c r="V308" s="273"/>
      <c r="W308" s="273"/>
      <c r="X308" s="273"/>
      <c r="Y308" s="273"/>
      <c r="Z308" s="273"/>
      <c r="AA308" s="273"/>
      <c r="AB308" s="273"/>
      <c r="AC308" s="273"/>
      <c r="AD308" s="272"/>
      <c r="AE308" s="493" t="str">
        <f ca="1">IF('CDO Bespoke'!C333&lt;&gt;"",'CDO Bespoke'!C333,"")</f>
        <v/>
      </c>
      <c r="AF308" s="495"/>
      <c r="AG308" s="583"/>
      <c r="AH308" s="583"/>
      <c r="AI308" s="583"/>
      <c r="AJ308" s="496"/>
      <c r="AK308" s="618"/>
      <c r="AL308" s="495"/>
      <c r="AM308" s="583"/>
      <c r="AN308" s="583"/>
      <c r="AO308" s="583"/>
      <c r="AP308" s="496"/>
      <c r="AQ308" s="618"/>
      <c r="AR308" s="505"/>
      <c r="AS308" s="629"/>
      <c r="AT308" s="618"/>
      <c r="AU308" s="505"/>
      <c r="AV308" s="581"/>
      <c r="AW308" s="618"/>
    </row>
    <row r="309" spans="2:49">
      <c r="B309" s="533" t="s">
        <v>593</v>
      </c>
      <c r="C309" s="534" t="s">
        <v>66</v>
      </c>
      <c r="D309" s="534" t="s">
        <v>59</v>
      </c>
      <c r="E309" s="534" t="s">
        <v>647</v>
      </c>
      <c r="F309" s="534" t="s">
        <v>668</v>
      </c>
      <c r="G309" s="535">
        <v>0.01</v>
      </c>
      <c r="H309" s="535">
        <v>8.9420000000000003E-3</v>
      </c>
      <c r="I309" s="536">
        <v>0.4</v>
      </c>
      <c r="J309" s="593">
        <v>5</v>
      </c>
      <c r="K309" s="537">
        <v>95</v>
      </c>
      <c r="L309" s="272"/>
      <c r="M309" s="272"/>
      <c r="P309" s="273"/>
      <c r="Q309" s="273"/>
      <c r="R309" s="273"/>
      <c r="S309" s="273"/>
      <c r="T309" s="273"/>
      <c r="U309" s="273"/>
      <c r="V309" s="273"/>
      <c r="W309" s="273"/>
      <c r="X309" s="273"/>
      <c r="Y309" s="273"/>
      <c r="Z309" s="273"/>
      <c r="AA309" s="273"/>
      <c r="AB309" s="273"/>
      <c r="AC309" s="273"/>
      <c r="AD309" s="272"/>
      <c r="AE309" s="493" t="str">
        <f ca="1">IF('CDO Bespoke'!C334&lt;&gt;"",'CDO Bespoke'!C334,"")</f>
        <v/>
      </c>
      <c r="AF309" s="495"/>
      <c r="AG309" s="583"/>
      <c r="AH309" s="583"/>
      <c r="AI309" s="583"/>
      <c r="AJ309" s="496"/>
      <c r="AK309" s="618"/>
      <c r="AL309" s="495"/>
      <c r="AM309" s="583"/>
      <c r="AN309" s="583"/>
      <c r="AO309" s="583"/>
      <c r="AP309" s="496"/>
      <c r="AQ309" s="618"/>
      <c r="AR309" s="505"/>
      <c r="AS309" s="629"/>
      <c r="AT309" s="618"/>
      <c r="AU309" s="505"/>
      <c r="AV309" s="581"/>
      <c r="AW309" s="618"/>
    </row>
    <row r="310" spans="2:49">
      <c r="B310" s="538"/>
      <c r="C310" s="539" t="s">
        <v>66</v>
      </c>
      <c r="D310" s="539" t="s">
        <v>55</v>
      </c>
      <c r="E310" s="539"/>
      <c r="F310" s="539"/>
      <c r="G310" s="540">
        <v>0.01</v>
      </c>
      <c r="H310" s="540"/>
      <c r="I310" s="541">
        <v>0.4</v>
      </c>
      <c r="J310" s="600"/>
      <c r="K310" s="542">
        <v>96</v>
      </c>
      <c r="L310" s="272"/>
      <c r="M310" s="272"/>
      <c r="P310" s="273"/>
      <c r="Q310" s="273"/>
      <c r="R310" s="273"/>
      <c r="S310" s="273"/>
      <c r="T310" s="273"/>
      <c r="U310" s="273"/>
      <c r="V310" s="273"/>
      <c r="W310" s="273"/>
      <c r="X310" s="273"/>
      <c r="Y310" s="273"/>
      <c r="Z310" s="273"/>
      <c r="AA310" s="273"/>
      <c r="AB310" s="273"/>
      <c r="AC310" s="273"/>
      <c r="AD310" s="272"/>
      <c r="AE310" s="493" t="str">
        <f ca="1">IF('CDO Bespoke'!C335&lt;&gt;"",'CDO Bespoke'!C335,"")</f>
        <v/>
      </c>
      <c r="AF310" s="495"/>
      <c r="AG310" s="583"/>
      <c r="AH310" s="583"/>
      <c r="AI310" s="583"/>
      <c r="AJ310" s="496"/>
      <c r="AK310" s="618"/>
      <c r="AL310" s="495"/>
      <c r="AM310" s="583"/>
      <c r="AN310" s="583"/>
      <c r="AO310" s="583"/>
      <c r="AP310" s="496"/>
      <c r="AQ310" s="618"/>
      <c r="AR310" s="505"/>
      <c r="AS310" s="629"/>
      <c r="AT310" s="618"/>
      <c r="AU310" s="505"/>
      <c r="AV310" s="581"/>
      <c r="AW310" s="618"/>
    </row>
    <row r="311" spans="2:49">
      <c r="B311" s="516"/>
      <c r="C311" s="517" t="s">
        <v>66</v>
      </c>
      <c r="D311" s="517" t="s">
        <v>57</v>
      </c>
      <c r="E311" s="517"/>
      <c r="F311" s="517"/>
      <c r="G311" s="524">
        <v>0.01</v>
      </c>
      <c r="H311" s="524"/>
      <c r="I311" s="526">
        <v>0.4</v>
      </c>
      <c r="J311" s="592"/>
      <c r="K311" s="518">
        <v>96</v>
      </c>
      <c r="L311" s="272"/>
      <c r="M311" s="272"/>
      <c r="P311" s="273"/>
      <c r="Q311" s="273"/>
      <c r="R311" s="273"/>
      <c r="S311" s="273"/>
      <c r="T311" s="273"/>
      <c r="U311" s="273"/>
      <c r="V311" s="273"/>
      <c r="W311" s="273"/>
      <c r="X311" s="273"/>
      <c r="Y311" s="273"/>
      <c r="Z311" s="273"/>
      <c r="AA311" s="273"/>
      <c r="AB311" s="273"/>
      <c r="AC311" s="273"/>
      <c r="AD311" s="272"/>
      <c r="AE311" s="493" t="str">
        <f ca="1">IF('CDO Bespoke'!C336&lt;&gt;"",'CDO Bespoke'!C336,"")</f>
        <v/>
      </c>
      <c r="AF311" s="495"/>
      <c r="AG311" s="583"/>
      <c r="AH311" s="583"/>
      <c r="AI311" s="583"/>
      <c r="AJ311" s="496"/>
      <c r="AK311" s="618"/>
      <c r="AL311" s="495"/>
      <c r="AM311" s="583"/>
      <c r="AN311" s="583"/>
      <c r="AO311" s="583"/>
      <c r="AP311" s="496"/>
      <c r="AQ311" s="618"/>
      <c r="AR311" s="505"/>
      <c r="AS311" s="629"/>
      <c r="AT311" s="618"/>
      <c r="AU311" s="505"/>
      <c r="AV311" s="581"/>
      <c r="AW311" s="618"/>
    </row>
    <row r="312" spans="2:49">
      <c r="B312" s="533"/>
      <c r="C312" s="534" t="s">
        <v>66</v>
      </c>
      <c r="D312" s="534" t="s">
        <v>59</v>
      </c>
      <c r="E312" s="534"/>
      <c r="F312" s="534"/>
      <c r="G312" s="535">
        <v>0.01</v>
      </c>
      <c r="H312" s="535"/>
      <c r="I312" s="536">
        <v>0.4</v>
      </c>
      <c r="J312" s="593"/>
      <c r="K312" s="537">
        <v>96</v>
      </c>
      <c r="L312" s="272"/>
      <c r="M312" s="272"/>
      <c r="P312" s="273"/>
      <c r="Q312" s="273"/>
      <c r="R312" s="273"/>
      <c r="S312" s="273"/>
      <c r="T312" s="273"/>
      <c r="U312" s="273"/>
      <c r="V312" s="273"/>
      <c r="W312" s="273"/>
      <c r="X312" s="273"/>
      <c r="Y312" s="273"/>
      <c r="Z312" s="273"/>
      <c r="AA312" s="273"/>
      <c r="AB312" s="273"/>
      <c r="AC312" s="273"/>
      <c r="AD312" s="272"/>
      <c r="AE312" s="493" t="str">
        <f ca="1">IF('CDO Bespoke'!C337&lt;&gt;"",'CDO Bespoke'!C337,"")</f>
        <v/>
      </c>
      <c r="AF312" s="495"/>
      <c r="AG312" s="583"/>
      <c r="AH312" s="583"/>
      <c r="AI312" s="583"/>
      <c r="AJ312" s="496"/>
      <c r="AK312" s="618"/>
      <c r="AL312" s="495"/>
      <c r="AM312" s="583"/>
      <c r="AN312" s="583"/>
      <c r="AO312" s="583"/>
      <c r="AP312" s="496"/>
      <c r="AQ312" s="618"/>
      <c r="AR312" s="505"/>
      <c r="AS312" s="629"/>
      <c r="AT312" s="618"/>
      <c r="AU312" s="505"/>
      <c r="AV312" s="581"/>
      <c r="AW312" s="618"/>
    </row>
    <row r="313" spans="2:49" ht="10.5" thickBot="1">
      <c r="B313" s="538"/>
      <c r="C313" s="539" t="s">
        <v>66</v>
      </c>
      <c r="D313" s="539" t="s">
        <v>55</v>
      </c>
      <c r="E313" s="539"/>
      <c r="F313" s="539"/>
      <c r="G313" s="540">
        <v>0.01</v>
      </c>
      <c r="H313" s="540"/>
      <c r="I313" s="541">
        <v>0.4</v>
      </c>
      <c r="J313" s="600"/>
      <c r="K313" s="542">
        <v>97</v>
      </c>
      <c r="L313" s="272"/>
      <c r="M313" s="272"/>
      <c r="P313" s="273"/>
      <c r="Q313" s="273"/>
      <c r="R313" s="273"/>
      <c r="S313" s="273"/>
      <c r="T313" s="273"/>
      <c r="U313" s="273"/>
      <c r="V313" s="273"/>
      <c r="W313" s="273"/>
      <c r="X313" s="273"/>
      <c r="Y313" s="273"/>
      <c r="Z313" s="273"/>
      <c r="AA313" s="273"/>
      <c r="AB313" s="273"/>
      <c r="AC313" s="273"/>
      <c r="AD313" s="272"/>
      <c r="AE313" s="494" t="str">
        <f ca="1">IF('CDO Bespoke'!C338&lt;&gt;"",'CDO Bespoke'!C338,"")</f>
        <v/>
      </c>
      <c r="AF313" s="497"/>
      <c r="AG313" s="498"/>
      <c r="AH313" s="498"/>
      <c r="AI313" s="498"/>
      <c r="AJ313" s="499"/>
      <c r="AK313" s="618"/>
      <c r="AL313" s="497"/>
      <c r="AM313" s="498"/>
      <c r="AN313" s="498"/>
      <c r="AO313" s="498"/>
      <c r="AP313" s="499"/>
      <c r="AQ313" s="618"/>
      <c r="AR313" s="506"/>
      <c r="AS313" s="630"/>
      <c r="AT313" s="618"/>
      <c r="AU313" s="506"/>
      <c r="AV313" s="631"/>
      <c r="AW313" s="618"/>
    </row>
    <row r="314" spans="2:49">
      <c r="B314" s="516"/>
      <c r="C314" s="517" t="s">
        <v>66</v>
      </c>
      <c r="D314" s="517" t="s">
        <v>57</v>
      </c>
      <c r="E314" s="517"/>
      <c r="F314" s="517"/>
      <c r="G314" s="524">
        <v>0.01</v>
      </c>
      <c r="H314" s="524"/>
      <c r="I314" s="526">
        <v>0.4</v>
      </c>
      <c r="J314" s="592"/>
      <c r="K314" s="518">
        <v>97</v>
      </c>
      <c r="L314" s="272"/>
      <c r="M314" s="272"/>
      <c r="P314" s="273"/>
      <c r="Q314" s="273"/>
      <c r="R314" s="273"/>
      <c r="S314" s="273"/>
      <c r="T314" s="273"/>
      <c r="U314" s="273"/>
      <c r="V314" s="273"/>
      <c r="W314" s="273"/>
      <c r="X314" s="273"/>
      <c r="Y314" s="273"/>
      <c r="Z314" s="273"/>
      <c r="AA314" s="273"/>
      <c r="AB314" s="273"/>
      <c r="AC314" s="273"/>
      <c r="AD314" s="272"/>
      <c r="AL314" s="579"/>
      <c r="AM314" s="579"/>
      <c r="AN314" s="579"/>
      <c r="AO314" s="579"/>
      <c r="AP314" s="579"/>
    </row>
    <row r="315" spans="2:49">
      <c r="B315" s="533"/>
      <c r="C315" s="534" t="s">
        <v>66</v>
      </c>
      <c r="D315" s="534" t="s">
        <v>59</v>
      </c>
      <c r="E315" s="534"/>
      <c r="F315" s="534"/>
      <c r="G315" s="535">
        <v>0.01</v>
      </c>
      <c r="H315" s="535"/>
      <c r="I315" s="536">
        <v>0.4</v>
      </c>
      <c r="J315" s="593"/>
      <c r="K315" s="537">
        <v>97</v>
      </c>
      <c r="L315" s="272"/>
      <c r="M315" s="272"/>
      <c r="P315" s="273"/>
      <c r="Q315" s="273"/>
      <c r="R315" s="273"/>
      <c r="S315" s="273"/>
      <c r="T315" s="273"/>
      <c r="U315" s="273"/>
      <c r="V315" s="273"/>
      <c r="W315" s="273"/>
      <c r="X315" s="273"/>
      <c r="Y315" s="273"/>
      <c r="Z315" s="273"/>
      <c r="AA315" s="273"/>
      <c r="AB315" s="273"/>
      <c r="AC315" s="273"/>
      <c r="AD315" s="272"/>
      <c r="AL315" s="579"/>
      <c r="AM315" s="579"/>
      <c r="AN315" s="579"/>
      <c r="AO315" s="579"/>
      <c r="AP315" s="579"/>
    </row>
    <row r="316" spans="2:49">
      <c r="B316" s="538"/>
      <c r="C316" s="539" t="s">
        <v>66</v>
      </c>
      <c r="D316" s="539" t="s">
        <v>55</v>
      </c>
      <c r="E316" s="539"/>
      <c r="F316" s="539"/>
      <c r="G316" s="540">
        <v>0.01</v>
      </c>
      <c r="H316" s="540"/>
      <c r="I316" s="541">
        <v>0.4</v>
      </c>
      <c r="J316" s="600"/>
      <c r="K316" s="542">
        <v>98</v>
      </c>
      <c r="L316" s="272"/>
      <c r="M316" s="272"/>
      <c r="P316" s="273"/>
      <c r="Q316" s="273"/>
      <c r="R316" s="273"/>
      <c r="S316" s="273"/>
      <c r="T316" s="273"/>
      <c r="U316" s="273"/>
      <c r="V316" s="273"/>
      <c r="W316" s="273"/>
      <c r="X316" s="273"/>
      <c r="Y316" s="273"/>
      <c r="Z316" s="273"/>
      <c r="AA316" s="273"/>
      <c r="AB316" s="273"/>
      <c r="AC316" s="273"/>
      <c r="AD316" s="272"/>
    </row>
    <row r="317" spans="2:49">
      <c r="B317" s="516"/>
      <c r="C317" s="517" t="s">
        <v>66</v>
      </c>
      <c r="D317" s="517" t="s">
        <v>57</v>
      </c>
      <c r="E317" s="517"/>
      <c r="F317" s="517"/>
      <c r="G317" s="524">
        <v>0.01</v>
      </c>
      <c r="H317" s="524"/>
      <c r="I317" s="526">
        <v>0.4</v>
      </c>
      <c r="J317" s="592"/>
      <c r="K317" s="518">
        <v>98</v>
      </c>
      <c r="L317" s="272"/>
      <c r="M317" s="272"/>
      <c r="P317" s="273"/>
      <c r="Q317" s="273"/>
      <c r="R317" s="273"/>
      <c r="S317" s="273"/>
      <c r="T317" s="273"/>
      <c r="U317" s="273"/>
      <c r="V317" s="273"/>
      <c r="W317" s="273"/>
      <c r="X317" s="273"/>
      <c r="Y317" s="273"/>
      <c r="Z317" s="273"/>
      <c r="AA317" s="273"/>
      <c r="AB317" s="273"/>
      <c r="AC317" s="273"/>
      <c r="AD317" s="272"/>
    </row>
    <row r="318" spans="2:49">
      <c r="B318" s="533"/>
      <c r="C318" s="534" t="s">
        <v>66</v>
      </c>
      <c r="D318" s="534" t="s">
        <v>59</v>
      </c>
      <c r="E318" s="534"/>
      <c r="F318" s="534"/>
      <c r="G318" s="535">
        <v>0.01</v>
      </c>
      <c r="H318" s="535"/>
      <c r="I318" s="536">
        <v>0.4</v>
      </c>
      <c r="J318" s="593"/>
      <c r="K318" s="537">
        <v>98</v>
      </c>
      <c r="L318" s="272"/>
      <c r="M318" s="272"/>
      <c r="P318" s="273"/>
      <c r="Q318" s="273"/>
      <c r="R318" s="273"/>
      <c r="S318" s="273"/>
      <c r="T318" s="273"/>
      <c r="U318" s="273"/>
      <c r="V318" s="273"/>
      <c r="W318" s="273"/>
      <c r="X318" s="273"/>
      <c r="Y318" s="273"/>
      <c r="Z318" s="273"/>
      <c r="AA318" s="273"/>
      <c r="AB318" s="273"/>
      <c r="AC318" s="273"/>
      <c r="AD318" s="272"/>
    </row>
    <row r="319" spans="2:49">
      <c r="B319" s="538"/>
      <c r="C319" s="539" t="s">
        <v>66</v>
      </c>
      <c r="D319" s="539" t="s">
        <v>55</v>
      </c>
      <c r="E319" s="539"/>
      <c r="F319" s="539"/>
      <c r="G319" s="540">
        <v>0.01</v>
      </c>
      <c r="H319" s="540"/>
      <c r="I319" s="541">
        <v>0.4</v>
      </c>
      <c r="J319" s="600"/>
      <c r="K319" s="542">
        <v>99</v>
      </c>
      <c r="L319" s="272"/>
      <c r="M319" s="272"/>
      <c r="P319" s="273"/>
      <c r="Q319" s="273"/>
      <c r="R319" s="273"/>
      <c r="S319" s="273"/>
      <c r="T319" s="273"/>
      <c r="U319" s="273"/>
      <c r="V319" s="273"/>
      <c r="W319" s="273"/>
      <c r="X319" s="273"/>
      <c r="Y319" s="273"/>
      <c r="Z319" s="273"/>
      <c r="AA319" s="273"/>
      <c r="AB319" s="273"/>
      <c r="AC319" s="273"/>
      <c r="AD319" s="272"/>
    </row>
    <row r="320" spans="2:49">
      <c r="B320" s="516"/>
      <c r="C320" s="517" t="s">
        <v>66</v>
      </c>
      <c r="D320" s="517" t="s">
        <v>57</v>
      </c>
      <c r="E320" s="517"/>
      <c r="F320" s="517"/>
      <c r="G320" s="524">
        <v>0.01</v>
      </c>
      <c r="H320" s="524"/>
      <c r="I320" s="526">
        <v>0.4</v>
      </c>
      <c r="J320" s="592"/>
      <c r="K320" s="518">
        <v>99</v>
      </c>
      <c r="L320" s="272"/>
      <c r="M320" s="272"/>
      <c r="P320" s="273"/>
      <c r="Q320" s="273"/>
      <c r="R320" s="273"/>
      <c r="S320" s="273"/>
      <c r="T320" s="273"/>
      <c r="U320" s="273"/>
      <c r="V320" s="273"/>
      <c r="W320" s="273"/>
      <c r="X320" s="273"/>
      <c r="Y320" s="273"/>
      <c r="Z320" s="273"/>
      <c r="AA320" s="273"/>
      <c r="AB320" s="273"/>
      <c r="AC320" s="273"/>
      <c r="AD320" s="272"/>
    </row>
    <row r="321" spans="2:30">
      <c r="B321" s="533"/>
      <c r="C321" s="534" t="s">
        <v>66</v>
      </c>
      <c r="D321" s="534" t="s">
        <v>59</v>
      </c>
      <c r="E321" s="534"/>
      <c r="F321" s="534"/>
      <c r="G321" s="535">
        <v>0.01</v>
      </c>
      <c r="H321" s="535"/>
      <c r="I321" s="536">
        <v>0.4</v>
      </c>
      <c r="J321" s="593"/>
      <c r="K321" s="537">
        <v>99</v>
      </c>
      <c r="L321" s="272"/>
      <c r="M321" s="272"/>
      <c r="P321" s="273"/>
      <c r="Q321" s="273"/>
      <c r="R321" s="273"/>
      <c r="S321" s="273"/>
      <c r="T321" s="273"/>
      <c r="U321" s="273"/>
      <c r="V321" s="273"/>
      <c r="W321" s="273"/>
      <c r="X321" s="273"/>
      <c r="Y321" s="273"/>
      <c r="Z321" s="273"/>
      <c r="AA321" s="273"/>
      <c r="AB321" s="273"/>
      <c r="AC321" s="273"/>
      <c r="AD321" s="272"/>
    </row>
    <row r="322" spans="2:30">
      <c r="B322" s="538"/>
      <c r="C322" s="539" t="s">
        <v>66</v>
      </c>
      <c r="D322" s="539" t="s">
        <v>55</v>
      </c>
      <c r="E322" s="539"/>
      <c r="F322" s="539"/>
      <c r="G322" s="540">
        <v>0.01</v>
      </c>
      <c r="H322" s="540"/>
      <c r="I322" s="541">
        <v>0.4</v>
      </c>
      <c r="J322" s="600"/>
      <c r="K322" s="542">
        <v>100</v>
      </c>
      <c r="L322" s="272"/>
      <c r="M322" s="272"/>
      <c r="P322" s="273"/>
      <c r="Q322" s="273"/>
      <c r="R322" s="273"/>
      <c r="S322" s="273"/>
      <c r="T322" s="272"/>
      <c r="U322" s="273"/>
      <c r="V322" s="273"/>
      <c r="W322" s="273"/>
      <c r="X322" s="273"/>
      <c r="Y322" s="273"/>
      <c r="Z322" s="273"/>
      <c r="AA322" s="273"/>
      <c r="AB322" s="273"/>
      <c r="AC322" s="273"/>
      <c r="AD322" s="272"/>
    </row>
    <row r="323" spans="2:30">
      <c r="B323" s="516"/>
      <c r="C323" s="517" t="s">
        <v>66</v>
      </c>
      <c r="D323" s="517" t="s">
        <v>57</v>
      </c>
      <c r="E323" s="517"/>
      <c r="F323" s="517"/>
      <c r="G323" s="524">
        <v>0.01</v>
      </c>
      <c r="H323" s="524"/>
      <c r="I323" s="526">
        <v>0.4</v>
      </c>
      <c r="J323" s="592"/>
      <c r="K323" s="518">
        <v>100</v>
      </c>
      <c r="L323" s="272"/>
      <c r="M323" s="272"/>
      <c r="P323" s="273"/>
      <c r="Q323" s="273"/>
      <c r="R323" s="273"/>
      <c r="S323" s="273"/>
      <c r="T323" s="272"/>
      <c r="U323" s="273"/>
      <c r="V323" s="273"/>
      <c r="W323" s="273"/>
      <c r="X323" s="273"/>
      <c r="Y323" s="273"/>
      <c r="Z323" s="273"/>
      <c r="AA323" s="273"/>
      <c r="AB323" s="273"/>
      <c r="AC323" s="273"/>
      <c r="AD323" s="272"/>
    </row>
    <row r="324" spans="2:30">
      <c r="B324" s="533"/>
      <c r="C324" s="534" t="s">
        <v>66</v>
      </c>
      <c r="D324" s="534" t="s">
        <v>59</v>
      </c>
      <c r="E324" s="534"/>
      <c r="F324" s="534"/>
      <c r="G324" s="535">
        <v>0.01</v>
      </c>
      <c r="H324" s="535"/>
      <c r="I324" s="536">
        <v>0.4</v>
      </c>
      <c r="J324" s="593"/>
      <c r="K324" s="537">
        <v>100</v>
      </c>
      <c r="L324" s="272"/>
      <c r="M324" s="272"/>
      <c r="P324" s="273"/>
      <c r="Q324" s="273"/>
      <c r="R324" s="273"/>
      <c r="S324" s="273"/>
      <c r="T324" s="272"/>
      <c r="U324" s="273"/>
      <c r="V324" s="273"/>
      <c r="W324" s="273"/>
      <c r="X324" s="273"/>
      <c r="Y324" s="273"/>
      <c r="Z324" s="273"/>
      <c r="AA324" s="273"/>
      <c r="AB324" s="273"/>
      <c r="AC324" s="273"/>
      <c r="AD324" s="272"/>
    </row>
    <row r="325" spans="2:30">
      <c r="B325" s="538"/>
      <c r="C325" s="539" t="s">
        <v>66</v>
      </c>
      <c r="D325" s="539" t="s">
        <v>55</v>
      </c>
      <c r="E325" s="539"/>
      <c r="F325" s="539"/>
      <c r="G325" s="540">
        <v>0.01</v>
      </c>
      <c r="H325" s="540"/>
      <c r="I325" s="541">
        <v>0.4</v>
      </c>
      <c r="J325" s="600"/>
      <c r="K325" s="542">
        <v>101</v>
      </c>
      <c r="L325" s="272"/>
      <c r="M325" s="272"/>
      <c r="P325" s="273"/>
      <c r="Q325" s="273"/>
      <c r="R325" s="273"/>
      <c r="S325" s="273"/>
      <c r="T325" s="272"/>
      <c r="U325" s="273"/>
      <c r="V325" s="273"/>
      <c r="W325" s="273"/>
      <c r="X325" s="273"/>
      <c r="Y325" s="273"/>
      <c r="Z325" s="273"/>
      <c r="AA325" s="273"/>
      <c r="AB325" s="273"/>
      <c r="AC325" s="273"/>
      <c r="AD325" s="272"/>
    </row>
    <row r="326" spans="2:30">
      <c r="B326" s="516"/>
      <c r="C326" s="517" t="s">
        <v>66</v>
      </c>
      <c r="D326" s="517" t="s">
        <v>57</v>
      </c>
      <c r="E326" s="517"/>
      <c r="F326" s="517"/>
      <c r="G326" s="524">
        <v>0.01</v>
      </c>
      <c r="H326" s="524"/>
      <c r="I326" s="526">
        <v>0.4</v>
      </c>
      <c r="J326" s="592"/>
      <c r="K326" s="518">
        <v>101</v>
      </c>
      <c r="L326" s="272"/>
      <c r="M326" s="272"/>
      <c r="P326" s="273"/>
      <c r="Q326" s="273"/>
      <c r="R326" s="273"/>
      <c r="S326" s="273"/>
      <c r="T326" s="272"/>
      <c r="U326" s="273"/>
      <c r="V326" s="273"/>
      <c r="W326" s="273"/>
      <c r="X326" s="273"/>
      <c r="Y326" s="273"/>
      <c r="Z326" s="273"/>
      <c r="AA326" s="273"/>
      <c r="AB326" s="273"/>
      <c r="AC326" s="273"/>
      <c r="AD326" s="272"/>
    </row>
    <row r="327" spans="2:30">
      <c r="B327" s="533"/>
      <c r="C327" s="534" t="s">
        <v>66</v>
      </c>
      <c r="D327" s="534" t="s">
        <v>59</v>
      </c>
      <c r="E327" s="534"/>
      <c r="F327" s="534"/>
      <c r="G327" s="535">
        <v>0.01</v>
      </c>
      <c r="H327" s="535"/>
      <c r="I327" s="536">
        <v>0.4</v>
      </c>
      <c r="J327" s="593"/>
      <c r="K327" s="537">
        <v>101</v>
      </c>
      <c r="L327" s="272"/>
      <c r="M327" s="272"/>
      <c r="P327" s="273"/>
      <c r="Q327" s="273"/>
      <c r="R327" s="273"/>
      <c r="S327" s="273"/>
      <c r="T327" s="272"/>
      <c r="U327" s="273"/>
      <c r="V327" s="273"/>
      <c r="W327" s="273"/>
      <c r="X327" s="273"/>
      <c r="Y327" s="273"/>
      <c r="Z327" s="273"/>
      <c r="AA327" s="273"/>
      <c r="AB327" s="273"/>
      <c r="AC327" s="273"/>
      <c r="AD327" s="272"/>
    </row>
    <row r="328" spans="2:30">
      <c r="B328" s="538"/>
      <c r="C328" s="539" t="s">
        <v>66</v>
      </c>
      <c r="D328" s="539" t="s">
        <v>55</v>
      </c>
      <c r="E328" s="539"/>
      <c r="F328" s="539"/>
      <c r="G328" s="540">
        <v>0.01</v>
      </c>
      <c r="H328" s="540"/>
      <c r="I328" s="541">
        <v>0.4</v>
      </c>
      <c r="J328" s="600"/>
      <c r="K328" s="542">
        <v>102</v>
      </c>
      <c r="L328" s="272"/>
      <c r="M328" s="272"/>
      <c r="P328" s="273"/>
      <c r="Q328" s="273"/>
      <c r="R328" s="273"/>
      <c r="S328" s="273"/>
      <c r="T328" s="272"/>
      <c r="U328" s="273"/>
      <c r="V328" s="273"/>
      <c r="W328" s="273"/>
      <c r="X328" s="273"/>
      <c r="Y328" s="273"/>
      <c r="Z328" s="273"/>
      <c r="AA328" s="273"/>
      <c r="AB328" s="273"/>
      <c r="AC328" s="273"/>
      <c r="AD328" s="272"/>
    </row>
    <row r="329" spans="2:30">
      <c r="B329" s="516"/>
      <c r="C329" s="517" t="s">
        <v>66</v>
      </c>
      <c r="D329" s="517" t="s">
        <v>57</v>
      </c>
      <c r="E329" s="517"/>
      <c r="F329" s="517"/>
      <c r="G329" s="524">
        <v>0.01</v>
      </c>
      <c r="H329" s="524"/>
      <c r="I329" s="526">
        <v>0.4</v>
      </c>
      <c r="J329" s="592"/>
      <c r="K329" s="518">
        <v>102</v>
      </c>
      <c r="L329" s="272"/>
      <c r="M329" s="272"/>
      <c r="N329" s="272"/>
      <c r="P329" s="273"/>
      <c r="Q329" s="273"/>
      <c r="R329" s="273"/>
      <c r="S329" s="273"/>
      <c r="T329" s="272"/>
      <c r="U329" s="272"/>
      <c r="V329" s="273"/>
      <c r="W329" s="273"/>
      <c r="X329" s="273"/>
      <c r="Y329" s="273"/>
      <c r="Z329" s="273"/>
      <c r="AA329" s="273"/>
      <c r="AB329" s="273"/>
      <c r="AC329" s="273"/>
      <c r="AD329" s="272"/>
    </row>
    <row r="330" spans="2:30">
      <c r="B330" s="533"/>
      <c r="C330" s="534" t="s">
        <v>66</v>
      </c>
      <c r="D330" s="534" t="s">
        <v>59</v>
      </c>
      <c r="E330" s="534"/>
      <c r="F330" s="534"/>
      <c r="G330" s="535">
        <v>0.01</v>
      </c>
      <c r="H330" s="535"/>
      <c r="I330" s="536">
        <v>0.4</v>
      </c>
      <c r="J330" s="593"/>
      <c r="K330" s="537">
        <v>102</v>
      </c>
      <c r="L330" s="272"/>
      <c r="M330" s="272"/>
      <c r="N330" s="272"/>
      <c r="P330" s="273"/>
      <c r="Q330" s="273"/>
      <c r="R330" s="273"/>
      <c r="S330" s="273"/>
      <c r="T330" s="272"/>
      <c r="U330" s="272"/>
      <c r="V330" s="273"/>
      <c r="W330" s="273"/>
      <c r="X330" s="273"/>
      <c r="Y330" s="273"/>
      <c r="Z330" s="273"/>
      <c r="AA330" s="273"/>
      <c r="AB330" s="273"/>
      <c r="AC330" s="273"/>
      <c r="AD330" s="272"/>
    </row>
    <row r="331" spans="2:30">
      <c r="B331" s="538"/>
      <c r="C331" s="539" t="s">
        <v>66</v>
      </c>
      <c r="D331" s="539" t="s">
        <v>55</v>
      </c>
      <c r="E331" s="539"/>
      <c r="F331" s="539"/>
      <c r="G331" s="540">
        <v>0.01</v>
      </c>
      <c r="H331" s="540"/>
      <c r="I331" s="541">
        <v>0.4</v>
      </c>
      <c r="J331" s="600"/>
      <c r="K331" s="542">
        <v>103</v>
      </c>
      <c r="L331" s="272"/>
      <c r="M331" s="272"/>
      <c r="N331" s="272"/>
      <c r="P331" s="273"/>
      <c r="Q331" s="273"/>
      <c r="R331" s="273"/>
      <c r="S331" s="273"/>
      <c r="T331" s="272"/>
      <c r="U331" s="272"/>
      <c r="V331" s="273"/>
      <c r="W331" s="273"/>
      <c r="X331" s="273"/>
      <c r="Y331" s="273"/>
      <c r="Z331" s="273"/>
      <c r="AA331" s="273"/>
      <c r="AB331" s="273"/>
      <c r="AC331" s="273"/>
      <c r="AD331" s="272"/>
    </row>
    <row r="332" spans="2:30">
      <c r="B332" s="516"/>
      <c r="C332" s="517" t="s">
        <v>66</v>
      </c>
      <c r="D332" s="517" t="s">
        <v>57</v>
      </c>
      <c r="E332" s="517"/>
      <c r="F332" s="517"/>
      <c r="G332" s="524">
        <v>0.01</v>
      </c>
      <c r="H332" s="524"/>
      <c r="I332" s="526">
        <v>0.4</v>
      </c>
      <c r="J332" s="592"/>
      <c r="K332" s="518">
        <v>103</v>
      </c>
      <c r="L332" s="272"/>
      <c r="M332" s="272"/>
      <c r="N332" s="272"/>
      <c r="P332" s="273"/>
      <c r="Q332" s="273"/>
      <c r="R332" s="273"/>
      <c r="S332" s="273"/>
      <c r="T332" s="272"/>
      <c r="U332" s="272"/>
      <c r="V332" s="273"/>
      <c r="W332" s="273"/>
      <c r="X332" s="273"/>
      <c r="Y332" s="273"/>
      <c r="Z332" s="273"/>
      <c r="AA332" s="273"/>
      <c r="AB332" s="273"/>
      <c r="AC332" s="273"/>
      <c r="AD332" s="272"/>
    </row>
    <row r="333" spans="2:30">
      <c r="B333" s="533"/>
      <c r="C333" s="534" t="s">
        <v>66</v>
      </c>
      <c r="D333" s="534" t="s">
        <v>59</v>
      </c>
      <c r="E333" s="534"/>
      <c r="F333" s="534"/>
      <c r="G333" s="535">
        <v>0.01</v>
      </c>
      <c r="H333" s="535"/>
      <c r="I333" s="536">
        <v>0.4</v>
      </c>
      <c r="J333" s="593"/>
      <c r="K333" s="537">
        <v>103</v>
      </c>
      <c r="L333" s="272"/>
      <c r="M333" s="272"/>
      <c r="N333" s="272"/>
      <c r="P333" s="273"/>
      <c r="Q333" s="273"/>
      <c r="R333" s="273"/>
      <c r="S333" s="273"/>
      <c r="T333" s="272"/>
      <c r="U333" s="272"/>
      <c r="V333" s="273"/>
      <c r="W333" s="273"/>
      <c r="X333" s="273"/>
      <c r="Y333" s="273"/>
      <c r="Z333" s="273"/>
      <c r="AA333" s="273"/>
      <c r="AB333" s="273"/>
      <c r="AC333" s="273"/>
      <c r="AD333" s="272"/>
    </row>
    <row r="334" spans="2:30">
      <c r="B334" s="538"/>
      <c r="C334" s="539" t="s">
        <v>66</v>
      </c>
      <c r="D334" s="539" t="s">
        <v>55</v>
      </c>
      <c r="E334" s="539"/>
      <c r="F334" s="539"/>
      <c r="G334" s="540">
        <v>0.01</v>
      </c>
      <c r="H334" s="540"/>
      <c r="I334" s="541">
        <v>0.4</v>
      </c>
      <c r="J334" s="600"/>
      <c r="K334" s="542">
        <v>104</v>
      </c>
      <c r="L334" s="272"/>
      <c r="M334" s="272"/>
      <c r="N334" s="272"/>
      <c r="P334" s="273"/>
      <c r="Q334" s="273"/>
      <c r="R334" s="273"/>
      <c r="S334" s="273"/>
      <c r="T334" s="272"/>
      <c r="U334" s="272"/>
      <c r="V334" s="273"/>
      <c r="W334" s="273"/>
      <c r="X334" s="273"/>
      <c r="Y334" s="273"/>
      <c r="Z334" s="273"/>
      <c r="AA334" s="273"/>
      <c r="AB334" s="273"/>
      <c r="AC334" s="273"/>
      <c r="AD334" s="272"/>
    </row>
    <row r="335" spans="2:30">
      <c r="B335" s="516"/>
      <c r="C335" s="517" t="s">
        <v>66</v>
      </c>
      <c r="D335" s="517" t="s">
        <v>57</v>
      </c>
      <c r="E335" s="517"/>
      <c r="F335" s="517"/>
      <c r="G335" s="524">
        <v>0.01</v>
      </c>
      <c r="H335" s="524"/>
      <c r="I335" s="526">
        <v>0.4</v>
      </c>
      <c r="J335" s="592"/>
      <c r="K335" s="518">
        <v>104</v>
      </c>
      <c r="L335" s="272"/>
      <c r="M335" s="272"/>
      <c r="N335" s="272"/>
      <c r="P335" s="273"/>
      <c r="Q335" s="273"/>
      <c r="R335" s="273"/>
      <c r="S335" s="273"/>
      <c r="T335" s="272"/>
      <c r="U335" s="272"/>
      <c r="V335" s="273"/>
      <c r="W335" s="273"/>
      <c r="X335" s="273"/>
      <c r="Y335" s="273"/>
      <c r="Z335" s="273"/>
      <c r="AA335" s="273"/>
      <c r="AB335" s="273"/>
      <c r="AC335" s="273"/>
      <c r="AD335" s="272"/>
    </row>
    <row r="336" spans="2:30">
      <c r="B336" s="533"/>
      <c r="C336" s="534" t="s">
        <v>66</v>
      </c>
      <c r="D336" s="534" t="s">
        <v>59</v>
      </c>
      <c r="E336" s="534"/>
      <c r="F336" s="534"/>
      <c r="G336" s="535">
        <v>0.01</v>
      </c>
      <c r="H336" s="535"/>
      <c r="I336" s="536">
        <v>0.4</v>
      </c>
      <c r="J336" s="593"/>
      <c r="K336" s="537">
        <v>104</v>
      </c>
      <c r="L336" s="272"/>
      <c r="M336" s="272"/>
      <c r="N336" s="272"/>
      <c r="P336" s="273"/>
      <c r="Q336" s="273"/>
      <c r="R336" s="273"/>
      <c r="S336" s="273"/>
      <c r="T336" s="272"/>
      <c r="U336" s="272"/>
      <c r="V336" s="273"/>
      <c r="W336" s="273"/>
      <c r="X336" s="273"/>
      <c r="Y336" s="273"/>
      <c r="Z336" s="273"/>
      <c r="AA336" s="273"/>
      <c r="AB336" s="273"/>
      <c r="AC336" s="273"/>
      <c r="AD336" s="272"/>
    </row>
    <row r="337" spans="2:29">
      <c r="B337" s="538"/>
      <c r="C337" s="539" t="s">
        <v>66</v>
      </c>
      <c r="D337" s="539" t="s">
        <v>55</v>
      </c>
      <c r="E337" s="539"/>
      <c r="F337" s="539"/>
      <c r="G337" s="540">
        <v>0.01</v>
      </c>
      <c r="H337" s="540"/>
      <c r="I337" s="541">
        <v>0.4</v>
      </c>
      <c r="J337" s="600"/>
      <c r="K337" s="542">
        <v>105</v>
      </c>
      <c r="L337" s="272"/>
      <c r="M337" s="272"/>
      <c r="N337" s="272"/>
      <c r="P337" s="273"/>
      <c r="Q337" s="273"/>
      <c r="R337" s="273"/>
      <c r="S337" s="273"/>
      <c r="T337" s="272"/>
      <c r="U337" s="272"/>
      <c r="V337" s="273"/>
      <c r="W337" s="273"/>
      <c r="X337" s="273"/>
      <c r="Y337" s="273"/>
      <c r="Z337" s="273"/>
      <c r="AA337" s="273"/>
      <c r="AB337" s="273"/>
      <c r="AC337" s="273"/>
    </row>
    <row r="338" spans="2:29">
      <c r="B338" s="516"/>
      <c r="C338" s="517" t="s">
        <v>66</v>
      </c>
      <c r="D338" s="517" t="s">
        <v>57</v>
      </c>
      <c r="E338" s="517"/>
      <c r="F338" s="517"/>
      <c r="G338" s="524">
        <v>0.01</v>
      </c>
      <c r="H338" s="524"/>
      <c r="I338" s="526">
        <v>0.4</v>
      </c>
      <c r="J338" s="592"/>
      <c r="K338" s="518">
        <v>105</v>
      </c>
      <c r="L338" s="272"/>
      <c r="M338" s="272"/>
      <c r="N338" s="272"/>
      <c r="P338" s="273"/>
      <c r="Q338" s="273"/>
      <c r="R338" s="273"/>
      <c r="S338" s="273"/>
      <c r="T338" s="272"/>
      <c r="U338" s="272"/>
      <c r="V338" s="273"/>
      <c r="W338" s="273"/>
      <c r="X338" s="273"/>
      <c r="Y338" s="273"/>
      <c r="Z338" s="273"/>
      <c r="AA338" s="273"/>
      <c r="AB338" s="273"/>
      <c r="AC338" s="273"/>
    </row>
    <row r="339" spans="2:29">
      <c r="B339" s="533"/>
      <c r="C339" s="534" t="s">
        <v>66</v>
      </c>
      <c r="D339" s="534" t="s">
        <v>59</v>
      </c>
      <c r="E339" s="534"/>
      <c r="F339" s="534"/>
      <c r="G339" s="535">
        <v>0.01</v>
      </c>
      <c r="H339" s="535"/>
      <c r="I339" s="536">
        <v>0.4</v>
      </c>
      <c r="J339" s="593"/>
      <c r="K339" s="537">
        <v>105</v>
      </c>
      <c r="L339" s="272"/>
      <c r="M339" s="272"/>
      <c r="N339" s="272"/>
      <c r="P339" s="273"/>
      <c r="Q339" s="273"/>
      <c r="R339" s="273"/>
      <c r="S339" s="273"/>
      <c r="T339" s="272"/>
      <c r="U339" s="272"/>
      <c r="V339" s="273"/>
      <c r="W339" s="273"/>
      <c r="X339" s="273"/>
      <c r="Y339" s="273"/>
      <c r="Z339" s="273"/>
      <c r="AA339" s="273"/>
      <c r="AB339" s="273"/>
      <c r="AC339" s="273"/>
    </row>
    <row r="340" spans="2:29">
      <c r="B340" s="538"/>
      <c r="C340" s="539" t="s">
        <v>66</v>
      </c>
      <c r="D340" s="539" t="s">
        <v>55</v>
      </c>
      <c r="E340" s="539"/>
      <c r="F340" s="539"/>
      <c r="G340" s="540">
        <v>0.01</v>
      </c>
      <c r="H340" s="540"/>
      <c r="I340" s="541">
        <v>0.4</v>
      </c>
      <c r="J340" s="600"/>
      <c r="K340" s="542">
        <v>106</v>
      </c>
      <c r="L340" s="272"/>
      <c r="M340" s="272"/>
      <c r="N340" s="272"/>
      <c r="P340" s="273"/>
      <c r="Q340" s="273"/>
      <c r="R340" s="273"/>
      <c r="S340" s="273"/>
      <c r="T340" s="272"/>
      <c r="U340" s="272"/>
      <c r="V340" s="273"/>
      <c r="W340" s="273"/>
      <c r="X340" s="273"/>
      <c r="Y340" s="273"/>
      <c r="Z340" s="273"/>
      <c r="AA340" s="273"/>
      <c r="AB340" s="273"/>
      <c r="AC340" s="273"/>
    </row>
    <row r="341" spans="2:29">
      <c r="B341" s="516"/>
      <c r="C341" s="517" t="s">
        <v>66</v>
      </c>
      <c r="D341" s="517" t="s">
        <v>57</v>
      </c>
      <c r="E341" s="517"/>
      <c r="F341" s="517"/>
      <c r="G341" s="524">
        <v>0.01</v>
      </c>
      <c r="H341" s="524"/>
      <c r="I341" s="526">
        <v>0.4</v>
      </c>
      <c r="J341" s="592"/>
      <c r="K341" s="518">
        <v>106</v>
      </c>
      <c r="L341" s="272"/>
      <c r="M341" s="272"/>
      <c r="N341" s="272"/>
      <c r="P341" s="273"/>
      <c r="Q341" s="273"/>
      <c r="R341" s="273"/>
      <c r="S341" s="273"/>
      <c r="T341" s="272"/>
      <c r="U341" s="272"/>
      <c r="V341" s="273"/>
      <c r="W341" s="273"/>
      <c r="X341" s="273"/>
      <c r="Y341" s="273"/>
      <c r="Z341" s="273"/>
      <c r="AA341" s="273"/>
      <c r="AB341" s="273"/>
      <c r="AC341" s="273"/>
    </row>
    <row r="342" spans="2:29">
      <c r="B342" s="533"/>
      <c r="C342" s="534" t="s">
        <v>66</v>
      </c>
      <c r="D342" s="534" t="s">
        <v>59</v>
      </c>
      <c r="E342" s="534"/>
      <c r="F342" s="534"/>
      <c r="G342" s="535">
        <v>0.01</v>
      </c>
      <c r="H342" s="535"/>
      <c r="I342" s="536">
        <v>0.4</v>
      </c>
      <c r="J342" s="593"/>
      <c r="K342" s="537">
        <v>106</v>
      </c>
      <c r="L342" s="272"/>
      <c r="M342" s="272"/>
      <c r="N342" s="272"/>
      <c r="P342" s="273"/>
      <c r="Q342" s="273"/>
      <c r="R342" s="273"/>
      <c r="S342" s="273"/>
      <c r="T342" s="272"/>
      <c r="U342" s="272"/>
      <c r="V342" s="273"/>
      <c r="W342" s="273"/>
      <c r="X342" s="273"/>
      <c r="Y342" s="273"/>
      <c r="Z342" s="273"/>
      <c r="AA342" s="273"/>
      <c r="AB342" s="273"/>
      <c r="AC342" s="273"/>
    </row>
    <row r="343" spans="2:29">
      <c r="B343" s="538"/>
      <c r="C343" s="539" t="s">
        <v>66</v>
      </c>
      <c r="D343" s="539" t="s">
        <v>55</v>
      </c>
      <c r="E343" s="539"/>
      <c r="F343" s="539"/>
      <c r="G343" s="540">
        <v>0.01</v>
      </c>
      <c r="H343" s="540"/>
      <c r="I343" s="541">
        <v>0.4</v>
      </c>
      <c r="J343" s="600"/>
      <c r="K343" s="542">
        <v>107</v>
      </c>
      <c r="L343" s="272"/>
      <c r="M343" s="272"/>
      <c r="N343" s="272"/>
      <c r="P343" s="273"/>
      <c r="Q343" s="273"/>
      <c r="R343" s="273"/>
      <c r="S343" s="273"/>
      <c r="T343" s="272"/>
      <c r="U343" s="272"/>
      <c r="V343" s="273"/>
      <c r="W343" s="273"/>
      <c r="X343" s="273"/>
      <c r="Y343" s="273"/>
      <c r="Z343" s="273"/>
      <c r="AA343" s="273"/>
      <c r="AB343" s="273"/>
      <c r="AC343" s="273"/>
    </row>
    <row r="344" spans="2:29">
      <c r="B344" s="516"/>
      <c r="C344" s="517" t="s">
        <v>66</v>
      </c>
      <c r="D344" s="517" t="s">
        <v>57</v>
      </c>
      <c r="E344" s="517"/>
      <c r="F344" s="517"/>
      <c r="G344" s="524">
        <v>0.01</v>
      </c>
      <c r="H344" s="524"/>
      <c r="I344" s="526">
        <v>0.4</v>
      </c>
      <c r="J344" s="592"/>
      <c r="K344" s="518">
        <v>107</v>
      </c>
      <c r="L344" s="272"/>
      <c r="M344" s="272"/>
      <c r="N344" s="272"/>
      <c r="P344" s="273"/>
      <c r="Q344" s="273"/>
      <c r="R344" s="273"/>
      <c r="S344" s="273"/>
      <c r="T344" s="272"/>
      <c r="U344" s="272"/>
      <c r="V344" s="273"/>
      <c r="W344" s="273"/>
      <c r="X344" s="273"/>
      <c r="Y344" s="273"/>
      <c r="Z344" s="273"/>
      <c r="AA344" s="273"/>
      <c r="AB344" s="273"/>
      <c r="AC344" s="273"/>
    </row>
    <row r="345" spans="2:29">
      <c r="B345" s="533"/>
      <c r="C345" s="534" t="s">
        <v>66</v>
      </c>
      <c r="D345" s="534" t="s">
        <v>59</v>
      </c>
      <c r="E345" s="534"/>
      <c r="F345" s="534"/>
      <c r="G345" s="535">
        <v>0.01</v>
      </c>
      <c r="H345" s="535"/>
      <c r="I345" s="536">
        <v>0.4</v>
      </c>
      <c r="J345" s="593"/>
      <c r="K345" s="537">
        <v>107</v>
      </c>
      <c r="L345" s="272"/>
      <c r="M345" s="272"/>
      <c r="N345" s="272"/>
      <c r="P345" s="273"/>
      <c r="Q345" s="273"/>
      <c r="R345" s="273"/>
      <c r="S345" s="273"/>
      <c r="T345" s="272"/>
      <c r="U345" s="272"/>
      <c r="V345" s="273"/>
      <c r="W345" s="273"/>
      <c r="X345" s="273"/>
      <c r="Y345" s="273"/>
      <c r="Z345" s="273"/>
      <c r="AA345" s="273"/>
      <c r="AB345" s="273"/>
      <c r="AC345" s="273"/>
    </row>
    <row r="346" spans="2:29">
      <c r="B346" s="538"/>
      <c r="C346" s="539" t="s">
        <v>66</v>
      </c>
      <c r="D346" s="539" t="s">
        <v>55</v>
      </c>
      <c r="E346" s="539"/>
      <c r="F346" s="539"/>
      <c r="G346" s="540">
        <v>0.01</v>
      </c>
      <c r="H346" s="540"/>
      <c r="I346" s="541">
        <v>0.4</v>
      </c>
      <c r="J346" s="600"/>
      <c r="K346" s="542">
        <v>108</v>
      </c>
      <c r="L346" s="272"/>
      <c r="M346" s="272"/>
      <c r="N346" s="272"/>
      <c r="P346" s="273"/>
      <c r="Q346" s="273"/>
      <c r="R346" s="273"/>
      <c r="S346" s="273"/>
      <c r="T346" s="272"/>
      <c r="U346" s="272"/>
      <c r="V346" s="273"/>
      <c r="W346" s="273"/>
      <c r="X346" s="273"/>
      <c r="Y346" s="273"/>
      <c r="Z346" s="273"/>
      <c r="AA346" s="273"/>
      <c r="AB346" s="273"/>
      <c r="AC346" s="273"/>
    </row>
    <row r="347" spans="2:29">
      <c r="B347" s="516"/>
      <c r="C347" s="517" t="s">
        <v>66</v>
      </c>
      <c r="D347" s="517" t="s">
        <v>57</v>
      </c>
      <c r="E347" s="517"/>
      <c r="F347" s="517"/>
      <c r="G347" s="524">
        <v>0.01</v>
      </c>
      <c r="H347" s="524"/>
      <c r="I347" s="526">
        <v>0.4</v>
      </c>
      <c r="J347" s="592"/>
      <c r="K347" s="518">
        <v>108</v>
      </c>
      <c r="L347" s="272"/>
      <c r="M347" s="272"/>
      <c r="N347" s="272"/>
      <c r="P347" s="273"/>
      <c r="Q347" s="273"/>
      <c r="R347" s="273"/>
      <c r="S347" s="273"/>
      <c r="T347" s="272"/>
      <c r="U347" s="272"/>
      <c r="V347" s="273"/>
      <c r="W347" s="273"/>
      <c r="X347" s="273"/>
      <c r="Y347" s="273"/>
      <c r="Z347" s="273"/>
      <c r="AA347" s="273"/>
      <c r="AB347" s="273"/>
      <c r="AC347" s="273"/>
    </row>
    <row r="348" spans="2:29">
      <c r="B348" s="533"/>
      <c r="C348" s="534" t="s">
        <v>66</v>
      </c>
      <c r="D348" s="534" t="s">
        <v>59</v>
      </c>
      <c r="E348" s="534"/>
      <c r="F348" s="534"/>
      <c r="G348" s="535">
        <v>0.01</v>
      </c>
      <c r="H348" s="535"/>
      <c r="I348" s="536">
        <v>0.4</v>
      </c>
      <c r="J348" s="593"/>
      <c r="K348" s="537">
        <v>108</v>
      </c>
      <c r="L348" s="272"/>
      <c r="M348" s="272"/>
      <c r="N348" s="272"/>
      <c r="P348" s="273"/>
      <c r="Q348" s="273"/>
      <c r="R348" s="273"/>
      <c r="S348" s="273"/>
      <c r="T348" s="272"/>
      <c r="U348" s="272"/>
      <c r="V348" s="273"/>
      <c r="W348" s="273"/>
      <c r="X348" s="273"/>
      <c r="Y348" s="273"/>
      <c r="Z348" s="273"/>
      <c r="AA348" s="273"/>
      <c r="AB348" s="273"/>
      <c r="AC348" s="273"/>
    </row>
    <row r="349" spans="2:29">
      <c r="B349" s="538"/>
      <c r="C349" s="539" t="s">
        <v>66</v>
      </c>
      <c r="D349" s="539" t="s">
        <v>55</v>
      </c>
      <c r="E349" s="539"/>
      <c r="F349" s="539"/>
      <c r="G349" s="540">
        <v>0.01</v>
      </c>
      <c r="H349" s="540"/>
      <c r="I349" s="541">
        <v>0.4</v>
      </c>
      <c r="J349" s="600"/>
      <c r="K349" s="542">
        <v>109</v>
      </c>
      <c r="L349" s="272"/>
      <c r="M349" s="272"/>
      <c r="N349" s="272"/>
      <c r="P349" s="273"/>
      <c r="Q349" s="273"/>
      <c r="R349" s="273"/>
      <c r="S349" s="273"/>
      <c r="T349" s="272"/>
      <c r="U349" s="272"/>
      <c r="V349" s="273"/>
      <c r="W349" s="273"/>
      <c r="X349" s="273"/>
      <c r="Y349" s="273"/>
      <c r="Z349" s="273"/>
      <c r="AA349" s="273"/>
      <c r="AB349" s="273"/>
      <c r="AC349" s="273"/>
    </row>
    <row r="350" spans="2:29">
      <c r="B350" s="516"/>
      <c r="C350" s="517" t="s">
        <v>66</v>
      </c>
      <c r="D350" s="517" t="s">
        <v>57</v>
      </c>
      <c r="E350" s="517"/>
      <c r="F350" s="517"/>
      <c r="G350" s="524">
        <v>0.01</v>
      </c>
      <c r="H350" s="524"/>
      <c r="I350" s="526">
        <v>0.4</v>
      </c>
      <c r="J350" s="592"/>
      <c r="K350" s="518">
        <v>109</v>
      </c>
      <c r="L350" s="272"/>
      <c r="M350" s="272"/>
      <c r="N350" s="272"/>
      <c r="P350" s="273"/>
      <c r="Q350" s="273"/>
      <c r="R350" s="273"/>
      <c r="S350" s="273"/>
      <c r="T350" s="272"/>
      <c r="U350" s="272"/>
      <c r="V350" s="273"/>
      <c r="W350" s="273"/>
      <c r="X350" s="273"/>
      <c r="Y350" s="273"/>
      <c r="Z350" s="273"/>
      <c r="AA350" s="273"/>
      <c r="AB350" s="273"/>
      <c r="AC350" s="273"/>
    </row>
    <row r="351" spans="2:29">
      <c r="B351" s="533"/>
      <c r="C351" s="534" t="s">
        <v>66</v>
      </c>
      <c r="D351" s="534" t="s">
        <v>59</v>
      </c>
      <c r="E351" s="534"/>
      <c r="F351" s="534"/>
      <c r="G351" s="535">
        <v>0.01</v>
      </c>
      <c r="H351" s="535"/>
      <c r="I351" s="536">
        <v>0.4</v>
      </c>
      <c r="J351" s="593"/>
      <c r="K351" s="537">
        <v>109</v>
      </c>
      <c r="L351" s="272"/>
      <c r="M351" s="272"/>
      <c r="N351" s="272"/>
      <c r="P351" s="273"/>
      <c r="Q351" s="273"/>
      <c r="R351" s="273"/>
      <c r="S351" s="273"/>
      <c r="T351" s="272"/>
      <c r="U351" s="272"/>
      <c r="V351" s="273"/>
      <c r="W351" s="273"/>
      <c r="X351" s="273"/>
      <c r="Y351" s="273"/>
      <c r="Z351" s="273"/>
      <c r="AA351" s="273"/>
      <c r="AB351" s="273"/>
      <c r="AC351" s="273"/>
    </row>
    <row r="352" spans="2:29">
      <c r="B352" s="538"/>
      <c r="C352" s="539" t="s">
        <v>66</v>
      </c>
      <c r="D352" s="539" t="s">
        <v>55</v>
      </c>
      <c r="E352" s="539"/>
      <c r="F352" s="539"/>
      <c r="G352" s="540">
        <v>0.01</v>
      </c>
      <c r="H352" s="540"/>
      <c r="I352" s="541">
        <v>0.4</v>
      </c>
      <c r="J352" s="600"/>
      <c r="K352" s="542">
        <v>110</v>
      </c>
      <c r="L352" s="272"/>
      <c r="M352" s="272"/>
      <c r="N352" s="272"/>
      <c r="P352" s="273"/>
      <c r="Q352" s="273"/>
      <c r="R352" s="273"/>
      <c r="S352" s="273"/>
      <c r="T352" s="272"/>
      <c r="U352" s="272"/>
      <c r="V352" s="273"/>
      <c r="W352" s="273"/>
      <c r="X352" s="273"/>
      <c r="Y352" s="273"/>
      <c r="Z352" s="273"/>
      <c r="AA352" s="273"/>
      <c r="AB352" s="273"/>
      <c r="AC352" s="273"/>
    </row>
    <row r="353" spans="2:29">
      <c r="B353" s="516"/>
      <c r="C353" s="517" t="s">
        <v>66</v>
      </c>
      <c r="D353" s="517" t="s">
        <v>57</v>
      </c>
      <c r="E353" s="517"/>
      <c r="F353" s="517"/>
      <c r="G353" s="524">
        <v>0.01</v>
      </c>
      <c r="H353" s="524"/>
      <c r="I353" s="526">
        <v>0.4</v>
      </c>
      <c r="J353" s="592"/>
      <c r="K353" s="518">
        <v>110</v>
      </c>
      <c r="L353" s="272"/>
      <c r="M353" s="272"/>
      <c r="N353" s="272"/>
      <c r="P353" s="273"/>
      <c r="Q353" s="273"/>
      <c r="R353" s="273"/>
      <c r="S353" s="273"/>
      <c r="T353" s="272"/>
      <c r="U353" s="272"/>
      <c r="V353" s="273"/>
      <c r="W353" s="273"/>
      <c r="X353" s="273"/>
      <c r="Y353" s="273"/>
      <c r="Z353" s="273"/>
      <c r="AA353" s="273"/>
      <c r="AB353" s="273"/>
      <c r="AC353" s="273"/>
    </row>
    <row r="354" spans="2:29">
      <c r="B354" s="533"/>
      <c r="C354" s="534" t="s">
        <v>66</v>
      </c>
      <c r="D354" s="534" t="s">
        <v>59</v>
      </c>
      <c r="E354" s="534"/>
      <c r="F354" s="534"/>
      <c r="G354" s="535">
        <v>0.01</v>
      </c>
      <c r="H354" s="535"/>
      <c r="I354" s="536">
        <v>0.4</v>
      </c>
      <c r="J354" s="593"/>
      <c r="K354" s="537">
        <v>110</v>
      </c>
      <c r="L354" s="272"/>
      <c r="M354" s="272"/>
      <c r="N354" s="272"/>
      <c r="P354" s="273"/>
      <c r="Q354" s="273"/>
      <c r="R354" s="273"/>
      <c r="S354" s="273"/>
      <c r="T354" s="272"/>
      <c r="U354" s="272"/>
      <c r="V354" s="273"/>
      <c r="W354" s="273"/>
      <c r="X354" s="273"/>
      <c r="Y354" s="273"/>
      <c r="Z354" s="273"/>
      <c r="AA354" s="273"/>
      <c r="AB354" s="273"/>
      <c r="AC354" s="273"/>
    </row>
    <row r="355" spans="2:29">
      <c r="B355" s="538"/>
      <c r="C355" s="539" t="s">
        <v>66</v>
      </c>
      <c r="D355" s="539" t="s">
        <v>55</v>
      </c>
      <c r="E355" s="539"/>
      <c r="F355" s="539"/>
      <c r="G355" s="540">
        <v>0.01</v>
      </c>
      <c r="H355" s="540"/>
      <c r="I355" s="541">
        <v>0.4</v>
      </c>
      <c r="J355" s="600"/>
      <c r="K355" s="542">
        <v>111</v>
      </c>
      <c r="L355" s="272"/>
      <c r="M355" s="272"/>
      <c r="N355" s="272"/>
      <c r="P355" s="273"/>
      <c r="Q355" s="273"/>
      <c r="R355" s="273"/>
      <c r="S355" s="273"/>
      <c r="T355" s="272"/>
      <c r="U355" s="272"/>
      <c r="V355" s="273"/>
      <c r="W355" s="273"/>
      <c r="X355" s="273"/>
      <c r="Y355" s="273"/>
      <c r="Z355" s="273"/>
      <c r="AA355" s="273"/>
      <c r="AB355" s="273"/>
      <c r="AC355" s="273"/>
    </row>
    <row r="356" spans="2:29">
      <c r="B356" s="516"/>
      <c r="C356" s="517" t="s">
        <v>66</v>
      </c>
      <c r="D356" s="517" t="s">
        <v>57</v>
      </c>
      <c r="E356" s="517"/>
      <c r="F356" s="517"/>
      <c r="G356" s="524">
        <v>0.01</v>
      </c>
      <c r="H356" s="524"/>
      <c r="I356" s="526">
        <v>0.4</v>
      </c>
      <c r="J356" s="592"/>
      <c r="K356" s="518">
        <v>111</v>
      </c>
      <c r="L356" s="272"/>
      <c r="M356" s="272"/>
      <c r="N356" s="272"/>
      <c r="P356" s="273"/>
      <c r="Q356" s="273"/>
      <c r="R356" s="273"/>
      <c r="S356" s="273"/>
      <c r="T356" s="272"/>
      <c r="U356" s="272"/>
      <c r="V356" s="273"/>
      <c r="W356" s="273"/>
      <c r="X356" s="273"/>
      <c r="Y356" s="273"/>
      <c r="Z356" s="273"/>
      <c r="AA356" s="273"/>
      <c r="AB356" s="273"/>
      <c r="AC356" s="273"/>
    </row>
    <row r="357" spans="2:29">
      <c r="B357" s="533"/>
      <c r="C357" s="534" t="s">
        <v>66</v>
      </c>
      <c r="D357" s="534" t="s">
        <v>59</v>
      </c>
      <c r="E357" s="534"/>
      <c r="F357" s="534"/>
      <c r="G357" s="535">
        <v>0.01</v>
      </c>
      <c r="H357" s="535"/>
      <c r="I357" s="536">
        <v>0.4</v>
      </c>
      <c r="J357" s="593"/>
      <c r="K357" s="537">
        <v>111</v>
      </c>
      <c r="L357" s="272"/>
      <c r="M357" s="272"/>
      <c r="N357" s="272"/>
      <c r="P357" s="273"/>
      <c r="Q357" s="273"/>
      <c r="R357" s="273"/>
      <c r="S357" s="273"/>
      <c r="T357" s="272"/>
      <c r="U357" s="272"/>
      <c r="V357" s="273"/>
      <c r="W357" s="273"/>
      <c r="X357" s="273"/>
      <c r="Y357" s="273"/>
      <c r="Z357" s="273"/>
      <c r="AA357" s="273"/>
      <c r="AB357" s="273"/>
      <c r="AC357" s="273"/>
    </row>
    <row r="358" spans="2:29">
      <c r="B358" s="538"/>
      <c r="C358" s="539" t="s">
        <v>66</v>
      </c>
      <c r="D358" s="539" t="s">
        <v>55</v>
      </c>
      <c r="E358" s="539"/>
      <c r="F358" s="539"/>
      <c r="G358" s="540">
        <v>0.01</v>
      </c>
      <c r="H358" s="540"/>
      <c r="I358" s="541">
        <v>0.4</v>
      </c>
      <c r="J358" s="600"/>
      <c r="K358" s="542">
        <v>112</v>
      </c>
      <c r="L358" s="272"/>
      <c r="M358" s="272"/>
      <c r="N358" s="272"/>
      <c r="P358" s="273"/>
      <c r="Q358" s="273"/>
      <c r="R358" s="273"/>
      <c r="S358" s="273"/>
      <c r="T358" s="272"/>
      <c r="U358" s="272"/>
      <c r="V358" s="273"/>
      <c r="W358" s="273"/>
      <c r="X358" s="273"/>
      <c r="Y358" s="273"/>
      <c r="Z358" s="273"/>
      <c r="AA358" s="273"/>
      <c r="AB358" s="273"/>
      <c r="AC358" s="273"/>
    </row>
    <row r="359" spans="2:29">
      <c r="B359" s="516"/>
      <c r="C359" s="517" t="s">
        <v>66</v>
      </c>
      <c r="D359" s="517" t="s">
        <v>57</v>
      </c>
      <c r="E359" s="517"/>
      <c r="F359" s="517"/>
      <c r="G359" s="524">
        <v>0.01</v>
      </c>
      <c r="H359" s="524"/>
      <c r="I359" s="526">
        <v>0.4</v>
      </c>
      <c r="J359" s="592"/>
      <c r="K359" s="518">
        <v>112</v>
      </c>
      <c r="L359" s="272"/>
      <c r="M359" s="272"/>
      <c r="N359" s="272"/>
      <c r="P359" s="273"/>
      <c r="Q359" s="273"/>
      <c r="R359" s="273"/>
      <c r="S359" s="273"/>
      <c r="T359" s="272"/>
      <c r="U359" s="272"/>
      <c r="V359" s="273"/>
      <c r="W359" s="273"/>
      <c r="X359" s="273"/>
      <c r="Y359" s="273"/>
      <c r="Z359" s="273"/>
      <c r="AA359" s="273"/>
      <c r="AB359" s="273"/>
      <c r="AC359" s="273"/>
    </row>
    <row r="360" spans="2:29">
      <c r="B360" s="533"/>
      <c r="C360" s="534" t="s">
        <v>66</v>
      </c>
      <c r="D360" s="534" t="s">
        <v>59</v>
      </c>
      <c r="E360" s="534"/>
      <c r="F360" s="534"/>
      <c r="G360" s="535">
        <v>0.01</v>
      </c>
      <c r="H360" s="535"/>
      <c r="I360" s="536">
        <v>0.4</v>
      </c>
      <c r="J360" s="593"/>
      <c r="K360" s="537">
        <v>112</v>
      </c>
      <c r="L360" s="272"/>
      <c r="M360" s="272"/>
      <c r="N360" s="272"/>
      <c r="P360" s="273"/>
      <c r="Q360" s="273"/>
      <c r="R360" s="273"/>
      <c r="S360" s="273"/>
      <c r="T360" s="272"/>
      <c r="U360" s="272"/>
      <c r="V360" s="273"/>
      <c r="W360" s="273"/>
      <c r="X360" s="273"/>
      <c r="Y360" s="273"/>
      <c r="Z360" s="273"/>
      <c r="AA360" s="273"/>
      <c r="AB360" s="273"/>
      <c r="AC360" s="273"/>
    </row>
    <row r="361" spans="2:29">
      <c r="B361" s="538"/>
      <c r="C361" s="539" t="s">
        <v>66</v>
      </c>
      <c r="D361" s="539" t="s">
        <v>55</v>
      </c>
      <c r="E361" s="539"/>
      <c r="F361" s="539"/>
      <c r="G361" s="540">
        <v>0.01</v>
      </c>
      <c r="H361" s="540"/>
      <c r="I361" s="541">
        <v>0.4</v>
      </c>
      <c r="J361" s="600"/>
      <c r="K361" s="542">
        <v>113</v>
      </c>
      <c r="L361" s="272"/>
      <c r="M361" s="272"/>
      <c r="N361" s="272"/>
      <c r="P361" s="273"/>
      <c r="Q361" s="273"/>
      <c r="R361" s="273"/>
      <c r="S361" s="273"/>
      <c r="T361" s="272"/>
      <c r="U361" s="272"/>
      <c r="V361" s="273"/>
      <c r="W361" s="273"/>
      <c r="X361" s="273"/>
      <c r="Y361" s="273"/>
      <c r="Z361" s="273"/>
      <c r="AA361" s="273"/>
      <c r="AB361" s="273"/>
      <c r="AC361" s="273"/>
    </row>
    <row r="362" spans="2:29">
      <c r="B362" s="516"/>
      <c r="C362" s="517" t="s">
        <v>66</v>
      </c>
      <c r="D362" s="517" t="s">
        <v>57</v>
      </c>
      <c r="E362" s="517"/>
      <c r="F362" s="517"/>
      <c r="G362" s="524">
        <v>0.01</v>
      </c>
      <c r="H362" s="524"/>
      <c r="I362" s="526">
        <v>0.4</v>
      </c>
      <c r="J362" s="592"/>
      <c r="K362" s="518">
        <v>113</v>
      </c>
      <c r="L362" s="272"/>
      <c r="M362" s="272"/>
      <c r="N362" s="272"/>
      <c r="P362" s="273"/>
      <c r="Q362" s="273"/>
      <c r="R362" s="273"/>
      <c r="S362" s="273"/>
      <c r="T362" s="272"/>
      <c r="U362" s="272"/>
      <c r="V362" s="273"/>
      <c r="W362" s="273"/>
      <c r="X362" s="273"/>
      <c r="Y362" s="273"/>
      <c r="Z362" s="273"/>
      <c r="AA362" s="273"/>
      <c r="AB362" s="273"/>
      <c r="AC362" s="273"/>
    </row>
    <row r="363" spans="2:29">
      <c r="B363" s="533"/>
      <c r="C363" s="534" t="s">
        <v>66</v>
      </c>
      <c r="D363" s="534" t="s">
        <v>59</v>
      </c>
      <c r="E363" s="534"/>
      <c r="F363" s="534"/>
      <c r="G363" s="535">
        <v>0.01</v>
      </c>
      <c r="H363" s="535"/>
      <c r="I363" s="536">
        <v>0.4</v>
      </c>
      <c r="J363" s="593"/>
      <c r="K363" s="537">
        <v>113</v>
      </c>
      <c r="L363" s="272"/>
      <c r="M363" s="272"/>
      <c r="N363" s="272"/>
      <c r="P363" s="273"/>
      <c r="Q363" s="273"/>
      <c r="R363" s="273"/>
      <c r="S363" s="273"/>
      <c r="T363" s="272"/>
      <c r="U363" s="272"/>
      <c r="V363" s="273"/>
      <c r="W363" s="273"/>
      <c r="X363" s="273"/>
      <c r="Y363" s="273"/>
      <c r="Z363" s="273"/>
      <c r="AA363" s="273"/>
      <c r="AB363" s="273"/>
      <c r="AC363" s="273"/>
    </row>
    <row r="364" spans="2:29">
      <c r="B364" s="538"/>
      <c r="C364" s="539" t="s">
        <v>66</v>
      </c>
      <c r="D364" s="539" t="s">
        <v>55</v>
      </c>
      <c r="E364" s="539"/>
      <c r="F364" s="539"/>
      <c r="G364" s="540">
        <v>0.01</v>
      </c>
      <c r="H364" s="540"/>
      <c r="I364" s="541">
        <v>0.4</v>
      </c>
      <c r="J364" s="600"/>
      <c r="K364" s="542">
        <v>114</v>
      </c>
      <c r="L364" s="272"/>
      <c r="M364" s="272"/>
      <c r="N364" s="272"/>
      <c r="P364" s="273"/>
      <c r="Q364" s="273"/>
      <c r="R364" s="273"/>
      <c r="S364" s="273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</row>
    <row r="365" spans="2:29">
      <c r="B365" s="516"/>
      <c r="C365" s="517" t="s">
        <v>66</v>
      </c>
      <c r="D365" s="517" t="s">
        <v>57</v>
      </c>
      <c r="E365" s="517"/>
      <c r="F365" s="517"/>
      <c r="G365" s="524">
        <v>0.01</v>
      </c>
      <c r="H365" s="524"/>
      <c r="I365" s="526">
        <v>0.4</v>
      </c>
      <c r="J365" s="592"/>
      <c r="K365" s="518">
        <v>114</v>
      </c>
      <c r="L365" s="272"/>
      <c r="M365" s="272"/>
      <c r="N365" s="272"/>
      <c r="P365" s="273"/>
      <c r="Q365" s="273"/>
      <c r="R365" s="273"/>
      <c r="S365" s="273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</row>
    <row r="366" spans="2:29">
      <c r="B366" s="533"/>
      <c r="C366" s="534" t="s">
        <v>66</v>
      </c>
      <c r="D366" s="534" t="s">
        <v>59</v>
      </c>
      <c r="E366" s="534"/>
      <c r="F366" s="534"/>
      <c r="G366" s="535">
        <v>0.01</v>
      </c>
      <c r="H366" s="535"/>
      <c r="I366" s="536">
        <v>0.4</v>
      </c>
      <c r="J366" s="593"/>
      <c r="K366" s="537">
        <v>114</v>
      </c>
      <c r="L366" s="272"/>
      <c r="M366" s="272"/>
      <c r="N366" s="272"/>
      <c r="P366" s="273"/>
      <c r="Q366" s="273"/>
      <c r="R366" s="273"/>
      <c r="S366" s="273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</row>
    <row r="367" spans="2:29">
      <c r="B367" s="538"/>
      <c r="C367" s="539" t="s">
        <v>66</v>
      </c>
      <c r="D367" s="539" t="s">
        <v>55</v>
      </c>
      <c r="E367" s="539"/>
      <c r="F367" s="539"/>
      <c r="G367" s="540">
        <v>0.01</v>
      </c>
      <c r="H367" s="540"/>
      <c r="I367" s="541">
        <v>0.4</v>
      </c>
      <c r="J367" s="600"/>
      <c r="K367" s="542">
        <v>115</v>
      </c>
      <c r="L367" s="272"/>
      <c r="M367" s="272"/>
      <c r="N367" s="272"/>
      <c r="P367" s="273"/>
      <c r="Q367" s="273"/>
      <c r="R367" s="273"/>
      <c r="S367" s="273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</row>
    <row r="368" spans="2:29">
      <c r="B368" s="516"/>
      <c r="C368" s="517" t="s">
        <v>66</v>
      </c>
      <c r="D368" s="517" t="s">
        <v>57</v>
      </c>
      <c r="E368" s="517"/>
      <c r="F368" s="517"/>
      <c r="G368" s="524">
        <v>0.01</v>
      </c>
      <c r="H368" s="524"/>
      <c r="I368" s="526">
        <v>0.4</v>
      </c>
      <c r="J368" s="592"/>
      <c r="K368" s="518">
        <v>115</v>
      </c>
      <c r="L368" s="272"/>
      <c r="M368" s="272"/>
      <c r="N368" s="272"/>
      <c r="P368" s="273"/>
      <c r="Q368" s="273"/>
      <c r="R368" s="273"/>
      <c r="S368" s="273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</row>
    <row r="369" spans="2:29">
      <c r="B369" s="533"/>
      <c r="C369" s="534" t="s">
        <v>66</v>
      </c>
      <c r="D369" s="534" t="s">
        <v>59</v>
      </c>
      <c r="E369" s="534"/>
      <c r="F369" s="534"/>
      <c r="G369" s="535">
        <v>0.01</v>
      </c>
      <c r="H369" s="535"/>
      <c r="I369" s="536">
        <v>0.4</v>
      </c>
      <c r="J369" s="593"/>
      <c r="K369" s="537">
        <v>115</v>
      </c>
      <c r="L369" s="272"/>
      <c r="M369" s="272"/>
      <c r="N369" s="272"/>
      <c r="P369" s="273"/>
      <c r="Q369" s="273"/>
      <c r="R369" s="273"/>
      <c r="S369" s="273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</row>
    <row r="370" spans="2:29">
      <c r="B370" s="538"/>
      <c r="C370" s="539" t="s">
        <v>66</v>
      </c>
      <c r="D370" s="539" t="s">
        <v>55</v>
      </c>
      <c r="E370" s="539"/>
      <c r="F370" s="539"/>
      <c r="G370" s="540">
        <v>0.01</v>
      </c>
      <c r="H370" s="540"/>
      <c r="I370" s="541">
        <v>0.4</v>
      </c>
      <c r="J370" s="600"/>
      <c r="K370" s="542">
        <v>116</v>
      </c>
      <c r="L370" s="272"/>
      <c r="M370" s="272"/>
      <c r="N370" s="272"/>
      <c r="P370" s="273"/>
      <c r="Q370" s="273"/>
      <c r="R370" s="273"/>
      <c r="S370" s="273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</row>
    <row r="371" spans="2:29">
      <c r="B371" s="516"/>
      <c r="C371" s="517" t="s">
        <v>66</v>
      </c>
      <c r="D371" s="517" t="s">
        <v>57</v>
      </c>
      <c r="E371" s="517"/>
      <c r="F371" s="517"/>
      <c r="G371" s="524">
        <v>0.01</v>
      </c>
      <c r="H371" s="524"/>
      <c r="I371" s="526">
        <v>0.4</v>
      </c>
      <c r="J371" s="592"/>
      <c r="K371" s="518">
        <v>116</v>
      </c>
      <c r="L371" s="272"/>
      <c r="M371" s="272"/>
      <c r="N371" s="272"/>
      <c r="P371" s="273"/>
      <c r="Q371" s="273"/>
      <c r="R371" s="273"/>
      <c r="S371" s="273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</row>
    <row r="372" spans="2:29">
      <c r="B372" s="533"/>
      <c r="C372" s="534" t="s">
        <v>66</v>
      </c>
      <c r="D372" s="534" t="s">
        <v>59</v>
      </c>
      <c r="E372" s="534"/>
      <c r="F372" s="534"/>
      <c r="G372" s="535">
        <v>0.01</v>
      </c>
      <c r="H372" s="535"/>
      <c r="I372" s="536">
        <v>0.4</v>
      </c>
      <c r="J372" s="593"/>
      <c r="K372" s="537">
        <v>116</v>
      </c>
      <c r="L372" s="272"/>
      <c r="M372" s="272"/>
      <c r="N372" s="272"/>
      <c r="P372" s="273"/>
      <c r="Q372" s="273"/>
      <c r="R372" s="273"/>
      <c r="S372" s="273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</row>
    <row r="373" spans="2:29">
      <c r="B373" s="538"/>
      <c r="C373" s="539" t="s">
        <v>66</v>
      </c>
      <c r="D373" s="539" t="s">
        <v>55</v>
      </c>
      <c r="E373" s="539"/>
      <c r="F373" s="539"/>
      <c r="G373" s="540">
        <v>0.01</v>
      </c>
      <c r="H373" s="540"/>
      <c r="I373" s="541">
        <v>0.4</v>
      </c>
      <c r="J373" s="600"/>
      <c r="K373" s="542">
        <v>117</v>
      </c>
      <c r="L373" s="272"/>
      <c r="M373" s="272"/>
      <c r="N373" s="272"/>
      <c r="P373" s="273"/>
      <c r="Q373" s="273"/>
      <c r="R373" s="273"/>
      <c r="S373" s="273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</row>
    <row r="374" spans="2:29">
      <c r="B374" s="516"/>
      <c r="C374" s="517" t="s">
        <v>66</v>
      </c>
      <c r="D374" s="517" t="s">
        <v>57</v>
      </c>
      <c r="E374" s="517"/>
      <c r="F374" s="517"/>
      <c r="G374" s="524">
        <v>0.01</v>
      </c>
      <c r="H374" s="524"/>
      <c r="I374" s="526">
        <v>0.4</v>
      </c>
      <c r="J374" s="592"/>
      <c r="K374" s="518">
        <v>117</v>
      </c>
      <c r="L374" s="272"/>
      <c r="M374" s="272"/>
      <c r="N374" s="272"/>
      <c r="P374" s="273"/>
      <c r="Q374" s="273"/>
      <c r="R374" s="273"/>
      <c r="S374" s="273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</row>
    <row r="375" spans="2:29">
      <c r="B375" s="533"/>
      <c r="C375" s="534" t="s">
        <v>66</v>
      </c>
      <c r="D375" s="534" t="s">
        <v>59</v>
      </c>
      <c r="E375" s="534"/>
      <c r="F375" s="534"/>
      <c r="G375" s="535">
        <v>0.01</v>
      </c>
      <c r="H375" s="535"/>
      <c r="I375" s="536">
        <v>0.4</v>
      </c>
      <c r="J375" s="593"/>
      <c r="K375" s="537">
        <v>117</v>
      </c>
      <c r="L375" s="272"/>
      <c r="M375" s="272"/>
      <c r="N375" s="272"/>
      <c r="P375" s="273"/>
      <c r="Q375" s="273"/>
      <c r="R375" s="273"/>
      <c r="S375" s="273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</row>
    <row r="376" spans="2:29">
      <c r="B376" s="538"/>
      <c r="C376" s="539" t="s">
        <v>66</v>
      </c>
      <c r="D376" s="539" t="s">
        <v>55</v>
      </c>
      <c r="E376" s="539"/>
      <c r="F376" s="539"/>
      <c r="G376" s="540">
        <v>0.01</v>
      </c>
      <c r="H376" s="540"/>
      <c r="I376" s="541">
        <v>0.4</v>
      </c>
      <c r="J376" s="600"/>
      <c r="K376" s="542">
        <v>118</v>
      </c>
      <c r="L376" s="272"/>
      <c r="M376" s="272"/>
      <c r="N376" s="272"/>
      <c r="P376" s="273"/>
      <c r="Q376" s="273"/>
      <c r="R376" s="273"/>
      <c r="S376" s="273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</row>
    <row r="377" spans="2:29">
      <c r="B377" s="516"/>
      <c r="C377" s="517" t="s">
        <v>66</v>
      </c>
      <c r="D377" s="517" t="s">
        <v>57</v>
      </c>
      <c r="E377" s="517"/>
      <c r="F377" s="517"/>
      <c r="G377" s="524">
        <v>0.01</v>
      </c>
      <c r="H377" s="524"/>
      <c r="I377" s="526">
        <v>0.4</v>
      </c>
      <c r="J377" s="592"/>
      <c r="K377" s="518">
        <v>118</v>
      </c>
      <c r="L377" s="272"/>
      <c r="M377" s="272"/>
      <c r="N377" s="272"/>
      <c r="P377" s="273"/>
      <c r="Q377" s="273"/>
      <c r="R377" s="273"/>
      <c r="S377" s="273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</row>
    <row r="378" spans="2:29">
      <c r="B378" s="533"/>
      <c r="C378" s="534" t="s">
        <v>66</v>
      </c>
      <c r="D378" s="534" t="s">
        <v>59</v>
      </c>
      <c r="E378" s="534"/>
      <c r="F378" s="534"/>
      <c r="G378" s="535">
        <v>0.01</v>
      </c>
      <c r="H378" s="535"/>
      <c r="I378" s="536">
        <v>0.4</v>
      </c>
      <c r="J378" s="593"/>
      <c r="K378" s="537">
        <v>118</v>
      </c>
      <c r="L378" s="272"/>
      <c r="M378" s="272"/>
      <c r="N378" s="272"/>
      <c r="P378" s="273"/>
      <c r="Q378" s="273"/>
      <c r="R378" s="273"/>
      <c r="S378" s="273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</row>
    <row r="379" spans="2:29">
      <c r="B379" s="538"/>
      <c r="C379" s="539" t="s">
        <v>66</v>
      </c>
      <c r="D379" s="539" t="s">
        <v>55</v>
      </c>
      <c r="E379" s="539"/>
      <c r="F379" s="539"/>
      <c r="G379" s="540">
        <v>0.01</v>
      </c>
      <c r="H379" s="540"/>
      <c r="I379" s="541">
        <v>0.4</v>
      </c>
      <c r="J379" s="600"/>
      <c r="K379" s="542">
        <v>119</v>
      </c>
      <c r="L379" s="272"/>
      <c r="M379" s="272"/>
      <c r="N379" s="272"/>
      <c r="P379" s="273"/>
      <c r="Q379" s="273"/>
      <c r="R379" s="273"/>
      <c r="S379" s="273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</row>
    <row r="380" spans="2:29">
      <c r="B380" s="516"/>
      <c r="C380" s="517" t="s">
        <v>66</v>
      </c>
      <c r="D380" s="517" t="s">
        <v>57</v>
      </c>
      <c r="E380" s="517"/>
      <c r="F380" s="517"/>
      <c r="G380" s="524">
        <v>0.01</v>
      </c>
      <c r="H380" s="524"/>
      <c r="I380" s="526">
        <v>0.4</v>
      </c>
      <c r="J380" s="592"/>
      <c r="K380" s="518">
        <v>119</v>
      </c>
      <c r="L380" s="272"/>
      <c r="M380" s="272"/>
      <c r="N380" s="272"/>
      <c r="P380" s="273"/>
      <c r="Q380" s="273"/>
      <c r="R380" s="273"/>
      <c r="S380" s="273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</row>
    <row r="381" spans="2:29">
      <c r="B381" s="533"/>
      <c r="C381" s="534" t="s">
        <v>66</v>
      </c>
      <c r="D381" s="534" t="s">
        <v>59</v>
      </c>
      <c r="E381" s="534"/>
      <c r="F381" s="534"/>
      <c r="G381" s="535">
        <v>0.01</v>
      </c>
      <c r="H381" s="535"/>
      <c r="I381" s="536">
        <v>0.4</v>
      </c>
      <c r="J381" s="593"/>
      <c r="K381" s="537">
        <v>119</v>
      </c>
      <c r="L381" s="272"/>
      <c r="M381" s="272"/>
      <c r="N381" s="272"/>
      <c r="P381" s="273"/>
      <c r="Q381" s="273"/>
      <c r="R381" s="273"/>
      <c r="S381" s="273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</row>
    <row r="382" spans="2:29">
      <c r="B382" s="538"/>
      <c r="C382" s="539" t="s">
        <v>66</v>
      </c>
      <c r="D382" s="539" t="s">
        <v>55</v>
      </c>
      <c r="E382" s="539"/>
      <c r="F382" s="539"/>
      <c r="G382" s="540">
        <v>0.01</v>
      </c>
      <c r="H382" s="540"/>
      <c r="I382" s="541">
        <v>0.4</v>
      </c>
      <c r="J382" s="600"/>
      <c r="K382" s="542">
        <v>120</v>
      </c>
      <c r="L382" s="272"/>
      <c r="M382" s="272"/>
      <c r="N382" s="272"/>
      <c r="P382" s="273"/>
      <c r="Q382" s="273"/>
      <c r="R382" s="273"/>
      <c r="S382" s="273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</row>
    <row r="383" spans="2:29">
      <c r="B383" s="516"/>
      <c r="C383" s="517" t="s">
        <v>66</v>
      </c>
      <c r="D383" s="517" t="s">
        <v>57</v>
      </c>
      <c r="E383" s="517"/>
      <c r="F383" s="517"/>
      <c r="G383" s="524">
        <v>0.01</v>
      </c>
      <c r="H383" s="524"/>
      <c r="I383" s="526">
        <v>0.4</v>
      </c>
      <c r="J383" s="592"/>
      <c r="K383" s="518">
        <v>120</v>
      </c>
      <c r="L383" s="272"/>
      <c r="M383" s="272"/>
      <c r="N383" s="272"/>
      <c r="P383" s="273"/>
      <c r="Q383" s="273"/>
      <c r="R383" s="273"/>
      <c r="S383" s="273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</row>
    <row r="384" spans="2:29">
      <c r="B384" s="533"/>
      <c r="C384" s="534" t="s">
        <v>66</v>
      </c>
      <c r="D384" s="534" t="s">
        <v>59</v>
      </c>
      <c r="E384" s="534"/>
      <c r="F384" s="534"/>
      <c r="G384" s="535">
        <v>0.01</v>
      </c>
      <c r="H384" s="535"/>
      <c r="I384" s="536">
        <v>0.4</v>
      </c>
      <c r="J384" s="593"/>
      <c r="K384" s="537">
        <v>120</v>
      </c>
      <c r="L384" s="272"/>
      <c r="M384" s="272"/>
      <c r="N384" s="272"/>
      <c r="P384" s="273"/>
      <c r="Q384" s="273"/>
      <c r="R384" s="273"/>
      <c r="S384" s="273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</row>
    <row r="385" spans="2:29">
      <c r="B385" s="538"/>
      <c r="C385" s="539" t="s">
        <v>66</v>
      </c>
      <c r="D385" s="539" t="s">
        <v>55</v>
      </c>
      <c r="E385" s="539"/>
      <c r="F385" s="539"/>
      <c r="G385" s="540">
        <v>0.01</v>
      </c>
      <c r="H385" s="540"/>
      <c r="I385" s="541">
        <v>0.4</v>
      </c>
      <c r="J385" s="600"/>
      <c r="K385" s="542">
        <v>121</v>
      </c>
      <c r="L385" s="272"/>
      <c r="M385" s="272"/>
      <c r="N385" s="272"/>
      <c r="P385" s="273"/>
      <c r="Q385" s="273"/>
      <c r="R385" s="273"/>
      <c r="S385" s="273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</row>
    <row r="386" spans="2:29">
      <c r="B386" s="516"/>
      <c r="C386" s="517" t="s">
        <v>66</v>
      </c>
      <c r="D386" s="517" t="s">
        <v>57</v>
      </c>
      <c r="E386" s="517"/>
      <c r="F386" s="517"/>
      <c r="G386" s="524">
        <v>0.01</v>
      </c>
      <c r="H386" s="524"/>
      <c r="I386" s="526">
        <v>0.4</v>
      </c>
      <c r="J386" s="592"/>
      <c r="K386" s="518">
        <v>121</v>
      </c>
      <c r="L386" s="272"/>
      <c r="M386" s="272"/>
      <c r="N386" s="272"/>
      <c r="P386" s="273"/>
      <c r="Q386" s="273"/>
      <c r="R386" s="273"/>
      <c r="S386" s="273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</row>
    <row r="387" spans="2:29">
      <c r="B387" s="533"/>
      <c r="C387" s="534" t="s">
        <v>66</v>
      </c>
      <c r="D387" s="534" t="s">
        <v>59</v>
      </c>
      <c r="E387" s="534"/>
      <c r="F387" s="534"/>
      <c r="G387" s="535">
        <v>0.01</v>
      </c>
      <c r="H387" s="535"/>
      <c r="I387" s="536">
        <v>0.4</v>
      </c>
      <c r="J387" s="593"/>
      <c r="K387" s="537">
        <v>121</v>
      </c>
      <c r="L387" s="272"/>
      <c r="M387" s="272"/>
      <c r="N387" s="272"/>
      <c r="P387" s="273"/>
      <c r="Q387" s="273"/>
      <c r="R387" s="273"/>
      <c r="S387" s="273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</row>
    <row r="388" spans="2:29">
      <c r="B388" s="538"/>
      <c r="C388" s="539" t="s">
        <v>66</v>
      </c>
      <c r="D388" s="539" t="s">
        <v>55</v>
      </c>
      <c r="E388" s="539"/>
      <c r="F388" s="539"/>
      <c r="G388" s="540">
        <v>0.01</v>
      </c>
      <c r="H388" s="540"/>
      <c r="I388" s="541">
        <v>0.4</v>
      </c>
      <c r="J388" s="600"/>
      <c r="K388" s="542">
        <v>122</v>
      </c>
      <c r="L388" s="272"/>
      <c r="M388" s="272"/>
      <c r="N388" s="272"/>
      <c r="P388" s="273"/>
      <c r="Q388" s="273"/>
      <c r="R388" s="273"/>
      <c r="S388" s="273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</row>
    <row r="389" spans="2:29">
      <c r="B389" s="516"/>
      <c r="C389" s="517" t="s">
        <v>66</v>
      </c>
      <c r="D389" s="517" t="s">
        <v>57</v>
      </c>
      <c r="E389" s="517"/>
      <c r="F389" s="517"/>
      <c r="G389" s="524">
        <v>0.01</v>
      </c>
      <c r="H389" s="524"/>
      <c r="I389" s="526">
        <v>0.4</v>
      </c>
      <c r="J389" s="592"/>
      <c r="K389" s="518">
        <v>122</v>
      </c>
      <c r="L389" s="272"/>
      <c r="M389" s="272"/>
      <c r="N389" s="272"/>
      <c r="P389" s="273"/>
      <c r="Q389" s="273"/>
      <c r="R389" s="273"/>
      <c r="S389" s="273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</row>
    <row r="390" spans="2:29">
      <c r="B390" s="533"/>
      <c r="C390" s="534" t="s">
        <v>66</v>
      </c>
      <c r="D390" s="534" t="s">
        <v>59</v>
      </c>
      <c r="E390" s="534"/>
      <c r="F390" s="534"/>
      <c r="G390" s="535">
        <v>0.01</v>
      </c>
      <c r="H390" s="535"/>
      <c r="I390" s="536">
        <v>0.4</v>
      </c>
      <c r="J390" s="593"/>
      <c r="K390" s="537">
        <v>122</v>
      </c>
      <c r="L390" s="272"/>
      <c r="M390" s="272"/>
      <c r="N390" s="272"/>
      <c r="P390" s="273"/>
      <c r="Q390" s="273"/>
      <c r="R390" s="273"/>
      <c r="S390" s="273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</row>
    <row r="391" spans="2:29">
      <c r="B391" s="538"/>
      <c r="C391" s="539" t="s">
        <v>66</v>
      </c>
      <c r="D391" s="539" t="s">
        <v>55</v>
      </c>
      <c r="E391" s="539"/>
      <c r="F391" s="539"/>
      <c r="G391" s="540">
        <v>0.01</v>
      </c>
      <c r="H391" s="540"/>
      <c r="I391" s="541">
        <v>0.4</v>
      </c>
      <c r="J391" s="600"/>
      <c r="K391" s="542">
        <v>123</v>
      </c>
      <c r="L391" s="272"/>
      <c r="M391" s="272"/>
      <c r="N391" s="272"/>
      <c r="P391" s="273"/>
      <c r="Q391" s="273"/>
      <c r="R391" s="273"/>
      <c r="S391" s="273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</row>
    <row r="392" spans="2:29">
      <c r="B392" s="516"/>
      <c r="C392" s="517" t="s">
        <v>66</v>
      </c>
      <c r="D392" s="517" t="s">
        <v>57</v>
      </c>
      <c r="E392" s="517"/>
      <c r="F392" s="517"/>
      <c r="G392" s="524">
        <v>0.01</v>
      </c>
      <c r="H392" s="524"/>
      <c r="I392" s="526">
        <v>0.4</v>
      </c>
      <c r="J392" s="592"/>
      <c r="K392" s="518">
        <v>123</v>
      </c>
      <c r="L392" s="272"/>
      <c r="M392" s="272"/>
      <c r="N392" s="272"/>
      <c r="P392" s="273"/>
      <c r="Q392" s="273"/>
      <c r="R392" s="273"/>
      <c r="S392" s="273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</row>
    <row r="393" spans="2:29">
      <c r="B393" s="533"/>
      <c r="C393" s="534" t="s">
        <v>66</v>
      </c>
      <c r="D393" s="534" t="s">
        <v>59</v>
      </c>
      <c r="E393" s="534"/>
      <c r="F393" s="534"/>
      <c r="G393" s="535">
        <v>0.01</v>
      </c>
      <c r="H393" s="535"/>
      <c r="I393" s="536">
        <v>0.4</v>
      </c>
      <c r="J393" s="593"/>
      <c r="K393" s="537">
        <v>123</v>
      </c>
      <c r="L393" s="272"/>
      <c r="M393" s="272"/>
      <c r="N393" s="272"/>
      <c r="P393" s="273"/>
      <c r="Q393" s="273"/>
      <c r="R393" s="273"/>
      <c r="S393" s="273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</row>
    <row r="394" spans="2:29">
      <c r="B394" s="538"/>
      <c r="C394" s="539" t="s">
        <v>66</v>
      </c>
      <c r="D394" s="539" t="s">
        <v>55</v>
      </c>
      <c r="E394" s="539"/>
      <c r="F394" s="539"/>
      <c r="G394" s="540">
        <v>0.01</v>
      </c>
      <c r="H394" s="540"/>
      <c r="I394" s="541">
        <v>0.4</v>
      </c>
      <c r="J394" s="600"/>
      <c r="K394" s="542">
        <v>124</v>
      </c>
      <c r="L394" s="272"/>
      <c r="M394" s="272"/>
      <c r="N394" s="272"/>
      <c r="P394" s="273"/>
      <c r="Q394" s="273"/>
      <c r="R394" s="273"/>
      <c r="S394" s="273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</row>
    <row r="395" spans="2:29">
      <c r="B395" s="516"/>
      <c r="C395" s="517" t="s">
        <v>66</v>
      </c>
      <c r="D395" s="517" t="s">
        <v>57</v>
      </c>
      <c r="E395" s="517"/>
      <c r="F395" s="517"/>
      <c r="G395" s="524">
        <v>0.01</v>
      </c>
      <c r="H395" s="524"/>
      <c r="I395" s="526">
        <v>0.4</v>
      </c>
      <c r="J395" s="592"/>
      <c r="K395" s="518">
        <v>124</v>
      </c>
      <c r="L395" s="272"/>
      <c r="M395" s="272"/>
      <c r="N395" s="272"/>
      <c r="P395" s="273"/>
      <c r="Q395" s="273"/>
      <c r="R395" s="273"/>
      <c r="S395" s="273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</row>
    <row r="396" spans="2:29">
      <c r="B396" s="533"/>
      <c r="C396" s="534" t="s">
        <v>66</v>
      </c>
      <c r="D396" s="534" t="s">
        <v>59</v>
      </c>
      <c r="E396" s="534"/>
      <c r="F396" s="534"/>
      <c r="G396" s="535">
        <v>0.01</v>
      </c>
      <c r="H396" s="535"/>
      <c r="I396" s="536">
        <v>0.4</v>
      </c>
      <c r="J396" s="593"/>
      <c r="K396" s="537">
        <v>124</v>
      </c>
      <c r="L396" s="272"/>
      <c r="M396" s="272"/>
      <c r="N396" s="272"/>
      <c r="P396" s="273"/>
      <c r="Q396" s="273"/>
      <c r="R396" s="273"/>
      <c r="S396" s="273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</row>
    <row r="397" spans="2:29">
      <c r="B397" s="516"/>
      <c r="C397" s="517" t="s">
        <v>66</v>
      </c>
      <c r="D397" s="517" t="s">
        <v>55</v>
      </c>
      <c r="E397" s="517"/>
      <c r="F397" s="517"/>
      <c r="G397" s="524">
        <v>0.01</v>
      </c>
      <c r="H397" s="524"/>
      <c r="I397" s="526">
        <v>0.4</v>
      </c>
      <c r="J397" s="592"/>
      <c r="K397" s="518">
        <v>125</v>
      </c>
      <c r="L397" s="272"/>
      <c r="M397" s="272"/>
      <c r="N397" s="272"/>
      <c r="P397" s="273"/>
      <c r="Q397" s="273"/>
      <c r="R397" s="273"/>
      <c r="S397" s="273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</row>
    <row r="398" spans="2:29">
      <c r="B398" s="516"/>
      <c r="C398" s="517" t="s">
        <v>66</v>
      </c>
      <c r="D398" s="517" t="s">
        <v>57</v>
      </c>
      <c r="E398" s="517"/>
      <c r="F398" s="517"/>
      <c r="G398" s="524">
        <v>0.01</v>
      </c>
      <c r="H398" s="524"/>
      <c r="I398" s="526">
        <v>0.4</v>
      </c>
      <c r="J398" s="592"/>
      <c r="K398" s="518">
        <v>125</v>
      </c>
      <c r="L398" s="272"/>
      <c r="M398" s="272"/>
      <c r="N398" s="272"/>
      <c r="P398" s="273"/>
      <c r="Q398" s="273"/>
      <c r="R398" s="273"/>
      <c r="S398" s="273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</row>
    <row r="399" spans="2:29" ht="10.5" thickBot="1">
      <c r="B399" s="519"/>
      <c r="C399" s="520" t="s">
        <v>66</v>
      </c>
      <c r="D399" s="520" t="s">
        <v>59</v>
      </c>
      <c r="E399" s="520"/>
      <c r="F399" s="520"/>
      <c r="G399" s="525">
        <v>0.01</v>
      </c>
      <c r="H399" s="525"/>
      <c r="I399" s="527">
        <v>0.4</v>
      </c>
      <c r="J399" s="601"/>
      <c r="K399" s="521">
        <v>125</v>
      </c>
      <c r="L399" s="272"/>
      <c r="M399" s="272"/>
      <c r="N399" s="272"/>
      <c r="P399" s="273"/>
      <c r="Q399" s="273"/>
      <c r="R399" s="273"/>
      <c r="S399" s="273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</row>
    <row r="400" spans="2:29">
      <c r="D400" s="272"/>
      <c r="E400" s="272"/>
      <c r="F400" s="272"/>
      <c r="G400" s="272"/>
      <c r="H400" s="272"/>
      <c r="I400" s="272"/>
      <c r="J400" s="272"/>
      <c r="K400" s="272"/>
      <c r="L400" s="272"/>
      <c r="M400" s="272"/>
      <c r="N400" s="272"/>
      <c r="P400" s="273"/>
      <c r="Q400" s="273"/>
      <c r="R400" s="273"/>
      <c r="S400" s="273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</row>
    <row r="401" spans="15:19" s="272" customFormat="1">
      <c r="O401" s="273"/>
      <c r="P401" s="273"/>
      <c r="Q401" s="273"/>
      <c r="R401" s="273"/>
      <c r="S401" s="273"/>
    </row>
    <row r="402" spans="15:19" s="272" customFormat="1">
      <c r="O402" s="273"/>
      <c r="P402" s="273"/>
      <c r="Q402" s="273"/>
      <c r="R402" s="273"/>
      <c r="S402" s="273"/>
    </row>
    <row r="403" spans="15:19" s="272" customFormat="1">
      <c r="O403" s="273"/>
      <c r="P403" s="273"/>
      <c r="Q403" s="273"/>
      <c r="R403" s="273"/>
      <c r="S403" s="273"/>
    </row>
    <row r="404" spans="15:19" s="272" customFormat="1">
      <c r="O404" s="273"/>
      <c r="P404" s="273"/>
      <c r="Q404" s="273"/>
      <c r="R404" s="273"/>
      <c r="S404" s="273"/>
    </row>
    <row r="405" spans="15:19" s="272" customFormat="1">
      <c r="O405" s="273"/>
      <c r="P405" s="273"/>
      <c r="Q405" s="273"/>
      <c r="R405" s="273"/>
      <c r="S405" s="273"/>
    </row>
    <row r="406" spans="15:19" s="272" customFormat="1">
      <c r="O406" s="273"/>
      <c r="P406" s="273"/>
      <c r="Q406" s="273"/>
      <c r="R406" s="273"/>
      <c r="S406" s="273"/>
    </row>
    <row r="407" spans="15:19" s="272" customFormat="1">
      <c r="O407" s="273"/>
      <c r="P407" s="273"/>
      <c r="Q407" s="273"/>
      <c r="R407" s="273"/>
      <c r="S407" s="273"/>
    </row>
    <row r="408" spans="15:19" s="272" customFormat="1">
      <c r="O408" s="273"/>
      <c r="P408" s="273"/>
      <c r="Q408" s="273"/>
      <c r="R408" s="273"/>
      <c r="S408" s="273"/>
    </row>
    <row r="409" spans="15:19" s="272" customFormat="1">
      <c r="O409" s="273"/>
      <c r="P409" s="273"/>
      <c r="Q409" s="273"/>
      <c r="R409" s="273"/>
      <c r="S409" s="273"/>
    </row>
    <row r="410" spans="15:19" s="272" customFormat="1">
      <c r="O410" s="273"/>
      <c r="P410" s="273"/>
      <c r="Q410" s="273"/>
      <c r="R410" s="273"/>
      <c r="S410" s="273"/>
    </row>
    <row r="411" spans="15:19" s="272" customFormat="1">
      <c r="O411" s="273"/>
      <c r="P411" s="273"/>
      <c r="Q411" s="273"/>
      <c r="R411" s="273"/>
      <c r="S411" s="273"/>
    </row>
    <row r="412" spans="15:19" s="272" customFormat="1">
      <c r="O412" s="273"/>
      <c r="P412" s="273"/>
      <c r="Q412" s="273"/>
      <c r="R412" s="273"/>
      <c r="S412" s="273"/>
    </row>
    <row r="413" spans="15:19" s="272" customFormat="1">
      <c r="O413" s="273"/>
      <c r="P413" s="273"/>
      <c r="Q413" s="273"/>
      <c r="R413" s="273"/>
      <c r="S413" s="273"/>
    </row>
    <row r="414" spans="15:19" s="272" customFormat="1">
      <c r="O414" s="273"/>
      <c r="P414" s="273"/>
      <c r="Q414" s="273"/>
      <c r="R414" s="273"/>
      <c r="S414" s="273"/>
    </row>
    <row r="415" spans="15:19" s="272" customFormat="1">
      <c r="O415" s="273"/>
      <c r="P415" s="273"/>
      <c r="Q415" s="273"/>
      <c r="R415" s="273"/>
      <c r="S415" s="273"/>
    </row>
    <row r="416" spans="15:19" s="272" customFormat="1">
      <c r="O416" s="273"/>
      <c r="P416" s="273"/>
      <c r="Q416" s="273"/>
      <c r="R416" s="273"/>
      <c r="S416" s="273"/>
    </row>
    <row r="417" spans="15:19" s="272" customFormat="1">
      <c r="O417" s="273"/>
      <c r="P417" s="273"/>
      <c r="Q417" s="273"/>
      <c r="R417" s="273"/>
      <c r="S417" s="273"/>
    </row>
    <row r="418" spans="15:19" s="272" customFormat="1">
      <c r="O418" s="273"/>
      <c r="P418" s="273"/>
      <c r="Q418" s="273"/>
      <c r="R418" s="273"/>
      <c r="S418" s="273"/>
    </row>
    <row r="419" spans="15:19" s="272" customFormat="1">
      <c r="O419" s="273"/>
      <c r="P419" s="273"/>
      <c r="Q419" s="273"/>
      <c r="R419" s="273"/>
      <c r="S419" s="273"/>
    </row>
    <row r="420" spans="15:19" s="272" customFormat="1">
      <c r="O420" s="273"/>
      <c r="P420" s="273"/>
      <c r="Q420" s="273"/>
      <c r="R420" s="273"/>
      <c r="S420" s="273"/>
    </row>
    <row r="421" spans="15:19" s="272" customFormat="1">
      <c r="O421" s="273"/>
      <c r="P421" s="273"/>
      <c r="Q421" s="273"/>
      <c r="R421" s="273"/>
      <c r="S421" s="273"/>
    </row>
    <row r="422" spans="15:19" s="272" customFormat="1">
      <c r="O422" s="273"/>
      <c r="P422" s="273"/>
      <c r="Q422" s="273"/>
      <c r="R422" s="273"/>
      <c r="S422" s="273"/>
    </row>
    <row r="423" spans="15:19" s="272" customFormat="1">
      <c r="O423" s="273"/>
      <c r="P423" s="273"/>
      <c r="Q423" s="273"/>
      <c r="R423" s="273"/>
      <c r="S423" s="273"/>
    </row>
    <row r="424" spans="15:19" s="272" customFormat="1">
      <c r="O424" s="273"/>
      <c r="P424" s="273"/>
      <c r="Q424" s="273"/>
      <c r="R424" s="273"/>
      <c r="S424" s="273"/>
    </row>
    <row r="425" spans="15:19" s="272" customFormat="1">
      <c r="O425" s="273"/>
      <c r="P425" s="273"/>
      <c r="Q425" s="273"/>
      <c r="R425" s="273"/>
      <c r="S425" s="273"/>
    </row>
    <row r="426" spans="15:19" s="272" customFormat="1">
      <c r="O426" s="273"/>
      <c r="P426" s="273"/>
      <c r="Q426" s="273"/>
      <c r="R426" s="273"/>
      <c r="S426" s="273"/>
    </row>
    <row r="427" spans="15:19" s="272" customFormat="1">
      <c r="O427" s="273"/>
      <c r="P427" s="273"/>
      <c r="Q427" s="273"/>
      <c r="R427" s="273"/>
      <c r="S427" s="273"/>
    </row>
    <row r="428" spans="15:19" s="272" customFormat="1">
      <c r="O428" s="273"/>
      <c r="P428" s="273"/>
      <c r="Q428" s="273"/>
      <c r="R428" s="273"/>
      <c r="S428" s="273"/>
    </row>
    <row r="429" spans="15:19" s="272" customFormat="1">
      <c r="O429" s="273"/>
      <c r="P429" s="273"/>
      <c r="Q429" s="273"/>
      <c r="R429" s="273"/>
      <c r="S429" s="273"/>
    </row>
    <row r="430" spans="15:19" s="272" customFormat="1">
      <c r="O430" s="273"/>
      <c r="P430" s="273"/>
      <c r="Q430" s="273"/>
      <c r="R430" s="273"/>
      <c r="S430" s="273"/>
    </row>
    <row r="431" spans="15:19" s="272" customFormat="1">
      <c r="O431" s="273"/>
      <c r="P431" s="273"/>
      <c r="Q431" s="273"/>
      <c r="R431" s="273"/>
      <c r="S431" s="273"/>
    </row>
    <row r="432" spans="15:19" s="272" customFormat="1">
      <c r="O432" s="273"/>
      <c r="P432" s="273"/>
      <c r="Q432" s="273"/>
      <c r="R432" s="273"/>
      <c r="S432" s="273"/>
    </row>
    <row r="433" spans="15:19" s="272" customFormat="1">
      <c r="O433" s="273"/>
      <c r="P433" s="273"/>
      <c r="Q433" s="273"/>
      <c r="R433" s="273"/>
      <c r="S433" s="273"/>
    </row>
    <row r="434" spans="15:19" s="272" customFormat="1">
      <c r="O434" s="273"/>
      <c r="P434" s="273"/>
      <c r="Q434" s="273"/>
      <c r="R434" s="273"/>
      <c r="S434" s="273"/>
    </row>
    <row r="435" spans="15:19" s="272" customFormat="1">
      <c r="O435" s="273"/>
      <c r="P435" s="273"/>
      <c r="Q435" s="273"/>
      <c r="R435" s="273"/>
      <c r="S435" s="273"/>
    </row>
    <row r="436" spans="15:19" s="272" customFormat="1">
      <c r="O436" s="273"/>
      <c r="P436" s="273"/>
      <c r="Q436" s="273"/>
      <c r="R436" s="273"/>
      <c r="S436" s="273"/>
    </row>
    <row r="437" spans="15:19" s="272" customFormat="1">
      <c r="O437" s="273"/>
      <c r="P437" s="273"/>
      <c r="Q437" s="273"/>
      <c r="R437" s="273"/>
      <c r="S437" s="273"/>
    </row>
    <row r="438" spans="15:19" s="272" customFormat="1">
      <c r="O438" s="273"/>
      <c r="P438" s="273"/>
      <c r="Q438" s="273"/>
      <c r="R438" s="273"/>
      <c r="S438" s="273"/>
    </row>
    <row r="439" spans="15:19" s="272" customFormat="1">
      <c r="O439" s="273"/>
      <c r="P439" s="273"/>
      <c r="Q439" s="273"/>
      <c r="R439" s="273"/>
      <c r="S439" s="273"/>
    </row>
    <row r="440" spans="15:19" s="272" customFormat="1">
      <c r="O440" s="273"/>
      <c r="P440" s="273"/>
      <c r="Q440" s="273"/>
      <c r="R440" s="273"/>
      <c r="S440" s="273"/>
    </row>
    <row r="441" spans="15:19" s="272" customFormat="1">
      <c r="O441" s="273"/>
      <c r="P441" s="273"/>
      <c r="Q441" s="273"/>
      <c r="R441" s="273"/>
      <c r="S441" s="273"/>
    </row>
    <row r="442" spans="15:19" s="272" customFormat="1">
      <c r="O442" s="273"/>
      <c r="P442" s="273"/>
      <c r="Q442" s="273"/>
      <c r="R442" s="273"/>
      <c r="S442" s="273"/>
    </row>
    <row r="443" spans="15:19" s="272" customFormat="1">
      <c r="O443" s="273"/>
      <c r="P443" s="273"/>
      <c r="Q443" s="273"/>
      <c r="R443" s="273"/>
      <c r="S443" s="273"/>
    </row>
    <row r="444" spans="15:19" s="272" customFormat="1">
      <c r="O444" s="273"/>
      <c r="P444" s="273"/>
      <c r="Q444" s="273"/>
      <c r="R444" s="273"/>
      <c r="S444" s="273"/>
    </row>
    <row r="445" spans="15:19" s="272" customFormat="1">
      <c r="O445" s="273"/>
      <c r="P445" s="273"/>
      <c r="Q445" s="273"/>
      <c r="R445" s="273"/>
      <c r="S445" s="273"/>
    </row>
    <row r="446" spans="15:19" s="272" customFormat="1">
      <c r="O446" s="273"/>
      <c r="P446" s="273"/>
      <c r="Q446" s="273"/>
      <c r="R446" s="273"/>
      <c r="S446" s="273"/>
    </row>
    <row r="447" spans="15:19" s="272" customFormat="1">
      <c r="O447" s="273"/>
      <c r="P447" s="273"/>
      <c r="Q447" s="273"/>
      <c r="R447" s="273"/>
      <c r="S447" s="273"/>
    </row>
    <row r="448" spans="15:19" s="272" customFormat="1">
      <c r="O448" s="273"/>
      <c r="P448" s="273"/>
      <c r="Q448" s="273"/>
      <c r="R448" s="273"/>
      <c r="S448" s="273"/>
    </row>
    <row r="449" spans="15:19" s="272" customFormat="1">
      <c r="O449" s="273"/>
      <c r="P449" s="273"/>
      <c r="Q449" s="273"/>
      <c r="R449" s="273"/>
      <c r="S449" s="273"/>
    </row>
    <row r="450" spans="15:19" s="272" customFormat="1">
      <c r="O450" s="273"/>
      <c r="P450" s="273"/>
      <c r="Q450" s="273"/>
      <c r="R450" s="273"/>
      <c r="S450" s="273"/>
    </row>
    <row r="451" spans="15:19" s="272" customFormat="1">
      <c r="O451" s="273"/>
      <c r="P451" s="273"/>
      <c r="Q451" s="273"/>
      <c r="R451" s="273"/>
      <c r="S451" s="273"/>
    </row>
    <row r="452" spans="15:19" s="272" customFormat="1">
      <c r="O452" s="273"/>
      <c r="P452" s="273"/>
      <c r="Q452" s="273"/>
      <c r="R452" s="273"/>
      <c r="S452" s="273"/>
    </row>
    <row r="453" spans="15:19" s="272" customFormat="1">
      <c r="O453" s="273"/>
      <c r="P453" s="273"/>
      <c r="Q453" s="273"/>
      <c r="R453" s="273"/>
      <c r="S453" s="273"/>
    </row>
    <row r="454" spans="15:19" s="272" customFormat="1">
      <c r="O454" s="273"/>
      <c r="P454" s="273"/>
      <c r="Q454" s="273"/>
      <c r="R454" s="273"/>
      <c r="S454" s="273"/>
    </row>
    <row r="455" spans="15:19" s="272" customFormat="1">
      <c r="O455" s="273"/>
      <c r="P455" s="273"/>
      <c r="Q455" s="273"/>
      <c r="R455" s="273"/>
      <c r="S455" s="273"/>
    </row>
    <row r="456" spans="15:19" s="272" customFormat="1">
      <c r="O456" s="273"/>
      <c r="P456" s="273"/>
      <c r="Q456" s="273"/>
      <c r="R456" s="273"/>
      <c r="S456" s="273"/>
    </row>
    <row r="457" spans="15:19" s="272" customFormat="1">
      <c r="O457" s="273"/>
      <c r="P457" s="273"/>
      <c r="Q457" s="273"/>
      <c r="R457" s="273"/>
      <c r="S457" s="273"/>
    </row>
    <row r="458" spans="15:19" s="272" customFormat="1">
      <c r="O458" s="273"/>
      <c r="P458" s="273"/>
      <c r="Q458" s="273"/>
      <c r="R458" s="273"/>
      <c r="S458" s="273"/>
    </row>
    <row r="459" spans="15:19" s="272" customFormat="1">
      <c r="O459" s="273"/>
      <c r="P459" s="273"/>
      <c r="Q459" s="273"/>
      <c r="R459" s="273"/>
      <c r="S459" s="273"/>
    </row>
    <row r="460" spans="15:19" s="272" customFormat="1">
      <c r="O460" s="273"/>
      <c r="P460" s="273"/>
      <c r="Q460" s="273"/>
      <c r="R460" s="273"/>
      <c r="S460" s="273"/>
    </row>
    <row r="461" spans="15:19" s="272" customFormat="1">
      <c r="O461" s="273"/>
      <c r="P461" s="273"/>
      <c r="Q461" s="273"/>
      <c r="R461" s="273"/>
      <c r="S461" s="273"/>
    </row>
    <row r="462" spans="15:19" s="272" customFormat="1">
      <c r="O462" s="273"/>
      <c r="P462" s="273"/>
      <c r="Q462" s="273"/>
      <c r="R462" s="273"/>
      <c r="S462" s="273"/>
    </row>
    <row r="463" spans="15:19" s="272" customFormat="1">
      <c r="O463" s="273"/>
      <c r="P463" s="273"/>
      <c r="Q463" s="273"/>
      <c r="R463" s="273"/>
      <c r="S463" s="273"/>
    </row>
    <row r="464" spans="15:19" s="272" customFormat="1">
      <c r="O464" s="273"/>
      <c r="P464" s="273"/>
      <c r="Q464" s="273"/>
      <c r="R464" s="273"/>
      <c r="S464" s="273"/>
    </row>
    <row r="465" spans="15:19" s="272" customFormat="1">
      <c r="O465" s="273"/>
      <c r="P465" s="273"/>
      <c r="Q465" s="273"/>
      <c r="R465" s="273"/>
      <c r="S465" s="273"/>
    </row>
    <row r="466" spans="15:19" s="272" customFormat="1">
      <c r="O466" s="273"/>
      <c r="P466" s="273"/>
      <c r="Q466" s="273"/>
      <c r="R466" s="273"/>
      <c r="S466" s="273"/>
    </row>
    <row r="467" spans="15:19" s="272" customFormat="1">
      <c r="O467" s="273"/>
      <c r="P467" s="273"/>
      <c r="Q467" s="273"/>
      <c r="R467" s="273"/>
      <c r="S467" s="273"/>
    </row>
    <row r="468" spans="15:19" s="272" customFormat="1">
      <c r="O468" s="273"/>
      <c r="P468" s="273"/>
      <c r="Q468" s="273"/>
      <c r="R468" s="273"/>
      <c r="S468" s="273"/>
    </row>
    <row r="469" spans="15:19" s="272" customFormat="1">
      <c r="O469" s="273"/>
      <c r="P469" s="273"/>
      <c r="Q469" s="273"/>
      <c r="R469" s="273"/>
      <c r="S469" s="273"/>
    </row>
    <row r="470" spans="15:19" s="272" customFormat="1">
      <c r="O470" s="273"/>
      <c r="P470" s="273"/>
      <c r="Q470" s="273"/>
      <c r="R470" s="273"/>
      <c r="S470" s="273"/>
    </row>
    <row r="471" spans="15:19" s="272" customFormat="1">
      <c r="O471" s="273"/>
      <c r="P471" s="273"/>
      <c r="Q471" s="273"/>
      <c r="R471" s="273"/>
      <c r="S471" s="273"/>
    </row>
    <row r="472" spans="15:19" s="272" customFormat="1">
      <c r="O472" s="273"/>
      <c r="P472" s="273"/>
      <c r="Q472" s="273"/>
      <c r="R472" s="273"/>
      <c r="S472" s="273"/>
    </row>
    <row r="473" spans="15:19" s="272" customFormat="1">
      <c r="O473" s="273"/>
      <c r="P473" s="273"/>
      <c r="Q473" s="273"/>
      <c r="R473" s="273"/>
      <c r="S473" s="273"/>
    </row>
    <row r="474" spans="15:19" s="272" customFormat="1">
      <c r="O474" s="273"/>
      <c r="P474" s="273"/>
      <c r="Q474" s="273"/>
      <c r="R474" s="273"/>
      <c r="S474" s="273"/>
    </row>
    <row r="475" spans="15:19" s="272" customFormat="1">
      <c r="O475" s="273"/>
      <c r="P475" s="273"/>
      <c r="Q475" s="273"/>
      <c r="R475" s="273"/>
      <c r="S475" s="273"/>
    </row>
    <row r="476" spans="15:19" s="272" customFormat="1">
      <c r="O476" s="273"/>
      <c r="P476" s="273"/>
      <c r="Q476" s="273"/>
      <c r="R476" s="273"/>
      <c r="S476" s="273"/>
    </row>
    <row r="477" spans="15:19" s="272" customFormat="1">
      <c r="O477" s="273"/>
      <c r="P477" s="273"/>
      <c r="Q477" s="273"/>
      <c r="R477" s="273"/>
      <c r="S477" s="273"/>
    </row>
    <row r="478" spans="15:19" s="272" customFormat="1">
      <c r="O478" s="273"/>
      <c r="P478" s="273"/>
      <c r="Q478" s="273"/>
      <c r="R478" s="273"/>
      <c r="S478" s="273"/>
    </row>
    <row r="479" spans="15:19" s="272" customFormat="1">
      <c r="O479" s="273"/>
      <c r="P479" s="273"/>
      <c r="Q479" s="273"/>
      <c r="R479" s="273"/>
      <c r="S479" s="273"/>
    </row>
    <row r="480" spans="15:19" s="272" customFormat="1">
      <c r="O480" s="273"/>
      <c r="P480" s="273"/>
      <c r="Q480" s="273"/>
      <c r="R480" s="273"/>
      <c r="S480" s="273"/>
    </row>
    <row r="481" spans="15:19" s="272" customFormat="1">
      <c r="O481" s="273"/>
      <c r="P481" s="273"/>
      <c r="Q481" s="273"/>
      <c r="R481" s="273"/>
      <c r="S481" s="273"/>
    </row>
    <row r="482" spans="15:19" s="272" customFormat="1">
      <c r="O482" s="273"/>
      <c r="P482" s="273"/>
      <c r="Q482" s="273"/>
      <c r="R482" s="273"/>
      <c r="S482" s="273"/>
    </row>
    <row r="483" spans="15:19" s="272" customFormat="1">
      <c r="O483" s="273"/>
      <c r="P483" s="273"/>
      <c r="Q483" s="273"/>
      <c r="R483" s="273"/>
      <c r="S483" s="273"/>
    </row>
    <row r="484" spans="15:19" s="272" customFormat="1">
      <c r="O484" s="273"/>
      <c r="P484" s="273"/>
      <c r="Q484" s="273"/>
      <c r="R484" s="273"/>
      <c r="S484" s="273"/>
    </row>
    <row r="485" spans="15:19" s="272" customFormat="1">
      <c r="O485" s="273"/>
      <c r="P485" s="273"/>
      <c r="Q485" s="273"/>
      <c r="R485" s="273"/>
      <c r="S485" s="273"/>
    </row>
    <row r="486" spans="15:19" s="272" customFormat="1">
      <c r="O486" s="273"/>
      <c r="P486" s="273"/>
      <c r="Q486" s="273"/>
      <c r="R486" s="273"/>
      <c r="S486" s="273"/>
    </row>
    <row r="487" spans="15:19" s="272" customFormat="1">
      <c r="O487" s="273"/>
      <c r="P487" s="273"/>
      <c r="Q487" s="273"/>
      <c r="R487" s="273"/>
      <c r="S487" s="273"/>
    </row>
    <row r="488" spans="15:19" s="272" customFormat="1">
      <c r="O488" s="273"/>
      <c r="P488" s="273"/>
      <c r="Q488" s="273"/>
      <c r="R488" s="273"/>
      <c r="S488" s="273"/>
    </row>
    <row r="489" spans="15:19" s="272" customFormat="1">
      <c r="O489" s="273"/>
      <c r="P489" s="273"/>
      <c r="Q489" s="273"/>
      <c r="R489" s="273"/>
      <c r="S489" s="273"/>
    </row>
    <row r="490" spans="15:19" s="272" customFormat="1">
      <c r="O490" s="273"/>
      <c r="P490" s="273"/>
      <c r="Q490" s="273"/>
      <c r="R490" s="273"/>
      <c r="S490" s="273"/>
    </row>
    <row r="491" spans="15:19" s="272" customFormat="1">
      <c r="O491" s="273"/>
      <c r="P491" s="273"/>
      <c r="Q491" s="273"/>
      <c r="R491" s="273"/>
      <c r="S491" s="273"/>
    </row>
    <row r="492" spans="15:19" s="272" customFormat="1">
      <c r="O492" s="273"/>
      <c r="P492" s="273"/>
      <c r="Q492" s="273"/>
      <c r="R492" s="273"/>
      <c r="S492" s="273"/>
    </row>
    <row r="493" spans="15:19" s="272" customFormat="1">
      <c r="O493" s="273"/>
      <c r="P493" s="273"/>
      <c r="Q493" s="273"/>
      <c r="R493" s="273"/>
      <c r="S493" s="273"/>
    </row>
    <row r="494" spans="15:19" s="272" customFormat="1">
      <c r="O494" s="273"/>
      <c r="P494" s="273"/>
      <c r="Q494" s="273"/>
      <c r="R494" s="273"/>
      <c r="S494" s="273"/>
    </row>
    <row r="495" spans="15:19" s="272" customFormat="1">
      <c r="O495" s="273"/>
      <c r="P495" s="273"/>
      <c r="Q495" s="273"/>
      <c r="R495" s="273"/>
      <c r="S495" s="273"/>
    </row>
    <row r="496" spans="15:19" s="272" customFormat="1">
      <c r="O496" s="273"/>
      <c r="P496" s="273"/>
      <c r="Q496" s="273"/>
      <c r="R496" s="273"/>
      <c r="S496" s="273"/>
    </row>
    <row r="497" spans="15:19" s="272" customFormat="1">
      <c r="O497" s="273"/>
      <c r="P497" s="273"/>
      <c r="Q497" s="273"/>
      <c r="R497" s="273"/>
      <c r="S497" s="273"/>
    </row>
    <row r="498" spans="15:19" s="272" customFormat="1">
      <c r="O498" s="273"/>
      <c r="P498" s="273"/>
      <c r="Q498" s="273"/>
      <c r="R498" s="273"/>
      <c r="S498" s="273"/>
    </row>
    <row r="499" spans="15:19" s="272" customFormat="1">
      <c r="O499" s="273"/>
      <c r="P499" s="273"/>
      <c r="Q499" s="273"/>
      <c r="R499" s="273"/>
      <c r="S499" s="273"/>
    </row>
    <row r="500" spans="15:19" s="272" customFormat="1">
      <c r="O500" s="273"/>
      <c r="P500" s="273"/>
      <c r="Q500" s="273"/>
      <c r="R500" s="273"/>
      <c r="S500" s="273"/>
    </row>
    <row r="501" spans="15:19" s="272" customFormat="1">
      <c r="O501" s="273"/>
      <c r="P501" s="273"/>
      <c r="Q501" s="273"/>
      <c r="R501" s="273"/>
      <c r="S501" s="273"/>
    </row>
    <row r="502" spans="15:19" s="272" customFormat="1">
      <c r="O502" s="273"/>
      <c r="P502" s="273"/>
      <c r="Q502" s="273"/>
      <c r="R502" s="273"/>
      <c r="S502" s="273"/>
    </row>
    <row r="503" spans="15:19" s="272" customFormat="1">
      <c r="O503" s="273"/>
      <c r="P503" s="273"/>
      <c r="Q503" s="273"/>
      <c r="R503" s="273"/>
      <c r="S503" s="273"/>
    </row>
    <row r="504" spans="15:19" s="272" customFormat="1">
      <c r="O504" s="273"/>
      <c r="P504" s="273"/>
      <c r="Q504" s="273"/>
      <c r="R504" s="273"/>
      <c r="S504" s="273"/>
    </row>
    <row r="505" spans="15:19" s="272" customFormat="1">
      <c r="O505" s="273"/>
      <c r="P505" s="273"/>
      <c r="Q505" s="273"/>
      <c r="R505" s="273"/>
      <c r="S505" s="273"/>
    </row>
    <row r="506" spans="15:19" s="272" customFormat="1">
      <c r="O506" s="273"/>
      <c r="P506" s="273"/>
      <c r="Q506" s="273"/>
      <c r="R506" s="273"/>
      <c r="S506" s="273"/>
    </row>
    <row r="507" spans="15:19" s="272" customFormat="1">
      <c r="O507" s="273"/>
      <c r="P507" s="273"/>
      <c r="Q507" s="273"/>
      <c r="R507" s="273"/>
      <c r="S507" s="273"/>
    </row>
    <row r="508" spans="15:19" s="272" customFormat="1">
      <c r="O508" s="273"/>
      <c r="P508" s="273"/>
      <c r="Q508" s="273"/>
      <c r="R508" s="273"/>
      <c r="S508" s="273"/>
    </row>
    <row r="509" spans="15:19" s="272" customFormat="1">
      <c r="O509" s="273"/>
      <c r="P509" s="273"/>
      <c r="Q509" s="273"/>
      <c r="R509" s="273"/>
      <c r="S509" s="273"/>
    </row>
    <row r="510" spans="15:19" s="272" customFormat="1">
      <c r="O510" s="273"/>
      <c r="P510" s="273"/>
      <c r="Q510" s="273"/>
      <c r="R510" s="273"/>
      <c r="S510" s="273"/>
    </row>
    <row r="511" spans="15:19" s="272" customFormat="1">
      <c r="O511" s="273"/>
      <c r="P511" s="273"/>
      <c r="Q511" s="273"/>
      <c r="R511" s="273"/>
      <c r="S511" s="273"/>
    </row>
    <row r="512" spans="15:19" s="272" customFormat="1">
      <c r="O512" s="273"/>
      <c r="P512" s="273"/>
      <c r="Q512" s="273"/>
      <c r="R512" s="273"/>
      <c r="S512" s="273"/>
    </row>
    <row r="513" spans="15:19" s="272" customFormat="1">
      <c r="O513" s="273"/>
      <c r="P513" s="273"/>
      <c r="Q513" s="273"/>
      <c r="R513" s="273"/>
      <c r="S513" s="273"/>
    </row>
    <row r="514" spans="15:19" s="272" customFormat="1">
      <c r="O514" s="273"/>
      <c r="P514" s="273"/>
      <c r="Q514" s="273"/>
      <c r="R514" s="273"/>
      <c r="S514" s="273"/>
    </row>
    <row r="515" spans="15:19" s="272" customFormat="1">
      <c r="P515" s="273"/>
      <c r="Q515" s="273"/>
      <c r="R515" s="273"/>
      <c r="S515" s="273"/>
    </row>
    <row r="516" spans="15:19" s="272" customFormat="1">
      <c r="P516" s="273"/>
      <c r="Q516" s="273"/>
      <c r="R516" s="273"/>
      <c r="S516" s="273"/>
    </row>
    <row r="517" spans="15:19" s="272" customFormat="1">
      <c r="P517" s="273"/>
      <c r="Q517" s="273"/>
      <c r="R517" s="273"/>
      <c r="S517" s="273"/>
    </row>
    <row r="518" spans="15:19" s="272" customFormat="1">
      <c r="P518" s="273"/>
      <c r="Q518" s="273"/>
      <c r="R518" s="273"/>
      <c r="S518" s="273"/>
    </row>
    <row r="519" spans="15:19" s="272" customFormat="1">
      <c r="P519" s="273"/>
      <c r="Q519" s="273"/>
      <c r="R519" s="273"/>
      <c r="S519" s="273"/>
    </row>
    <row r="520" spans="15:19" s="272" customFormat="1">
      <c r="P520" s="273"/>
      <c r="Q520" s="273"/>
      <c r="R520" s="273"/>
      <c r="S520" s="273"/>
    </row>
    <row r="521" spans="15:19" s="272" customFormat="1">
      <c r="P521" s="273"/>
      <c r="Q521" s="273"/>
      <c r="R521" s="273"/>
      <c r="S521" s="273"/>
    </row>
    <row r="522" spans="15:19" s="272" customFormat="1">
      <c r="P522" s="273"/>
      <c r="Q522" s="273"/>
      <c r="R522" s="273"/>
      <c r="S522" s="273"/>
    </row>
    <row r="523" spans="15:19" s="272" customFormat="1">
      <c r="P523" s="273"/>
      <c r="Q523" s="273"/>
      <c r="R523" s="273"/>
      <c r="S523" s="273"/>
    </row>
    <row r="524" spans="15:19" s="272" customFormat="1">
      <c r="P524" s="273"/>
      <c r="Q524" s="273"/>
      <c r="R524" s="273"/>
      <c r="S524" s="273"/>
    </row>
    <row r="525" spans="15:19" s="272" customFormat="1">
      <c r="P525" s="273"/>
      <c r="Q525" s="273"/>
      <c r="R525" s="273"/>
      <c r="S525" s="273"/>
    </row>
    <row r="526" spans="15:19" s="272" customFormat="1">
      <c r="P526" s="273"/>
      <c r="Q526" s="273"/>
      <c r="R526" s="273"/>
      <c r="S526" s="273"/>
    </row>
    <row r="527" spans="15:19" s="272" customFormat="1">
      <c r="P527" s="273"/>
      <c r="Q527" s="273"/>
      <c r="R527" s="273"/>
      <c r="S527" s="273"/>
    </row>
    <row r="528" spans="15:19" s="272" customFormat="1">
      <c r="P528" s="273"/>
      <c r="Q528" s="273"/>
      <c r="R528" s="273"/>
      <c r="S528" s="273"/>
    </row>
    <row r="529" spans="16:19" s="272" customFormat="1">
      <c r="P529" s="273"/>
      <c r="Q529" s="273"/>
      <c r="R529" s="273"/>
      <c r="S529" s="273"/>
    </row>
    <row r="530" spans="16:19" s="272" customFormat="1">
      <c r="P530" s="273"/>
      <c r="Q530" s="273"/>
      <c r="R530" s="273"/>
      <c r="S530" s="273"/>
    </row>
    <row r="531" spans="16:19" s="272" customFormat="1">
      <c r="P531" s="273"/>
      <c r="Q531" s="273"/>
      <c r="R531" s="273"/>
      <c r="S531" s="273"/>
    </row>
    <row r="532" spans="16:19" s="272" customFormat="1">
      <c r="P532" s="273"/>
      <c r="Q532" s="273"/>
      <c r="R532" s="273"/>
      <c r="S532" s="273"/>
    </row>
    <row r="533" spans="16:19" s="272" customFormat="1">
      <c r="P533" s="273"/>
      <c r="Q533" s="273"/>
      <c r="R533" s="273"/>
      <c r="S533" s="273"/>
    </row>
    <row r="534" spans="16:19" s="272" customFormat="1">
      <c r="P534" s="273"/>
      <c r="Q534" s="273"/>
      <c r="R534" s="273"/>
      <c r="S534" s="273"/>
    </row>
    <row r="535" spans="16:19" s="272" customFormat="1">
      <c r="P535" s="273"/>
      <c r="Q535" s="273"/>
      <c r="R535" s="273"/>
      <c r="S535" s="273"/>
    </row>
    <row r="536" spans="16:19" s="272" customFormat="1">
      <c r="P536" s="273"/>
      <c r="Q536" s="273"/>
      <c r="R536" s="273"/>
      <c r="S536" s="273"/>
    </row>
    <row r="537" spans="16:19" s="272" customFormat="1">
      <c r="P537" s="273"/>
      <c r="Q537" s="273"/>
      <c r="R537" s="273"/>
      <c r="S537" s="273"/>
    </row>
    <row r="538" spans="16:19" s="272" customFormat="1">
      <c r="P538" s="273"/>
      <c r="Q538" s="273"/>
      <c r="R538" s="273"/>
      <c r="S538" s="273"/>
    </row>
    <row r="539" spans="16:19" s="272" customFormat="1">
      <c r="P539" s="273"/>
      <c r="Q539" s="273"/>
      <c r="R539" s="273"/>
      <c r="S539" s="273"/>
    </row>
    <row r="540" spans="16:19" s="272" customFormat="1">
      <c r="P540" s="273"/>
      <c r="Q540" s="273"/>
      <c r="R540" s="273"/>
      <c r="S540" s="273"/>
    </row>
    <row r="541" spans="16:19" s="272" customFormat="1">
      <c r="P541" s="273"/>
      <c r="Q541" s="273"/>
      <c r="R541" s="273"/>
      <c r="S541" s="273"/>
    </row>
    <row r="542" spans="16:19" s="272" customFormat="1">
      <c r="P542" s="273"/>
      <c r="Q542" s="273"/>
      <c r="R542" s="273"/>
      <c r="S542" s="273"/>
    </row>
    <row r="543" spans="16:19" s="272" customFormat="1">
      <c r="P543" s="273"/>
      <c r="Q543" s="273"/>
      <c r="R543" s="273"/>
      <c r="S543" s="273"/>
    </row>
    <row r="544" spans="16:19" s="272" customFormat="1">
      <c r="P544" s="273"/>
      <c r="Q544" s="273"/>
      <c r="R544" s="273"/>
      <c r="S544" s="273"/>
    </row>
    <row r="545" spans="16:19" s="272" customFormat="1">
      <c r="P545" s="273"/>
      <c r="Q545" s="273"/>
      <c r="R545" s="273"/>
      <c r="S545" s="273"/>
    </row>
    <row r="546" spans="16:19" s="272" customFormat="1">
      <c r="P546" s="273"/>
      <c r="Q546" s="273"/>
      <c r="R546" s="273"/>
      <c r="S546" s="273"/>
    </row>
    <row r="547" spans="16:19" s="272" customFormat="1">
      <c r="P547" s="273"/>
      <c r="Q547" s="273"/>
      <c r="R547" s="273"/>
      <c r="S547" s="273"/>
    </row>
    <row r="548" spans="16:19" s="272" customFormat="1">
      <c r="P548" s="273"/>
      <c r="Q548" s="273"/>
      <c r="R548" s="273"/>
      <c r="S548" s="273"/>
    </row>
    <row r="549" spans="16:19" s="272" customFormat="1">
      <c r="P549" s="273"/>
      <c r="Q549" s="273"/>
      <c r="R549" s="273"/>
      <c r="S549" s="273"/>
    </row>
    <row r="550" spans="16:19" s="272" customFormat="1">
      <c r="P550" s="273"/>
      <c r="Q550" s="273"/>
      <c r="R550" s="273"/>
      <c r="S550" s="273"/>
    </row>
    <row r="551" spans="16:19" s="272" customFormat="1">
      <c r="P551" s="273"/>
      <c r="Q551" s="273"/>
      <c r="R551" s="273"/>
      <c r="S551" s="273"/>
    </row>
    <row r="552" spans="16:19" s="272" customFormat="1">
      <c r="P552" s="273"/>
      <c r="Q552" s="273"/>
      <c r="R552" s="273"/>
      <c r="S552" s="273"/>
    </row>
    <row r="553" spans="16:19" s="272" customFormat="1">
      <c r="P553" s="273"/>
      <c r="Q553" s="273"/>
      <c r="R553" s="273"/>
      <c r="S553" s="273"/>
    </row>
    <row r="554" spans="16:19" s="272" customFormat="1">
      <c r="P554" s="273"/>
      <c r="Q554" s="273"/>
      <c r="R554" s="273"/>
      <c r="S554" s="273"/>
    </row>
    <row r="555" spans="16:19" s="272" customFormat="1">
      <c r="P555" s="273"/>
      <c r="Q555" s="273"/>
      <c r="R555" s="273"/>
      <c r="S555" s="273"/>
    </row>
    <row r="556" spans="16:19" s="272" customFormat="1">
      <c r="P556" s="273"/>
      <c r="Q556" s="273"/>
      <c r="R556" s="273"/>
      <c r="S556" s="273"/>
    </row>
    <row r="557" spans="16:19" s="272" customFormat="1">
      <c r="P557" s="273"/>
      <c r="Q557" s="273"/>
      <c r="R557" s="273"/>
      <c r="S557" s="273"/>
    </row>
    <row r="558" spans="16:19" s="272" customFormat="1">
      <c r="P558" s="273"/>
      <c r="Q558" s="273"/>
      <c r="R558" s="273"/>
      <c r="S558" s="273"/>
    </row>
    <row r="559" spans="16:19" s="272" customFormat="1">
      <c r="P559" s="273"/>
      <c r="Q559" s="273"/>
      <c r="R559" s="273"/>
      <c r="S559" s="273"/>
    </row>
    <row r="560" spans="16:19" s="272" customFormat="1">
      <c r="P560" s="273"/>
      <c r="Q560" s="273"/>
      <c r="R560" s="273"/>
      <c r="S560" s="273"/>
    </row>
    <row r="561" spans="16:19" s="272" customFormat="1">
      <c r="P561" s="273"/>
      <c r="Q561" s="273"/>
      <c r="R561" s="273"/>
      <c r="S561" s="273"/>
    </row>
    <row r="562" spans="16:19" s="272" customFormat="1">
      <c r="P562" s="273"/>
      <c r="Q562" s="273"/>
      <c r="R562" s="273"/>
      <c r="S562" s="273"/>
    </row>
    <row r="563" spans="16:19" s="272" customFormat="1">
      <c r="P563" s="273"/>
      <c r="Q563" s="273"/>
      <c r="R563" s="273"/>
      <c r="S563" s="273"/>
    </row>
    <row r="564" spans="16:19" s="272" customFormat="1">
      <c r="P564" s="273"/>
      <c r="Q564" s="273"/>
      <c r="R564" s="273"/>
      <c r="S564" s="273"/>
    </row>
    <row r="565" spans="16:19" s="272" customFormat="1">
      <c r="P565" s="273"/>
      <c r="Q565" s="273"/>
      <c r="R565" s="273"/>
      <c r="S565" s="273"/>
    </row>
    <row r="566" spans="16:19" s="272" customFormat="1">
      <c r="P566" s="273"/>
      <c r="Q566" s="273"/>
      <c r="R566" s="273"/>
      <c r="S566" s="273"/>
    </row>
    <row r="567" spans="16:19" s="272" customFormat="1">
      <c r="P567" s="273"/>
      <c r="Q567" s="273"/>
      <c r="R567" s="273"/>
      <c r="S567" s="273"/>
    </row>
    <row r="568" spans="16:19" s="272" customFormat="1">
      <c r="P568" s="273"/>
      <c r="Q568" s="273"/>
      <c r="R568" s="273"/>
      <c r="S568" s="273"/>
    </row>
    <row r="569" spans="16:19" s="272" customFormat="1">
      <c r="P569" s="273"/>
      <c r="Q569" s="273"/>
      <c r="R569" s="273"/>
      <c r="S569" s="273"/>
    </row>
    <row r="570" spans="16:19" s="272" customFormat="1">
      <c r="P570" s="273"/>
      <c r="Q570" s="273"/>
      <c r="R570" s="273"/>
      <c r="S570" s="273"/>
    </row>
    <row r="571" spans="16:19" s="272" customFormat="1">
      <c r="P571" s="273"/>
      <c r="Q571" s="273"/>
      <c r="R571" s="273"/>
      <c r="S571" s="273"/>
    </row>
    <row r="572" spans="16:19" s="272" customFormat="1">
      <c r="P572" s="273"/>
      <c r="Q572" s="273"/>
      <c r="R572" s="273"/>
      <c r="S572" s="273"/>
    </row>
    <row r="573" spans="16:19" s="272" customFormat="1">
      <c r="P573" s="273"/>
      <c r="Q573" s="273"/>
      <c r="R573" s="273"/>
      <c r="S573" s="273"/>
    </row>
    <row r="574" spans="16:19" s="272" customFormat="1">
      <c r="P574" s="273"/>
      <c r="Q574" s="273"/>
      <c r="R574" s="273"/>
      <c r="S574" s="273"/>
    </row>
    <row r="575" spans="16:19" s="272" customFormat="1">
      <c r="P575" s="273"/>
      <c r="Q575" s="273"/>
      <c r="R575" s="273"/>
      <c r="S575" s="273"/>
    </row>
    <row r="576" spans="16:19" s="272" customFormat="1">
      <c r="P576" s="273"/>
      <c r="Q576" s="273"/>
      <c r="R576" s="273"/>
      <c r="S576" s="273"/>
    </row>
    <row r="577" spans="16:19" s="272" customFormat="1">
      <c r="P577" s="273"/>
      <c r="Q577" s="273"/>
      <c r="R577" s="273"/>
      <c r="S577" s="273"/>
    </row>
    <row r="578" spans="16:19" s="272" customFormat="1">
      <c r="P578" s="273"/>
      <c r="Q578" s="273"/>
      <c r="R578" s="273"/>
      <c r="S578" s="273"/>
    </row>
    <row r="579" spans="16:19" s="272" customFormat="1">
      <c r="P579" s="273"/>
      <c r="Q579" s="273"/>
      <c r="R579" s="273"/>
      <c r="S579" s="273"/>
    </row>
    <row r="580" spans="16:19" s="272" customFormat="1">
      <c r="P580" s="273"/>
      <c r="Q580" s="273"/>
      <c r="R580" s="273"/>
      <c r="S580" s="273"/>
    </row>
    <row r="581" spans="16:19" s="272" customFormat="1">
      <c r="P581" s="273"/>
      <c r="Q581" s="273"/>
      <c r="R581" s="273"/>
      <c r="S581" s="273"/>
    </row>
    <row r="582" spans="16:19" s="272" customFormat="1">
      <c r="P582" s="273"/>
      <c r="Q582" s="273"/>
      <c r="R582" s="273"/>
      <c r="S582" s="273"/>
    </row>
    <row r="583" spans="16:19" s="272" customFormat="1">
      <c r="P583" s="273"/>
      <c r="Q583" s="273"/>
      <c r="R583" s="273"/>
      <c r="S583" s="273"/>
    </row>
    <row r="584" spans="16:19" s="272" customFormat="1">
      <c r="P584" s="273"/>
      <c r="Q584" s="273"/>
      <c r="R584" s="273"/>
      <c r="S584" s="273"/>
    </row>
    <row r="585" spans="16:19" s="272" customFormat="1">
      <c r="P585" s="273"/>
      <c r="Q585" s="273"/>
      <c r="R585" s="273"/>
      <c r="S585" s="273"/>
    </row>
    <row r="586" spans="16:19" s="272" customFormat="1">
      <c r="P586" s="273"/>
      <c r="Q586" s="273"/>
      <c r="R586" s="273"/>
      <c r="S586" s="273"/>
    </row>
    <row r="587" spans="16:19" s="272" customFormat="1">
      <c r="P587" s="273"/>
      <c r="Q587" s="273"/>
      <c r="R587" s="273"/>
      <c r="S587" s="273"/>
    </row>
    <row r="588" spans="16:19" s="272" customFormat="1">
      <c r="P588" s="273"/>
      <c r="Q588" s="273"/>
      <c r="R588" s="273"/>
      <c r="S588" s="273"/>
    </row>
    <row r="589" spans="16:19" s="272" customFormat="1">
      <c r="P589" s="273"/>
      <c r="Q589" s="273"/>
      <c r="R589" s="273"/>
      <c r="S589" s="273"/>
    </row>
    <row r="590" spans="16:19" s="272" customFormat="1">
      <c r="P590" s="273"/>
      <c r="Q590" s="273"/>
      <c r="R590" s="273"/>
      <c r="S590" s="273"/>
    </row>
    <row r="591" spans="16:19" s="272" customFormat="1">
      <c r="P591" s="273"/>
      <c r="Q591" s="273"/>
      <c r="R591" s="273"/>
      <c r="S591" s="273"/>
    </row>
    <row r="592" spans="16:19" s="272" customFormat="1">
      <c r="P592" s="273"/>
      <c r="Q592" s="273"/>
      <c r="R592" s="273"/>
      <c r="S592" s="273"/>
    </row>
    <row r="593" spans="16:19" s="272" customFormat="1">
      <c r="P593" s="273"/>
      <c r="Q593" s="273"/>
      <c r="R593" s="273"/>
      <c r="S593" s="273"/>
    </row>
    <row r="594" spans="16:19" s="272" customFormat="1">
      <c r="P594" s="273"/>
      <c r="Q594" s="273"/>
      <c r="R594" s="273"/>
      <c r="S594" s="273"/>
    </row>
    <row r="595" spans="16:19" s="272" customFormat="1">
      <c r="P595" s="273"/>
      <c r="Q595" s="273"/>
      <c r="R595" s="273"/>
      <c r="S595" s="273"/>
    </row>
    <row r="596" spans="16:19" s="272" customFormat="1">
      <c r="P596" s="273"/>
      <c r="Q596" s="273"/>
      <c r="R596" s="273"/>
      <c r="S596" s="273"/>
    </row>
    <row r="597" spans="16:19" s="272" customFormat="1">
      <c r="P597" s="273"/>
      <c r="Q597" s="273"/>
      <c r="R597" s="273"/>
      <c r="S597" s="273"/>
    </row>
    <row r="598" spans="16:19" s="272" customFormat="1">
      <c r="P598" s="273"/>
      <c r="Q598" s="273"/>
      <c r="R598" s="273"/>
      <c r="S598" s="273"/>
    </row>
    <row r="599" spans="16:19" s="272" customFormat="1">
      <c r="P599" s="273"/>
      <c r="Q599" s="273"/>
      <c r="R599" s="273"/>
      <c r="S599" s="273"/>
    </row>
    <row r="600" spans="16:19" s="272" customFormat="1">
      <c r="P600" s="273"/>
      <c r="Q600" s="273"/>
      <c r="R600" s="273"/>
      <c r="S600" s="273"/>
    </row>
    <row r="601" spans="16:19" s="272" customFormat="1">
      <c r="P601" s="273"/>
      <c r="Q601" s="273"/>
      <c r="R601" s="273"/>
      <c r="S601" s="273"/>
    </row>
    <row r="602" spans="16:19" s="272" customFormat="1">
      <c r="P602" s="273"/>
      <c r="Q602" s="273"/>
      <c r="R602" s="273"/>
      <c r="S602" s="273"/>
    </row>
    <row r="603" spans="16:19" s="272" customFormat="1">
      <c r="P603" s="273"/>
      <c r="Q603" s="273"/>
      <c r="R603" s="273"/>
      <c r="S603" s="273"/>
    </row>
    <row r="604" spans="16:19" s="272" customFormat="1">
      <c r="P604" s="273"/>
      <c r="Q604" s="273"/>
      <c r="R604" s="273"/>
      <c r="S604" s="273"/>
    </row>
    <row r="605" spans="16:19" s="272" customFormat="1">
      <c r="P605" s="273"/>
      <c r="Q605" s="273"/>
      <c r="R605" s="273"/>
      <c r="S605" s="273"/>
    </row>
    <row r="606" spans="16:19" s="272" customFormat="1">
      <c r="P606" s="273"/>
      <c r="Q606" s="273"/>
      <c r="R606" s="273"/>
      <c r="S606" s="273"/>
    </row>
    <row r="607" spans="16:19" s="272" customFormat="1">
      <c r="P607" s="273"/>
      <c r="Q607" s="273"/>
      <c r="R607" s="273"/>
      <c r="S607" s="273"/>
    </row>
    <row r="608" spans="16:19" s="272" customFormat="1">
      <c r="P608" s="273"/>
      <c r="Q608" s="273"/>
      <c r="R608" s="273"/>
      <c r="S608" s="273"/>
    </row>
    <row r="609" spans="16:19" s="272" customFormat="1">
      <c r="P609" s="273"/>
      <c r="Q609" s="273"/>
      <c r="R609" s="273"/>
      <c r="S609" s="273"/>
    </row>
    <row r="610" spans="16:19" s="272" customFormat="1">
      <c r="P610" s="273"/>
      <c r="Q610" s="273"/>
      <c r="R610" s="273"/>
      <c r="S610" s="273"/>
    </row>
    <row r="611" spans="16:19" s="272" customFormat="1">
      <c r="P611" s="273"/>
      <c r="Q611" s="273"/>
      <c r="R611" s="273"/>
      <c r="S611" s="273"/>
    </row>
    <row r="612" spans="16:19" s="272" customFormat="1">
      <c r="P612" s="273"/>
      <c r="Q612" s="273"/>
      <c r="R612" s="273"/>
      <c r="S612" s="273"/>
    </row>
    <row r="613" spans="16:19" s="272" customFormat="1">
      <c r="P613" s="273"/>
      <c r="Q613" s="273"/>
      <c r="R613" s="273"/>
      <c r="S613" s="273"/>
    </row>
    <row r="614" spans="16:19" s="272" customFormat="1">
      <c r="P614" s="273"/>
      <c r="Q614" s="273"/>
      <c r="R614" s="273"/>
      <c r="S614" s="273"/>
    </row>
    <row r="615" spans="16:19" s="272" customFormat="1">
      <c r="P615" s="273"/>
      <c r="Q615" s="273"/>
      <c r="R615" s="273"/>
      <c r="S615" s="273"/>
    </row>
    <row r="616" spans="16:19" s="272" customFormat="1">
      <c r="P616" s="273"/>
      <c r="Q616" s="273"/>
      <c r="R616" s="273"/>
      <c r="S616" s="273"/>
    </row>
    <row r="617" spans="16:19" s="272" customFormat="1">
      <c r="P617" s="273"/>
      <c r="Q617" s="273"/>
      <c r="R617" s="273"/>
      <c r="S617" s="273"/>
    </row>
    <row r="618" spans="16:19" s="272" customFormat="1">
      <c r="P618" s="273"/>
      <c r="Q618" s="273"/>
      <c r="R618" s="273"/>
      <c r="S618" s="273"/>
    </row>
    <row r="619" spans="16:19" s="272" customFormat="1">
      <c r="P619" s="273"/>
      <c r="Q619" s="273"/>
      <c r="R619" s="273"/>
      <c r="S619" s="273"/>
    </row>
    <row r="620" spans="16:19" s="272" customFormat="1">
      <c r="P620" s="273"/>
      <c r="Q620" s="273"/>
      <c r="R620" s="273"/>
      <c r="S620" s="273"/>
    </row>
    <row r="621" spans="16:19" s="272" customFormat="1">
      <c r="P621" s="273"/>
      <c r="Q621" s="273"/>
      <c r="R621" s="273"/>
      <c r="S621" s="273"/>
    </row>
    <row r="622" spans="16:19" s="272" customFormat="1"/>
    <row r="623" spans="16:19" s="272" customFormat="1"/>
    <row r="624" spans="16:19" s="272" customFormat="1"/>
    <row r="625" s="272" customFormat="1"/>
    <row r="626" s="272" customFormat="1"/>
    <row r="627" s="272" customFormat="1"/>
    <row r="628" s="272" customFormat="1"/>
    <row r="629" s="272" customFormat="1"/>
    <row r="630" s="272" customFormat="1"/>
    <row r="631" s="272" customFormat="1"/>
    <row r="632" s="272" customFormat="1"/>
    <row r="633" s="272" customFormat="1"/>
    <row r="634" s="272" customFormat="1"/>
    <row r="635" s="272" customFormat="1"/>
    <row r="636" s="272" customFormat="1"/>
    <row r="637" s="272" customFormat="1"/>
    <row r="638" s="272" customFormat="1"/>
    <row r="639" s="272" customFormat="1"/>
    <row r="640" s="272" customFormat="1"/>
    <row r="641" s="272" customFormat="1"/>
    <row r="642" s="272" customFormat="1"/>
    <row r="643" s="272" customFormat="1"/>
    <row r="644" s="272" customFormat="1"/>
    <row r="645" s="272" customFormat="1"/>
    <row r="646" s="272" customFormat="1"/>
    <row r="647" s="272" customFormat="1"/>
    <row r="648" s="272" customFormat="1"/>
    <row r="649" s="272" customFormat="1"/>
    <row r="650" s="272" customFormat="1"/>
    <row r="651" s="272" customFormat="1"/>
    <row r="652" s="272" customFormat="1"/>
    <row r="653" s="272" customFormat="1"/>
    <row r="654" s="272" customFormat="1"/>
    <row r="655" s="272" customFormat="1"/>
    <row r="656" s="272" customFormat="1"/>
    <row r="657" s="272" customFormat="1"/>
    <row r="658" s="272" customFormat="1"/>
    <row r="659" s="272" customFormat="1"/>
    <row r="660" s="272" customFormat="1"/>
    <row r="661" s="272" customFormat="1"/>
    <row r="662" s="272" customFormat="1"/>
    <row r="663" s="272" customFormat="1"/>
    <row r="664" s="272" customFormat="1"/>
    <row r="665" s="272" customFormat="1"/>
    <row r="666" s="272" customFormat="1"/>
    <row r="667" s="272" customFormat="1"/>
    <row r="668" s="272" customFormat="1"/>
    <row r="669" s="272" customFormat="1"/>
    <row r="670" s="272" customFormat="1"/>
    <row r="671" s="272" customFormat="1"/>
    <row r="672" s="272" customFormat="1"/>
    <row r="673" s="272" customFormat="1"/>
    <row r="674" s="272" customFormat="1"/>
    <row r="675" s="272" customFormat="1"/>
    <row r="676" s="272" customFormat="1"/>
    <row r="677" s="272" customFormat="1"/>
    <row r="678" s="272" customFormat="1"/>
    <row r="679" s="272" customFormat="1"/>
    <row r="680" s="272" customFormat="1"/>
    <row r="681" s="272" customFormat="1"/>
    <row r="682" s="272" customFormat="1"/>
    <row r="683" s="272" customFormat="1"/>
    <row r="684" s="272" customFormat="1"/>
    <row r="685" s="272" customFormat="1"/>
    <row r="686" s="272" customFormat="1"/>
    <row r="687" s="272" customFormat="1"/>
    <row r="688" s="272" customFormat="1"/>
    <row r="689" s="272" customFormat="1"/>
    <row r="690" s="272" customFormat="1"/>
    <row r="691" s="272" customFormat="1"/>
    <row r="692" s="272" customFormat="1"/>
    <row r="693" s="272" customFormat="1"/>
    <row r="694" s="272" customFormat="1"/>
    <row r="695" s="272" customFormat="1"/>
    <row r="696" s="272" customFormat="1"/>
    <row r="697" s="272" customFormat="1"/>
    <row r="698" s="272" customFormat="1"/>
    <row r="699" s="272" customFormat="1"/>
    <row r="700" s="272" customFormat="1"/>
    <row r="701" s="272" customFormat="1"/>
    <row r="702" s="272" customFormat="1"/>
    <row r="703" s="272" customFormat="1"/>
    <row r="704" s="272" customFormat="1"/>
    <row r="705" s="272" customFormat="1"/>
    <row r="706" s="272" customFormat="1"/>
    <row r="707" s="272" customFormat="1"/>
    <row r="708" s="272" customFormat="1"/>
    <row r="709" s="272" customFormat="1"/>
    <row r="710" s="272" customFormat="1"/>
    <row r="711" s="272" customFormat="1"/>
    <row r="712" s="272" customFormat="1"/>
    <row r="713" s="272" customFormat="1"/>
    <row r="714" s="272" customFormat="1"/>
    <row r="715" s="272" customFormat="1"/>
    <row r="716" s="272" customFormat="1"/>
    <row r="717" s="272" customFormat="1"/>
    <row r="718" s="272" customFormat="1"/>
    <row r="719" s="272" customFormat="1"/>
    <row r="720" s="272" customFormat="1"/>
    <row r="721" s="272" customFormat="1"/>
    <row r="722" s="272" customFormat="1"/>
    <row r="723" s="272" customFormat="1"/>
    <row r="724" s="272" customFormat="1"/>
    <row r="725" s="272" customFormat="1"/>
    <row r="726" s="272" customFormat="1"/>
    <row r="727" s="272" customFormat="1"/>
    <row r="728" s="272" customFormat="1"/>
    <row r="729" s="272" customFormat="1"/>
    <row r="730" s="272" customFormat="1"/>
    <row r="731" s="272" customFormat="1"/>
    <row r="732" s="272" customFormat="1"/>
    <row r="733" s="272" customFormat="1"/>
    <row r="734" s="272" customFormat="1"/>
    <row r="735" s="272" customFormat="1"/>
    <row r="736" s="272" customFormat="1"/>
    <row r="737" s="272" customFormat="1"/>
    <row r="738" s="272" customFormat="1"/>
    <row r="739" s="272" customFormat="1"/>
    <row r="740" s="272" customFormat="1"/>
    <row r="741" s="272" customFormat="1"/>
    <row r="742" s="272" customFormat="1"/>
    <row r="743" s="272" customFormat="1"/>
    <row r="744" s="272" customFormat="1"/>
    <row r="745" s="272" customFormat="1"/>
    <row r="746" s="272" customFormat="1"/>
    <row r="747" s="272" customFormat="1"/>
    <row r="748" s="272" customFormat="1"/>
    <row r="749" s="272" customFormat="1"/>
    <row r="750" s="272" customFormat="1"/>
    <row r="751" s="272" customFormat="1"/>
    <row r="752" s="272" customFormat="1"/>
    <row r="753" spans="4:30">
      <c r="D753" s="272"/>
      <c r="E753" s="272"/>
      <c r="F753" s="272"/>
      <c r="G753" s="272"/>
      <c r="H753" s="272"/>
      <c r="I753" s="272"/>
      <c r="J753" s="272"/>
      <c r="K753" s="272"/>
      <c r="L753" s="272"/>
      <c r="M753" s="272"/>
      <c r="N753" s="272"/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</row>
    <row r="754" spans="4:30">
      <c r="D754" s="272"/>
      <c r="E754" s="272"/>
      <c r="F754" s="272"/>
      <c r="G754" s="272"/>
      <c r="H754" s="272"/>
      <c r="I754" s="272"/>
      <c r="J754" s="272"/>
      <c r="K754" s="272"/>
      <c r="L754" s="272"/>
      <c r="M754" s="272"/>
      <c r="N754" s="272"/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</row>
    <row r="755" spans="4:30">
      <c r="D755" s="272"/>
      <c r="E755" s="272"/>
      <c r="F755" s="272"/>
      <c r="G755" s="272"/>
      <c r="H755" s="272"/>
      <c r="I755" s="272"/>
      <c r="J755" s="272"/>
      <c r="K755" s="272"/>
      <c r="L755" s="272"/>
      <c r="M755" s="272"/>
      <c r="N755" s="272"/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</row>
    <row r="756" spans="4:30">
      <c r="D756" s="272"/>
      <c r="E756" s="272"/>
      <c r="F756" s="272"/>
      <c r="G756" s="272"/>
      <c r="H756" s="272"/>
      <c r="I756" s="272"/>
      <c r="J756" s="272"/>
      <c r="K756" s="272"/>
      <c r="L756" s="272"/>
      <c r="M756" s="272"/>
      <c r="N756" s="272"/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</row>
    <row r="757" spans="4:30">
      <c r="D757" s="272"/>
      <c r="E757" s="272"/>
      <c r="F757" s="272"/>
      <c r="G757" s="272"/>
      <c r="H757" s="272"/>
      <c r="I757" s="272"/>
      <c r="J757" s="272"/>
      <c r="K757" s="272"/>
      <c r="L757" s="272"/>
      <c r="M757" s="272"/>
      <c r="N757" s="272"/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</row>
    <row r="758" spans="4:30"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</row>
    <row r="759" spans="4:30"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</row>
    <row r="760" spans="4:30"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</row>
    <row r="761" spans="4:30"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</row>
    <row r="762" spans="4:30"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</row>
    <row r="763" spans="4:30"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</row>
    <row r="764" spans="4:30"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</row>
    <row r="765" spans="4:30"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</row>
    <row r="766" spans="4:30"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</row>
    <row r="767" spans="4:30"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</row>
    <row r="768" spans="4:30"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</row>
    <row r="769" spans="16:30"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</row>
    <row r="770" spans="16:30"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</row>
    <row r="771" spans="16:30"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</row>
    <row r="772" spans="16:30"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</row>
    <row r="773" spans="16:30"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</row>
    <row r="774" spans="16:30"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</row>
    <row r="775" spans="16:30"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</row>
    <row r="776" spans="16:30"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</row>
    <row r="777" spans="16:30"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</row>
    <row r="778" spans="16:30"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</row>
    <row r="779" spans="16:30"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</row>
    <row r="780" spans="16:30"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</row>
    <row r="781" spans="16:30"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</row>
    <row r="782" spans="16:30"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</row>
    <row r="783" spans="16:30"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</row>
    <row r="784" spans="16:30"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</row>
    <row r="785" spans="16:30"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</row>
    <row r="786" spans="16:30"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</row>
    <row r="787" spans="16:30"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</row>
    <row r="788" spans="16:30"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</row>
    <row r="789" spans="16:30"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</row>
    <row r="790" spans="16:30"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</row>
    <row r="791" spans="16:30"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</row>
    <row r="792" spans="16:30"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</row>
    <row r="793" spans="16:30"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</row>
    <row r="794" spans="16:30"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</row>
    <row r="795" spans="16:30"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</row>
    <row r="796" spans="16:30"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</row>
    <row r="797" spans="16:30"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</row>
    <row r="798" spans="16:30"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</row>
    <row r="799" spans="16:30"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</row>
    <row r="800" spans="16:30"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</row>
    <row r="801" spans="16:30"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</row>
    <row r="802" spans="16:30"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</row>
    <row r="803" spans="16:30"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</row>
    <row r="804" spans="16:30"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</row>
    <row r="805" spans="16:30"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</row>
    <row r="806" spans="16:30"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</row>
    <row r="807" spans="16:30"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</row>
    <row r="808" spans="16:30"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</row>
  </sheetData>
  <autoFilter ref="B24:K399" xr:uid="{BAB8E048-3245-4E24-912E-3BBF0790E685}"/>
  <dataValidations disablePrompts="1" count="2">
    <dataValidation type="list" allowBlank="1" showInputMessage="1" showErrorMessage="1" sqref="W8" xr:uid="{44381CB1-248E-4567-9214-77DFC5B13FFC}">
      <formula1>TrueFalseTab</formula1>
    </dataValidation>
    <dataValidation type="list" allowBlank="1" showInputMessage="1" showErrorMessage="1" sqref="AT10 AW10" xr:uid="{C92ADC74-D9A3-400E-9284-59CF7D83F111}">
      <formula1>"SecCtp,NonSec"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44" r:id="rId3" name="Button 60">
              <controlPr defaultSize="0" print="0" autoFill="0" autoPict="0" macro="[0]!CurrentRegionCalculate">
                <anchor moveWithCells="1">
                  <from>
                    <xdr:col>23</xdr:col>
                    <xdr:colOff>387350</xdr:colOff>
                    <xdr:row>5</xdr:row>
                    <xdr:rowOff>12700</xdr:rowOff>
                  </from>
                  <to>
                    <xdr:col>24</xdr:col>
                    <xdr:colOff>342900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defaultColWidth="9.1796875" defaultRowHeight="10"/>
  <cols>
    <col min="1" max="1" width="2.81640625" style="272" customWidth="1"/>
    <col min="2" max="2" width="17" style="272" bestFit="1" customWidth="1"/>
    <col min="3" max="3" width="26.54296875" style="272" bestFit="1" customWidth="1"/>
    <col min="4" max="4" width="10.54296875" style="273" customWidth="1"/>
    <col min="5" max="14" width="9.81640625" style="273" customWidth="1"/>
    <col min="15" max="31" width="9.1796875" style="79"/>
    <col min="32" max="16384" width="9.1796875" style="272"/>
  </cols>
  <sheetData>
    <row r="1" spans="1:228" customFormat="1" ht="29.25" customHeight="1">
      <c r="A1" s="269"/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  <c r="S1" s="269"/>
      <c r="T1" s="269"/>
      <c r="U1" s="269"/>
      <c r="V1" s="269"/>
      <c r="W1" s="269"/>
      <c r="X1" s="269"/>
      <c r="Y1" s="269"/>
      <c r="Z1" s="269"/>
      <c r="AA1" s="269"/>
      <c r="AB1" s="269"/>
      <c r="AC1" s="269"/>
      <c r="AD1" s="269"/>
      <c r="AE1" s="269"/>
      <c r="AF1" s="269"/>
      <c r="AG1" s="269"/>
      <c r="AH1" s="269"/>
      <c r="AI1" s="269"/>
      <c r="AJ1" s="269"/>
      <c r="AK1" s="269"/>
      <c r="AL1" s="269"/>
      <c r="AM1" s="269"/>
      <c r="AN1" s="269"/>
      <c r="AO1" s="269"/>
      <c r="AP1" s="269"/>
      <c r="AQ1" s="269"/>
      <c r="AR1" s="269"/>
      <c r="AS1" s="269"/>
      <c r="AT1" s="269"/>
      <c r="AU1" s="269"/>
      <c r="AV1" s="269"/>
      <c r="AW1" s="269"/>
      <c r="AX1" s="269"/>
      <c r="AY1" s="269"/>
      <c r="AZ1" s="269"/>
      <c r="BA1" s="269"/>
      <c r="BB1" s="269"/>
      <c r="BC1" s="269"/>
      <c r="BD1" s="269"/>
      <c r="BE1" s="269"/>
      <c r="BF1" s="269"/>
      <c r="BG1" s="269"/>
      <c r="BH1" s="269"/>
      <c r="BI1" s="269"/>
      <c r="BJ1" s="269"/>
      <c r="BK1" s="269"/>
      <c r="BL1" s="269"/>
      <c r="BM1" s="269"/>
      <c r="BN1" s="269"/>
      <c r="BO1" s="269"/>
      <c r="BP1" s="269"/>
      <c r="BQ1" s="269"/>
      <c r="BR1" s="269"/>
      <c r="BS1" s="269"/>
      <c r="BT1" s="269"/>
      <c r="BU1" s="269"/>
      <c r="BV1" s="269"/>
      <c r="BW1" s="269"/>
      <c r="BX1" s="269"/>
      <c r="BY1" s="269"/>
      <c r="BZ1" s="269"/>
      <c r="CA1" s="269"/>
      <c r="CB1" s="269"/>
      <c r="CC1" s="269"/>
      <c r="CD1" s="269"/>
      <c r="CE1" s="269"/>
      <c r="CF1" s="269"/>
      <c r="CG1" s="269"/>
      <c r="CH1" s="269"/>
      <c r="CI1" s="269"/>
      <c r="CJ1" s="269"/>
      <c r="CK1" s="269"/>
      <c r="CL1" s="269"/>
      <c r="CM1" s="269"/>
      <c r="CN1" s="269"/>
      <c r="CO1" s="269"/>
      <c r="CP1" s="269"/>
      <c r="CQ1" s="269"/>
      <c r="CR1" s="269"/>
      <c r="CS1" s="269"/>
      <c r="CT1" s="269"/>
      <c r="CU1" s="269"/>
      <c r="CV1" s="269"/>
      <c r="CW1" s="269"/>
      <c r="CX1" s="269"/>
      <c r="CY1" s="269"/>
      <c r="CZ1" s="269"/>
      <c r="DA1" s="269"/>
      <c r="DB1" s="269"/>
      <c r="DC1" s="269"/>
      <c r="DD1" s="269"/>
      <c r="DE1" s="269"/>
      <c r="DF1" s="269"/>
      <c r="DG1" s="269"/>
      <c r="DH1" s="269"/>
      <c r="DI1" s="269"/>
      <c r="DJ1" s="269"/>
      <c r="DK1" s="269"/>
      <c r="DL1" s="269"/>
      <c r="DM1" s="269"/>
      <c r="DN1" s="269"/>
      <c r="DO1" s="269"/>
      <c r="DP1" s="269"/>
      <c r="DQ1" s="269"/>
      <c r="DR1" s="269"/>
      <c r="DS1" s="269"/>
      <c r="DT1" s="269"/>
      <c r="DU1" s="269"/>
      <c r="DV1" s="269"/>
      <c r="DW1" s="269"/>
      <c r="DX1" s="269"/>
      <c r="DY1" s="269"/>
      <c r="DZ1" s="269"/>
      <c r="EA1" s="269"/>
      <c r="EB1" s="269"/>
      <c r="EC1" s="269"/>
      <c r="ED1" s="269"/>
      <c r="EE1" s="269"/>
      <c r="EF1" s="269"/>
      <c r="EG1" s="269"/>
      <c r="EH1" s="269"/>
      <c r="EI1" s="269"/>
      <c r="EJ1" s="269"/>
      <c r="EK1" s="269"/>
      <c r="EL1" s="269"/>
      <c r="EM1" s="269"/>
      <c r="EN1" s="269"/>
      <c r="EO1" s="269"/>
      <c r="EP1" s="269"/>
      <c r="EQ1" s="269"/>
      <c r="ER1" s="269"/>
      <c r="ES1" s="269"/>
      <c r="ET1" s="269"/>
      <c r="EU1" s="269"/>
      <c r="EV1" s="269"/>
      <c r="EW1" s="269"/>
      <c r="EX1" s="269"/>
      <c r="EY1" s="269"/>
      <c r="EZ1" s="269"/>
      <c r="FA1" s="269"/>
      <c r="FB1" s="269"/>
      <c r="FC1" s="269"/>
      <c r="FD1" s="269"/>
      <c r="FE1" s="269"/>
      <c r="FF1" s="269"/>
      <c r="FG1" s="269"/>
      <c r="FH1" s="269"/>
      <c r="FI1" s="269"/>
      <c r="FJ1" s="269"/>
      <c r="FK1" s="269"/>
      <c r="FL1" s="269"/>
      <c r="FM1" s="269"/>
      <c r="FN1" s="269"/>
      <c r="FO1" s="269"/>
      <c r="FP1" s="269"/>
      <c r="FQ1" s="269"/>
      <c r="FR1" s="269"/>
      <c r="FS1" s="269"/>
      <c r="FT1" s="269"/>
      <c r="FU1" s="269"/>
      <c r="FV1" s="269"/>
      <c r="FW1" s="269"/>
      <c r="FX1" s="269"/>
      <c r="FY1" s="269"/>
      <c r="FZ1" s="269"/>
      <c r="GA1" s="269"/>
      <c r="GB1" s="269"/>
      <c r="GC1" s="269"/>
      <c r="GD1" s="269"/>
      <c r="GE1" s="269"/>
      <c r="GF1" s="269"/>
      <c r="GG1" s="269"/>
      <c r="GH1" s="269"/>
      <c r="GI1" s="269"/>
      <c r="GJ1" s="269"/>
      <c r="GK1" s="269"/>
      <c r="GL1" s="269"/>
      <c r="GM1" s="269"/>
      <c r="GN1" s="269"/>
      <c r="GO1" s="269"/>
      <c r="GP1" s="269"/>
      <c r="GQ1" s="269"/>
      <c r="GR1" s="269"/>
      <c r="GS1" s="269"/>
      <c r="GT1" s="269"/>
      <c r="GU1" s="269"/>
      <c r="GV1" s="269"/>
      <c r="GW1" s="269"/>
      <c r="GX1" s="269"/>
      <c r="GY1" s="269"/>
      <c r="GZ1" s="269"/>
      <c r="HA1" s="269"/>
      <c r="HB1" s="269"/>
      <c r="HC1" s="269"/>
      <c r="HD1" s="269"/>
      <c r="HE1" s="269"/>
      <c r="HF1" s="269"/>
      <c r="HG1" s="269"/>
      <c r="HH1" s="269"/>
      <c r="HI1" s="269"/>
      <c r="HJ1" s="269"/>
      <c r="HK1" s="269"/>
      <c r="HL1" s="269"/>
      <c r="HM1" s="269"/>
      <c r="HN1" s="269"/>
      <c r="HO1" s="269"/>
      <c r="HP1" s="269"/>
      <c r="HQ1" s="269"/>
      <c r="HR1" s="269"/>
      <c r="HS1" s="269"/>
      <c r="HT1" s="269"/>
    </row>
    <row r="2" spans="1:228" customFormat="1" ht="54.75" customHeight="1">
      <c r="A2" s="269"/>
      <c r="B2" s="269"/>
      <c r="C2" s="270"/>
      <c r="D2" s="269"/>
      <c r="E2" s="269"/>
      <c r="F2" s="269"/>
      <c r="G2" s="269"/>
      <c r="H2" s="269"/>
      <c r="I2" s="269"/>
      <c r="J2" s="269"/>
      <c r="K2" s="269"/>
      <c r="L2" s="269"/>
      <c r="M2" s="269"/>
      <c r="N2" s="269"/>
      <c r="O2" s="269"/>
      <c r="P2" s="269"/>
      <c r="Q2" s="269"/>
      <c r="R2" s="269"/>
      <c r="S2" s="269"/>
      <c r="T2" s="269"/>
      <c r="U2" s="269"/>
      <c r="V2" s="269"/>
      <c r="W2" s="269"/>
      <c r="X2" s="269"/>
      <c r="Y2" s="269"/>
      <c r="Z2" s="269"/>
      <c r="AA2" s="269"/>
      <c r="AB2" s="269"/>
      <c r="AC2" s="269"/>
      <c r="AD2" s="269"/>
      <c r="AE2" s="269"/>
      <c r="AF2" s="269"/>
      <c r="AG2" s="269"/>
      <c r="AH2" s="269"/>
      <c r="AI2" s="269"/>
      <c r="AJ2" s="269"/>
      <c r="AK2" s="269"/>
      <c r="AL2" s="269"/>
      <c r="AM2" s="269"/>
      <c r="AN2" s="269"/>
      <c r="AO2" s="269"/>
      <c r="AP2" s="269"/>
      <c r="AQ2" s="269"/>
      <c r="AR2" s="269"/>
      <c r="AS2" s="269"/>
      <c r="AT2" s="269"/>
      <c r="AU2" s="269"/>
      <c r="AV2" s="269"/>
      <c r="AW2" s="269"/>
      <c r="AX2" s="269"/>
      <c r="AY2" s="269"/>
      <c r="AZ2" s="269"/>
      <c r="BA2" s="269"/>
      <c r="BB2" s="269"/>
      <c r="BC2" s="269"/>
      <c r="BD2" s="269"/>
      <c r="BE2" s="269"/>
      <c r="BF2" s="269"/>
      <c r="BG2" s="269"/>
      <c r="BH2" s="269"/>
      <c r="BI2" s="269"/>
      <c r="BJ2" s="269"/>
      <c r="BK2" s="269"/>
      <c r="BL2" s="269"/>
      <c r="BM2" s="269"/>
      <c r="BN2" s="269"/>
      <c r="BO2" s="269"/>
      <c r="BP2" s="269"/>
      <c r="BQ2" s="269"/>
      <c r="BR2" s="269"/>
      <c r="BS2" s="269"/>
      <c r="BT2" s="269"/>
      <c r="BU2" s="269"/>
      <c r="BV2" s="269"/>
      <c r="BW2" s="269"/>
      <c r="BX2" s="269"/>
      <c r="BY2" s="269"/>
      <c r="BZ2" s="269"/>
      <c r="CA2" s="269"/>
      <c r="CB2" s="269"/>
      <c r="CC2" s="269"/>
      <c r="CD2" s="269"/>
      <c r="CE2" s="269"/>
      <c r="CF2" s="269"/>
      <c r="CG2" s="269"/>
      <c r="CH2" s="269"/>
      <c r="CI2" s="269"/>
      <c r="CJ2" s="269"/>
      <c r="CK2" s="269"/>
      <c r="CL2" s="269"/>
      <c r="CM2" s="269"/>
      <c r="CN2" s="269"/>
      <c r="CO2" s="269"/>
      <c r="CP2" s="269"/>
      <c r="CQ2" s="269"/>
      <c r="CR2" s="269"/>
      <c r="CS2" s="269"/>
      <c r="CT2" s="269"/>
      <c r="CU2" s="269"/>
      <c r="CV2" s="269"/>
      <c r="CW2" s="269"/>
      <c r="CX2" s="269"/>
      <c r="CY2" s="269"/>
      <c r="CZ2" s="269"/>
      <c r="DA2" s="269"/>
      <c r="DB2" s="269"/>
      <c r="DC2" s="269"/>
      <c r="DD2" s="269"/>
      <c r="DE2" s="269"/>
      <c r="DF2" s="269"/>
      <c r="DG2" s="269"/>
      <c r="DH2" s="269"/>
      <c r="DI2" s="269"/>
      <c r="DJ2" s="269"/>
      <c r="DK2" s="269"/>
      <c r="DL2" s="269"/>
      <c r="DM2" s="269"/>
      <c r="DN2" s="269"/>
      <c r="DO2" s="269"/>
      <c r="DP2" s="269"/>
      <c r="DQ2" s="269"/>
      <c r="DR2" s="269"/>
      <c r="DS2" s="269"/>
      <c r="DT2" s="269"/>
      <c r="DU2" s="269"/>
      <c r="DV2" s="269"/>
      <c r="DW2" s="269"/>
      <c r="DX2" s="269"/>
      <c r="DY2" s="269"/>
      <c r="DZ2" s="269"/>
      <c r="EA2" s="269"/>
      <c r="EB2" s="269"/>
      <c r="EC2" s="269"/>
      <c r="ED2" s="269"/>
      <c r="EE2" s="269"/>
      <c r="EF2" s="269"/>
      <c r="EG2" s="269"/>
      <c r="EH2" s="269"/>
      <c r="EI2" s="269"/>
      <c r="EJ2" s="269"/>
      <c r="EK2" s="269"/>
      <c r="EL2" s="269"/>
      <c r="EM2" s="269"/>
      <c r="EN2" s="269"/>
      <c r="EO2" s="269"/>
      <c r="EP2" s="269"/>
      <c r="EQ2" s="269"/>
      <c r="ER2" s="269"/>
      <c r="ES2" s="269"/>
      <c r="ET2" s="269"/>
      <c r="EU2" s="269"/>
      <c r="EV2" s="269"/>
      <c r="EW2" s="269"/>
      <c r="EX2" s="269"/>
      <c r="EY2" s="269"/>
      <c r="EZ2" s="269"/>
      <c r="FA2" s="269"/>
      <c r="FB2" s="269"/>
      <c r="FC2" s="269"/>
      <c r="FD2" s="269"/>
      <c r="FE2" s="269"/>
      <c r="FF2" s="269"/>
      <c r="FG2" s="269"/>
      <c r="FH2" s="269"/>
      <c r="FI2" s="269"/>
      <c r="FJ2" s="269"/>
      <c r="FK2" s="269"/>
      <c r="FL2" s="269"/>
      <c r="FM2" s="269"/>
      <c r="FN2" s="269"/>
      <c r="FO2" s="269"/>
      <c r="FP2" s="269"/>
      <c r="FQ2" s="269"/>
      <c r="FR2" s="269"/>
      <c r="FS2" s="269"/>
      <c r="FT2" s="269"/>
      <c r="FU2" s="269"/>
      <c r="FV2" s="269"/>
      <c r="FW2" s="269"/>
      <c r="FX2" s="269"/>
      <c r="FY2" s="269"/>
      <c r="FZ2" s="269"/>
      <c r="GA2" s="269"/>
      <c r="GB2" s="269"/>
      <c r="GC2" s="269"/>
      <c r="GD2" s="269"/>
      <c r="GE2" s="269"/>
      <c r="GF2" s="269"/>
      <c r="GG2" s="269"/>
      <c r="GH2" s="269"/>
      <c r="GI2" s="269"/>
      <c r="GJ2" s="269"/>
      <c r="GK2" s="269"/>
      <c r="GL2" s="269"/>
      <c r="GM2" s="269"/>
      <c r="GN2" s="269"/>
      <c r="GO2" s="269"/>
      <c r="GP2" s="269"/>
      <c r="GQ2" s="269"/>
      <c r="GR2" s="269"/>
      <c r="GS2" s="269"/>
      <c r="GT2" s="269"/>
      <c r="GU2" s="269"/>
      <c r="GV2" s="269"/>
      <c r="GW2" s="269"/>
      <c r="GX2" s="269"/>
      <c r="GY2" s="269"/>
      <c r="GZ2" s="269"/>
      <c r="HA2" s="269"/>
      <c r="HB2" s="269"/>
      <c r="HC2" s="269"/>
      <c r="HD2" s="269"/>
      <c r="HE2" s="269"/>
      <c r="HF2" s="269"/>
      <c r="HG2" s="269"/>
      <c r="HH2" s="269"/>
      <c r="HI2" s="269"/>
      <c r="HJ2" s="269"/>
      <c r="HK2" s="269"/>
      <c r="HL2" s="269"/>
      <c r="HM2" s="269"/>
      <c r="HN2" s="269"/>
      <c r="HO2" s="269"/>
      <c r="HP2" s="269"/>
      <c r="HQ2" s="269"/>
      <c r="HR2" s="269"/>
      <c r="HS2" s="269"/>
      <c r="HT2" s="269"/>
    </row>
    <row r="3" spans="1:228" customFormat="1" ht="36.75" customHeight="1">
      <c r="A3" s="269"/>
      <c r="B3" s="269"/>
      <c r="C3" s="269"/>
      <c r="D3" s="269"/>
      <c r="E3" s="269"/>
      <c r="F3" s="269"/>
      <c r="G3" s="269"/>
      <c r="H3" s="269"/>
      <c r="I3" s="271"/>
      <c r="J3" s="271"/>
      <c r="K3" s="271"/>
      <c r="L3" s="271"/>
      <c r="M3" s="271"/>
      <c r="N3" s="271"/>
      <c r="O3" s="271"/>
      <c r="P3" s="271"/>
      <c r="Q3" s="269"/>
      <c r="R3" s="269"/>
      <c r="S3" s="269"/>
      <c r="T3" s="269"/>
      <c r="U3" s="269"/>
      <c r="V3" s="269"/>
      <c r="W3" s="269"/>
      <c r="X3" s="269"/>
      <c r="Y3" s="269"/>
      <c r="Z3" s="269"/>
      <c r="AA3" s="269"/>
      <c r="AB3" s="271"/>
      <c r="AC3" s="269"/>
      <c r="AD3" s="269"/>
      <c r="AE3" s="269"/>
      <c r="AF3" s="269"/>
      <c r="AG3" s="269"/>
      <c r="AH3" s="269"/>
      <c r="AI3" s="269"/>
      <c r="AJ3" s="269"/>
      <c r="AK3" s="269"/>
      <c r="AL3" s="269"/>
      <c r="AM3" s="269"/>
      <c r="AN3" s="269"/>
      <c r="AO3" s="269"/>
      <c r="AP3" s="269"/>
      <c r="AQ3" s="269"/>
      <c r="AR3" s="269"/>
      <c r="AS3" s="269"/>
      <c r="AT3" s="269"/>
      <c r="AU3" s="269"/>
      <c r="AV3" s="269"/>
      <c r="AW3" s="269"/>
      <c r="AX3" s="269"/>
      <c r="AY3" s="269"/>
      <c r="AZ3" s="269"/>
      <c r="BA3" s="269"/>
      <c r="BB3" s="269"/>
      <c r="BC3" s="269"/>
      <c r="BD3" s="269"/>
      <c r="BE3" s="269"/>
      <c r="BF3" s="269"/>
      <c r="BG3" s="269"/>
      <c r="BH3" s="269"/>
      <c r="BI3" s="269"/>
      <c r="BJ3" s="269"/>
      <c r="BK3" s="269"/>
      <c r="BL3" s="269"/>
      <c r="BM3" s="269"/>
      <c r="BN3" s="269"/>
      <c r="BO3" s="269"/>
      <c r="BP3" s="269"/>
      <c r="BQ3" s="269"/>
      <c r="BR3" s="269"/>
      <c r="BS3" s="269"/>
      <c r="BT3" s="269"/>
      <c r="BU3" s="269"/>
      <c r="BV3" s="269"/>
      <c r="BW3" s="269"/>
      <c r="BX3" s="269"/>
      <c r="BY3" s="269"/>
      <c r="BZ3" s="269"/>
      <c r="CA3" s="269"/>
      <c r="CB3" s="269"/>
      <c r="CC3" s="269"/>
      <c r="CD3" s="269"/>
      <c r="CE3" s="269"/>
      <c r="CF3" s="269"/>
      <c r="CG3" s="269"/>
      <c r="CH3" s="269"/>
      <c r="CI3" s="269"/>
      <c r="CJ3" s="269"/>
      <c r="CK3" s="269"/>
      <c r="CL3" s="269"/>
      <c r="CM3" s="269"/>
      <c r="CN3" s="269"/>
      <c r="CO3" s="269"/>
      <c r="CP3" s="269"/>
      <c r="CQ3" s="269"/>
      <c r="CR3" s="269"/>
      <c r="CS3" s="269"/>
      <c r="CT3" s="269"/>
      <c r="CU3" s="269"/>
      <c r="CV3" s="269"/>
      <c r="CW3" s="269"/>
      <c r="CX3" s="269"/>
      <c r="CY3" s="269"/>
      <c r="CZ3" s="269"/>
      <c r="DA3" s="269"/>
      <c r="DB3" s="269"/>
      <c r="DC3" s="269"/>
      <c r="DD3" s="269"/>
      <c r="DE3" s="269"/>
      <c r="DF3" s="269"/>
      <c r="DG3" s="269"/>
      <c r="DH3" s="269"/>
      <c r="DI3" s="269"/>
      <c r="DJ3" s="269"/>
      <c r="DK3" s="269"/>
      <c r="DL3" s="269"/>
      <c r="DM3" s="269"/>
      <c r="DN3" s="269"/>
      <c r="DO3" s="269"/>
      <c r="DP3" s="269"/>
      <c r="DQ3" s="269"/>
      <c r="DR3" s="269"/>
      <c r="DS3" s="269"/>
      <c r="DT3" s="269"/>
      <c r="DU3" s="269"/>
      <c r="DV3" s="269"/>
      <c r="DW3" s="269"/>
      <c r="DX3" s="269"/>
      <c r="DY3" s="269"/>
      <c r="DZ3" s="269"/>
      <c r="EA3" s="269"/>
      <c r="EB3" s="269"/>
      <c r="EC3" s="269"/>
      <c r="ED3" s="269"/>
      <c r="EE3" s="269"/>
      <c r="EF3" s="269"/>
      <c r="EG3" s="269"/>
      <c r="EH3" s="269"/>
      <c r="EI3" s="269"/>
      <c r="EJ3" s="269"/>
      <c r="EK3" s="269"/>
      <c r="EL3" s="269"/>
      <c r="EM3" s="269"/>
      <c r="EN3" s="269"/>
      <c r="EO3" s="269"/>
      <c r="EP3" s="269"/>
      <c r="EQ3" s="269"/>
      <c r="ER3" s="269"/>
      <c r="ES3" s="269"/>
      <c r="ET3" s="269"/>
      <c r="EU3" s="269"/>
      <c r="EV3" s="269"/>
      <c r="EW3" s="269"/>
      <c r="EX3" s="269"/>
      <c r="EY3" s="269"/>
      <c r="EZ3" s="269"/>
      <c r="FA3" s="269"/>
      <c r="FB3" s="269"/>
      <c r="FC3" s="269"/>
      <c r="FD3" s="269"/>
      <c r="FE3" s="269"/>
      <c r="FF3" s="269"/>
      <c r="FG3" s="269"/>
      <c r="FH3" s="269"/>
      <c r="FI3" s="269"/>
      <c r="FJ3" s="269"/>
      <c r="FK3" s="269"/>
      <c r="FL3" s="269"/>
      <c r="FM3" s="269"/>
      <c r="FN3" s="269"/>
      <c r="FO3" s="269"/>
      <c r="FP3" s="269"/>
      <c r="FQ3" s="269"/>
      <c r="FR3" s="269"/>
      <c r="FS3" s="269"/>
      <c r="FT3" s="269"/>
      <c r="FU3" s="269"/>
      <c r="FV3" s="269"/>
      <c r="FW3" s="269"/>
      <c r="FX3" s="269"/>
      <c r="FY3" s="269"/>
      <c r="FZ3" s="269"/>
      <c r="GA3" s="269"/>
      <c r="GB3" s="269"/>
      <c r="GC3" s="269"/>
      <c r="GD3" s="269"/>
      <c r="GE3" s="269"/>
      <c r="GF3" s="269"/>
      <c r="GG3" s="269"/>
      <c r="GH3" s="269"/>
      <c r="GI3" s="269"/>
      <c r="GJ3" s="269"/>
      <c r="GK3" s="269"/>
      <c r="GL3" s="269"/>
      <c r="GM3" s="269"/>
      <c r="GN3" s="269"/>
      <c r="GO3" s="269"/>
      <c r="GP3" s="269"/>
      <c r="GQ3" s="269"/>
      <c r="GR3" s="269"/>
      <c r="GS3" s="269"/>
      <c r="GT3" s="269"/>
      <c r="GU3" s="269"/>
      <c r="GV3" s="269"/>
      <c r="GW3" s="269"/>
      <c r="GX3" s="269"/>
      <c r="GY3" s="269"/>
      <c r="GZ3" s="269"/>
      <c r="HA3" s="269"/>
      <c r="HB3" s="269"/>
      <c r="HC3" s="269"/>
      <c r="HD3" s="269"/>
      <c r="HE3" s="269"/>
      <c r="HF3" s="269"/>
      <c r="HG3" s="269"/>
      <c r="HH3" s="269"/>
      <c r="HI3" s="269"/>
      <c r="HJ3" s="269"/>
      <c r="HK3" s="269"/>
      <c r="HL3" s="269"/>
      <c r="HM3" s="269"/>
      <c r="HN3" s="269"/>
      <c r="HO3" s="269"/>
      <c r="HP3" s="269"/>
      <c r="HQ3" s="269"/>
      <c r="HR3" s="269"/>
      <c r="HS3" s="269"/>
      <c r="HT3" s="269"/>
    </row>
    <row r="4" spans="1:228" ht="10.5" thickBot="1">
      <c r="O4" s="272"/>
      <c r="P4" s="272"/>
      <c r="Q4" s="272"/>
      <c r="R4" s="272"/>
      <c r="S4" s="272"/>
      <c r="T4" s="272"/>
      <c r="U4" s="272"/>
      <c r="V4" s="272"/>
      <c r="W4" s="272"/>
      <c r="X4" s="272"/>
      <c r="Y4" s="272"/>
      <c r="Z4" s="272"/>
      <c r="AA4" s="272"/>
      <c r="AB4" s="272"/>
      <c r="AC4" s="272"/>
      <c r="AD4" s="272"/>
      <c r="AE4" s="272"/>
    </row>
    <row r="5" spans="1:228" ht="10.5">
      <c r="B5" s="274" t="s">
        <v>432</v>
      </c>
      <c r="C5" s="275">
        <v>46828</v>
      </c>
      <c r="O5" s="272"/>
      <c r="P5" s="272"/>
      <c r="Q5" s="272"/>
      <c r="R5" s="272"/>
      <c r="S5" s="272"/>
      <c r="T5" s="272"/>
      <c r="U5" s="272"/>
      <c r="V5" s="272"/>
      <c r="W5" s="272"/>
      <c r="X5" s="272"/>
      <c r="Y5" s="272"/>
      <c r="Z5" s="272"/>
      <c r="AA5" s="272"/>
      <c r="AB5" s="272"/>
      <c r="AC5" s="272"/>
      <c r="AD5" s="272"/>
      <c r="AE5" s="272"/>
    </row>
    <row r="6" spans="1:228" ht="10.5">
      <c r="B6" s="276" t="s">
        <v>475</v>
      </c>
      <c r="C6" s="277">
        <v>5000</v>
      </c>
      <c r="D6" s="272"/>
      <c r="E6" s="687"/>
      <c r="F6" s="687"/>
      <c r="G6" s="687"/>
      <c r="H6" s="687"/>
      <c r="I6" s="687"/>
      <c r="J6" s="687"/>
      <c r="K6" s="687"/>
      <c r="L6" s="687"/>
      <c r="M6" s="687"/>
      <c r="N6" s="687"/>
      <c r="O6" s="272"/>
      <c r="P6" s="272"/>
      <c r="Q6" s="272"/>
      <c r="R6" s="272"/>
      <c r="S6" s="272"/>
      <c r="T6" s="272"/>
      <c r="U6" s="272"/>
      <c r="V6" s="272"/>
      <c r="W6" s="272"/>
      <c r="X6" s="272"/>
      <c r="Y6" s="272"/>
      <c r="Z6" s="272"/>
      <c r="AA6" s="272"/>
      <c r="AB6" s="272"/>
      <c r="AC6" s="272"/>
      <c r="AD6" s="272"/>
      <c r="AE6" s="272"/>
    </row>
    <row r="7" spans="1:228" ht="11" thickBot="1">
      <c r="B7" s="278" t="s">
        <v>476</v>
      </c>
      <c r="C7" s="279" t="b">
        <v>0</v>
      </c>
      <c r="D7" s="272"/>
      <c r="E7" s="272"/>
      <c r="H7" s="280"/>
      <c r="O7" s="687"/>
      <c r="P7" s="687"/>
      <c r="Q7" s="687"/>
      <c r="R7" s="687"/>
      <c r="S7" s="687"/>
      <c r="T7" s="687"/>
      <c r="U7" s="687"/>
      <c r="V7" s="687"/>
      <c r="W7" s="687"/>
      <c r="X7" s="687"/>
      <c r="Y7" s="272"/>
      <c r="Z7" s="272"/>
      <c r="AA7" s="272"/>
      <c r="AB7" s="272"/>
      <c r="AC7" s="272"/>
      <c r="AD7" s="272"/>
      <c r="AE7" s="272"/>
    </row>
    <row r="8" spans="1:228" ht="11" thickBot="1">
      <c r="B8" s="278" t="s">
        <v>477</v>
      </c>
      <c r="C8" s="281">
        <v>0.3</v>
      </c>
      <c r="D8" s="282"/>
      <c r="E8" s="272"/>
      <c r="H8" s="280"/>
      <c r="O8" s="272"/>
      <c r="P8" s="272"/>
      <c r="Q8" s="272"/>
      <c r="R8" s="272"/>
      <c r="S8" s="272"/>
      <c r="T8" s="272"/>
      <c r="U8" s="272"/>
      <c r="V8" s="272"/>
      <c r="W8" s="272"/>
      <c r="X8" s="272"/>
      <c r="Y8" s="272"/>
      <c r="Z8" s="272"/>
      <c r="AA8" s="272"/>
      <c r="AB8" s="272"/>
      <c r="AC8" s="272"/>
      <c r="AD8" s="272"/>
      <c r="AE8" s="272"/>
    </row>
    <row r="9" spans="1:228" ht="11" thickBot="1">
      <c r="B9" s="278" t="s">
        <v>478</v>
      </c>
      <c r="C9" s="283">
        <v>125</v>
      </c>
      <c r="D9" s="282"/>
      <c r="E9" s="272"/>
      <c r="H9" s="280"/>
      <c r="O9" s="272"/>
      <c r="P9" s="272"/>
      <c r="Q9" s="272"/>
      <c r="R9" s="272"/>
      <c r="S9" s="272"/>
      <c r="T9" s="272"/>
      <c r="U9" s="272"/>
      <c r="V9" s="272"/>
      <c r="W9" s="272"/>
      <c r="X9" s="272"/>
      <c r="Y9" s="272"/>
      <c r="Z9" s="272"/>
      <c r="AA9" s="272"/>
      <c r="AB9" s="272"/>
      <c r="AC9" s="272"/>
      <c r="AD9" s="272"/>
      <c r="AE9" s="272"/>
    </row>
    <row r="10" spans="1:228" ht="11" thickBot="1">
      <c r="B10" s="284"/>
      <c r="C10" s="285"/>
      <c r="D10" s="282"/>
      <c r="E10" s="272"/>
      <c r="H10" s="280"/>
      <c r="O10" s="272"/>
      <c r="P10" s="272"/>
      <c r="Q10" s="272"/>
      <c r="R10" s="272"/>
      <c r="S10" s="272"/>
      <c r="T10" s="272"/>
      <c r="U10" s="272"/>
      <c r="V10" s="272"/>
      <c r="W10" s="272"/>
      <c r="X10" s="272"/>
      <c r="Y10" s="272"/>
      <c r="Z10" s="272"/>
      <c r="AA10" s="272"/>
      <c r="AB10" s="272"/>
      <c r="AC10" s="272"/>
      <c r="AD10" s="272"/>
      <c r="AE10" s="272"/>
    </row>
    <row r="11" spans="1:228" ht="10.5">
      <c r="B11" s="286" t="s">
        <v>82</v>
      </c>
      <c r="C11" s="287" t="s">
        <v>67</v>
      </c>
      <c r="D11" s="272"/>
      <c r="E11" s="272"/>
      <c r="H11" s="280"/>
      <c r="O11" s="272"/>
      <c r="P11" s="272"/>
      <c r="Q11" s="272"/>
      <c r="R11" s="272"/>
      <c r="S11" s="272"/>
      <c r="T11" s="272"/>
      <c r="U11" s="272"/>
      <c r="V11" s="272"/>
      <c r="W11" s="272"/>
      <c r="X11" s="272"/>
      <c r="Y11" s="272"/>
      <c r="Z11" s="272"/>
      <c r="AA11" s="272"/>
      <c r="AB11" s="272"/>
      <c r="AC11" s="272"/>
      <c r="AD11" s="272"/>
      <c r="AE11" s="272"/>
    </row>
    <row r="12" spans="1:228" ht="10.5">
      <c r="B12" s="288" t="s">
        <v>437</v>
      </c>
      <c r="C12" s="289">
        <v>-0.1</v>
      </c>
      <c r="D12" s="282"/>
      <c r="E12" s="272"/>
      <c r="H12" s="280"/>
      <c r="O12" s="272"/>
      <c r="P12" s="272"/>
      <c r="Q12" s="272"/>
      <c r="R12" s="272"/>
      <c r="S12" s="272"/>
      <c r="T12" s="272"/>
      <c r="U12" s="272"/>
      <c r="V12" s="272"/>
      <c r="W12" s="272"/>
      <c r="X12" s="272"/>
      <c r="Y12" s="272"/>
      <c r="Z12" s="272"/>
      <c r="AA12" s="272"/>
      <c r="AB12" s="272"/>
      <c r="AC12" s="272"/>
      <c r="AD12" s="272"/>
      <c r="AE12" s="272"/>
    </row>
    <row r="13" spans="1:228" ht="11" thickBot="1">
      <c r="B13" s="290" t="s">
        <v>439</v>
      </c>
      <c r="C13" s="226">
        <v>0.1</v>
      </c>
      <c r="E13" s="291"/>
      <c r="H13" s="280"/>
      <c r="O13" s="272"/>
      <c r="P13" s="272"/>
      <c r="Q13" s="272"/>
      <c r="R13" s="272"/>
      <c r="S13" s="272"/>
      <c r="T13" s="272"/>
      <c r="U13" s="272"/>
      <c r="V13" s="272"/>
      <c r="W13" s="272"/>
      <c r="X13" s="272"/>
      <c r="Y13" s="272"/>
      <c r="Z13" s="272"/>
      <c r="AA13" s="272"/>
      <c r="AB13" s="272"/>
      <c r="AC13" s="272"/>
      <c r="AD13" s="272"/>
      <c r="AE13" s="272"/>
    </row>
    <row r="14" spans="1:228" ht="11" thickBot="1">
      <c r="B14" s="292"/>
      <c r="C14" s="293"/>
      <c r="E14" s="291"/>
      <c r="H14" s="280"/>
      <c r="O14" s="272"/>
      <c r="P14" s="272"/>
      <c r="Q14" s="272"/>
      <c r="R14" s="272"/>
      <c r="S14" s="272"/>
      <c r="T14" s="272"/>
      <c r="U14" s="272"/>
      <c r="V14" s="272"/>
      <c r="W14" s="272"/>
      <c r="X14" s="272"/>
      <c r="Y14" s="272"/>
      <c r="Z14" s="272"/>
      <c r="AA14" s="272"/>
      <c r="AB14" s="272"/>
      <c r="AC14" s="272"/>
      <c r="AD14" s="272"/>
      <c r="AE14" s="272"/>
    </row>
    <row r="15" spans="1:228" ht="10.5">
      <c r="B15" s="274" t="s">
        <v>458</v>
      </c>
      <c r="C15" s="294" t="s">
        <v>459</v>
      </c>
      <c r="E15" s="291"/>
      <c r="H15" s="280"/>
      <c r="O15" s="272"/>
      <c r="P15" s="272"/>
      <c r="Q15" s="272"/>
      <c r="R15" s="272"/>
      <c r="S15" s="272"/>
      <c r="T15" s="272"/>
      <c r="U15" s="272"/>
      <c r="V15" s="272"/>
      <c r="W15" s="272"/>
      <c r="X15" s="272"/>
      <c r="Y15" s="272"/>
      <c r="Z15" s="272"/>
      <c r="AA15" s="272"/>
      <c r="AB15" s="272"/>
      <c r="AC15" s="272"/>
      <c r="AD15" s="272"/>
      <c r="AE15" s="272"/>
    </row>
    <row r="16" spans="1:228" ht="10.5">
      <c r="B16" s="276" t="s">
        <v>461</v>
      </c>
      <c r="C16" s="295" t="s">
        <v>479</v>
      </c>
      <c r="E16" s="291"/>
      <c r="H16" s="280"/>
      <c r="O16" s="272"/>
      <c r="P16" s="272"/>
      <c r="Q16" s="272"/>
      <c r="R16" s="272"/>
      <c r="S16" s="272"/>
      <c r="T16" s="272"/>
      <c r="U16" s="272"/>
      <c r="V16" s="272"/>
      <c r="W16" s="272"/>
      <c r="X16" s="272"/>
      <c r="Y16" s="272"/>
      <c r="Z16" s="272"/>
      <c r="AA16" s="272"/>
      <c r="AB16" s="272"/>
      <c r="AC16" s="272"/>
      <c r="AD16" s="272"/>
      <c r="AE16" s="272"/>
    </row>
    <row r="17" spans="2:31" ht="11" thickBot="1">
      <c r="B17" s="278" t="s">
        <v>462</v>
      </c>
      <c r="C17" s="296"/>
      <c r="E17" s="291"/>
      <c r="H17" s="280"/>
      <c r="O17" s="272"/>
      <c r="P17" s="272"/>
      <c r="Q17" s="272"/>
      <c r="R17" s="272"/>
      <c r="S17" s="272"/>
      <c r="T17" s="272"/>
      <c r="U17" s="272"/>
      <c r="V17" s="272"/>
      <c r="W17" s="272"/>
      <c r="X17" s="272"/>
      <c r="Y17" s="272"/>
      <c r="Z17" s="272"/>
      <c r="AA17" s="272"/>
      <c r="AB17" s="272"/>
      <c r="AC17" s="272"/>
      <c r="AD17" s="272"/>
      <c r="AE17" s="272"/>
    </row>
    <row r="18" spans="2:31" ht="11" thickBot="1">
      <c r="B18" s="284"/>
      <c r="C18" s="297"/>
      <c r="E18" s="291"/>
      <c r="H18" s="280"/>
      <c r="O18" s="272"/>
      <c r="P18" s="272"/>
      <c r="Q18" s="272"/>
      <c r="R18" s="272"/>
      <c r="S18" s="272"/>
      <c r="T18" s="272"/>
      <c r="U18" s="272"/>
      <c r="V18" s="272"/>
      <c r="W18" s="272"/>
      <c r="X18" s="272"/>
      <c r="Y18" s="272"/>
      <c r="Z18" s="272"/>
      <c r="AA18" s="272"/>
      <c r="AB18" s="272"/>
      <c r="AC18" s="272"/>
      <c r="AD18" s="272"/>
      <c r="AE18" s="272"/>
    </row>
    <row r="19" spans="2:31" ht="11" thickBot="1">
      <c r="B19" s="286" t="s">
        <v>480</v>
      </c>
      <c r="C19" s="298"/>
      <c r="D19" s="299"/>
      <c r="E19" s="688" t="s">
        <v>481</v>
      </c>
      <c r="F19" s="688"/>
      <c r="G19" s="688"/>
      <c r="H19" s="688"/>
      <c r="I19" s="688"/>
      <c r="J19" s="688"/>
      <c r="K19" s="688"/>
      <c r="L19" s="688"/>
      <c r="M19" s="688"/>
      <c r="N19" s="689"/>
      <c r="O19" s="272"/>
      <c r="P19" s="272"/>
      <c r="Q19" s="272"/>
      <c r="R19" s="272"/>
      <c r="S19" s="272"/>
      <c r="T19" s="272"/>
      <c r="U19" s="272"/>
      <c r="V19" s="272"/>
      <c r="W19" s="272"/>
      <c r="X19" s="272"/>
      <c r="Y19" s="272"/>
      <c r="Z19" s="272"/>
      <c r="AA19" s="272"/>
      <c r="AB19" s="272"/>
      <c r="AC19" s="272"/>
      <c r="AD19" s="272"/>
      <c r="AE19" s="272"/>
    </row>
    <row r="20" spans="2:31" ht="11" thickBot="1">
      <c r="B20" s="301"/>
      <c r="C20" s="302"/>
      <c r="D20" s="303" t="s">
        <v>482</v>
      </c>
      <c r="E20" s="304">
        <v>1</v>
      </c>
      <c r="F20" s="305">
        <v>2</v>
      </c>
      <c r="G20" s="304">
        <v>3</v>
      </c>
      <c r="H20" s="306">
        <v>4</v>
      </c>
      <c r="I20" s="306">
        <v>5</v>
      </c>
      <c r="J20" s="306">
        <v>6</v>
      </c>
      <c r="K20" s="306">
        <v>7</v>
      </c>
      <c r="L20" s="305">
        <v>8</v>
      </c>
      <c r="M20" s="306">
        <v>9</v>
      </c>
      <c r="N20" s="307">
        <v>10</v>
      </c>
      <c r="O20" s="272"/>
      <c r="P20" s="272"/>
      <c r="Q20" s="272"/>
      <c r="R20" s="272"/>
      <c r="S20" s="272"/>
      <c r="T20" s="272"/>
      <c r="U20" s="272"/>
      <c r="V20" s="272"/>
      <c r="W20" s="284"/>
      <c r="X20" s="272"/>
      <c r="Y20" s="272"/>
      <c r="Z20" s="272"/>
      <c r="AA20" s="272"/>
      <c r="AB20" s="272"/>
      <c r="AC20" s="272"/>
      <c r="AD20" s="272"/>
      <c r="AE20" s="272"/>
    </row>
    <row r="21" spans="2:31" ht="10.5">
      <c r="B21" s="274" t="s">
        <v>465</v>
      </c>
      <c r="C21" s="308">
        <v>0.54</v>
      </c>
      <c r="D21" s="309" t="s">
        <v>465</v>
      </c>
      <c r="E21" s="310">
        <v>6.0999999999999999E-2</v>
      </c>
      <c r="F21" s="310">
        <v>6.0999999999999999E-2</v>
      </c>
      <c r="G21" s="310">
        <v>6.0999999999999999E-2</v>
      </c>
      <c r="H21" s="310">
        <v>6.0999999999999999E-2</v>
      </c>
      <c r="I21" s="311">
        <v>0.06</v>
      </c>
      <c r="J21" s="311">
        <v>0.06</v>
      </c>
      <c r="K21" s="312"/>
      <c r="L21" s="313"/>
      <c r="M21" s="312"/>
      <c r="N21" s="314"/>
      <c r="O21" s="272"/>
      <c r="P21" s="272"/>
      <c r="Q21" s="272"/>
      <c r="R21" s="272"/>
      <c r="S21" s="272"/>
      <c r="T21" s="272"/>
      <c r="U21" s="272"/>
      <c r="V21" s="272"/>
      <c r="W21" s="272"/>
      <c r="X21" s="272"/>
      <c r="Y21" s="272"/>
      <c r="Z21" s="272"/>
      <c r="AA21" s="272"/>
      <c r="AB21" s="272"/>
      <c r="AC21" s="272"/>
      <c r="AD21" s="272"/>
      <c r="AE21" s="272"/>
    </row>
    <row r="22" spans="2:31" ht="11" thickBot="1">
      <c r="B22" s="278" t="s">
        <v>466</v>
      </c>
      <c r="C22" s="315">
        <v>0.84</v>
      </c>
      <c r="D22" s="309" t="s">
        <v>483</v>
      </c>
      <c r="E22" s="316">
        <v>0.111</v>
      </c>
      <c r="F22" s="316">
        <v>0.111</v>
      </c>
      <c r="G22" s="316">
        <v>0.111</v>
      </c>
      <c r="H22" s="316">
        <v>0.111</v>
      </c>
      <c r="I22" s="317">
        <v>0.11</v>
      </c>
      <c r="J22" s="317">
        <v>0.11</v>
      </c>
      <c r="K22" s="318"/>
      <c r="L22" s="319"/>
      <c r="M22" s="318"/>
      <c r="N22" s="320"/>
      <c r="O22" s="272"/>
      <c r="P22" s="272"/>
      <c r="Q22" s="321"/>
      <c r="R22" s="272"/>
      <c r="S22" s="272"/>
      <c r="T22" s="272"/>
      <c r="U22" s="272"/>
      <c r="V22" s="272"/>
      <c r="W22" s="272"/>
      <c r="X22" s="272"/>
      <c r="Y22" s="272"/>
      <c r="Z22" s="272"/>
      <c r="AA22" s="272"/>
      <c r="AB22" s="272"/>
      <c r="AC22" s="272"/>
      <c r="AD22" s="272"/>
      <c r="AE22" s="272"/>
    </row>
    <row r="23" spans="2:31" ht="11" thickBot="1">
      <c r="B23" s="322"/>
      <c r="C23" s="323"/>
      <c r="D23" s="324" t="s">
        <v>484</v>
      </c>
      <c r="E23" s="325">
        <f t="shared" ref="E23:J23" si="0">0.166666666666667%*100</f>
        <v>0.16666666666666699</v>
      </c>
      <c r="F23" s="325">
        <f t="shared" si="0"/>
        <v>0.16666666666666699</v>
      </c>
      <c r="G23" s="325">
        <f t="shared" si="0"/>
        <v>0.16666666666666699</v>
      </c>
      <c r="H23" s="325">
        <f t="shared" si="0"/>
        <v>0.16666666666666699</v>
      </c>
      <c r="I23" s="325">
        <f t="shared" si="0"/>
        <v>0.16666666666666699</v>
      </c>
      <c r="J23" s="325">
        <f t="shared" si="0"/>
        <v>0.16666666666666699</v>
      </c>
      <c r="K23" s="318"/>
      <c r="L23" s="319"/>
      <c r="M23" s="318"/>
      <c r="N23" s="320"/>
      <c r="O23" s="272"/>
      <c r="P23" s="272"/>
      <c r="Q23" s="272"/>
      <c r="R23" s="272"/>
      <c r="S23" s="272"/>
      <c r="T23" s="272"/>
      <c r="U23" s="272"/>
      <c r="V23" s="272"/>
      <c r="W23" s="272"/>
      <c r="X23" s="272"/>
      <c r="Y23" s="272"/>
      <c r="Z23" s="272"/>
      <c r="AA23" s="272"/>
      <c r="AB23" s="272"/>
      <c r="AC23" s="272"/>
      <c r="AD23" s="272"/>
      <c r="AE23" s="272"/>
    </row>
    <row r="24" spans="2:31" ht="11" thickBot="1">
      <c r="B24" s="322"/>
      <c r="C24" s="323"/>
      <c r="D24" s="326"/>
      <c r="E24" s="327"/>
      <c r="F24" s="328"/>
      <c r="G24" s="328"/>
      <c r="H24" s="328"/>
      <c r="I24" s="328"/>
      <c r="J24" s="328"/>
      <c r="K24" s="328"/>
      <c r="L24" s="328"/>
      <c r="M24" s="328"/>
      <c r="N24" s="126"/>
      <c r="O24" s="272"/>
      <c r="P24" s="272"/>
      <c r="Q24" s="272"/>
      <c r="R24" s="272"/>
      <c r="S24" s="272"/>
      <c r="T24" s="272"/>
      <c r="U24" s="272"/>
      <c r="V24" s="272"/>
      <c r="W24" s="272"/>
      <c r="X24" s="272"/>
      <c r="Y24" s="272"/>
      <c r="Z24" s="272"/>
      <c r="AA24" s="272"/>
      <c r="AB24" s="272"/>
      <c r="AC24" s="272"/>
      <c r="AD24" s="272"/>
      <c r="AE24" s="272"/>
    </row>
    <row r="25" spans="2:31" ht="11" thickBot="1">
      <c r="B25" s="274" t="s">
        <v>485</v>
      </c>
      <c r="C25" s="329">
        <v>8.3836702003960026E-2</v>
      </c>
      <c r="D25" s="330"/>
      <c r="E25" s="686" t="s">
        <v>486</v>
      </c>
      <c r="F25" s="686"/>
      <c r="G25" s="686"/>
      <c r="H25" s="686"/>
      <c r="I25" s="686"/>
      <c r="J25" s="686"/>
      <c r="K25" s="686"/>
      <c r="L25" s="686"/>
      <c r="M25" s="686"/>
      <c r="N25" s="685"/>
      <c r="O25" s="272"/>
      <c r="P25" s="272"/>
      <c r="Q25" s="272"/>
      <c r="R25" s="272"/>
      <c r="S25" s="272"/>
      <c r="T25" s="272"/>
      <c r="U25" s="272"/>
      <c r="V25" s="272"/>
      <c r="W25" s="272"/>
      <c r="X25" s="272"/>
      <c r="Y25" s="272"/>
      <c r="Z25" s="272"/>
      <c r="AA25" s="272"/>
      <c r="AB25" s="272"/>
      <c r="AC25" s="272"/>
      <c r="AD25" s="272"/>
      <c r="AE25" s="272"/>
    </row>
    <row r="26" spans="2:31" ht="11" thickBot="1">
      <c r="B26" s="278" t="s">
        <v>487</v>
      </c>
      <c r="C26" s="331" t="b">
        <v>1</v>
      </c>
      <c r="D26" s="303" t="s">
        <v>488</v>
      </c>
      <c r="E26" s="332">
        <v>1</v>
      </c>
      <c r="F26" s="59">
        <f t="shared" ref="F26:N26" si="1">E26+1</f>
        <v>2</v>
      </c>
      <c r="G26" s="333">
        <f t="shared" si="1"/>
        <v>3</v>
      </c>
      <c r="H26" s="334">
        <f t="shared" si="1"/>
        <v>4</v>
      </c>
      <c r="I26" s="334">
        <f t="shared" si="1"/>
        <v>5</v>
      </c>
      <c r="J26" s="334">
        <f t="shared" si="1"/>
        <v>6</v>
      </c>
      <c r="K26" s="334">
        <f t="shared" si="1"/>
        <v>7</v>
      </c>
      <c r="L26" s="59">
        <f t="shared" si="1"/>
        <v>8</v>
      </c>
      <c r="M26" s="334">
        <f t="shared" si="1"/>
        <v>9</v>
      </c>
      <c r="N26" s="335">
        <f t="shared" si="1"/>
        <v>10</v>
      </c>
      <c r="O26" s="272"/>
      <c r="P26" s="272"/>
      <c r="Q26" s="272"/>
      <c r="R26" s="272"/>
      <c r="S26" s="272"/>
      <c r="T26" s="272"/>
      <c r="U26" s="272"/>
      <c r="V26" s="272"/>
      <c r="W26" s="272"/>
      <c r="X26" s="272"/>
      <c r="Y26" s="272"/>
      <c r="Z26" s="272"/>
      <c r="AA26" s="272"/>
      <c r="AB26" s="272"/>
      <c r="AC26" s="272"/>
      <c r="AD26" s="272"/>
      <c r="AE26" s="272"/>
    </row>
    <row r="27" spans="2:31" ht="10.5">
      <c r="B27" s="322"/>
      <c r="D27" s="336">
        <v>0</v>
      </c>
      <c r="E27" s="337">
        <v>1.9E-2</v>
      </c>
      <c r="F27" s="338">
        <v>2.1000000000000001E-2</v>
      </c>
      <c r="G27" s="339">
        <v>2.1999999999999999E-2</v>
      </c>
      <c r="H27" s="340">
        <v>2.1000000000000001E-2</v>
      </c>
      <c r="I27" s="339">
        <v>2.1999999999999999E-2</v>
      </c>
      <c r="J27" s="339">
        <v>2.1000000000000001E-2</v>
      </c>
      <c r="K27" s="313"/>
      <c r="L27" s="341"/>
      <c r="M27" s="313"/>
      <c r="N27" s="289"/>
      <c r="O27" s="272"/>
      <c r="P27" s="272"/>
      <c r="Q27" s="272"/>
      <c r="R27" s="272"/>
      <c r="S27" s="272"/>
      <c r="T27" s="272"/>
      <c r="U27" s="272"/>
      <c r="V27" s="272"/>
      <c r="W27" s="272"/>
      <c r="X27" s="272"/>
      <c r="Y27" s="272"/>
      <c r="Z27" s="272"/>
      <c r="AA27" s="272"/>
      <c r="AB27" s="272"/>
      <c r="AC27" s="272"/>
      <c r="AD27" s="272"/>
      <c r="AE27" s="272"/>
    </row>
    <row r="28" spans="2:31" ht="10.5">
      <c r="B28" s="322"/>
      <c r="D28" s="342">
        <v>2.4E-2</v>
      </c>
      <c r="E28" s="337">
        <v>3.5999999999999997E-2</v>
      </c>
      <c r="F28" s="343">
        <v>0.04</v>
      </c>
      <c r="G28" s="344">
        <v>4.1000000000000002E-2</v>
      </c>
      <c r="H28" s="345">
        <v>0.04</v>
      </c>
      <c r="I28" s="345">
        <v>4.1000000000000002E-2</v>
      </c>
      <c r="J28" s="345">
        <v>0.04</v>
      </c>
      <c r="K28" s="346"/>
      <c r="L28" s="346"/>
      <c r="M28" s="346"/>
      <c r="N28" s="346"/>
      <c r="O28" s="272"/>
      <c r="P28" s="272"/>
      <c r="Q28" s="272"/>
      <c r="R28" s="272"/>
      <c r="S28" s="272"/>
      <c r="T28" s="272"/>
      <c r="U28" s="272"/>
      <c r="V28" s="272"/>
      <c r="W28" s="272"/>
      <c r="X28" s="272"/>
      <c r="Y28" s="272"/>
      <c r="Z28" s="272"/>
      <c r="AA28" s="272"/>
      <c r="AB28" s="272"/>
      <c r="AC28" s="272"/>
      <c r="AD28" s="272"/>
      <c r="AE28" s="272"/>
    </row>
    <row r="29" spans="2:31" ht="10.5">
      <c r="B29" s="322"/>
      <c r="D29" s="342">
        <v>4.9000000000000002E-2</v>
      </c>
      <c r="E29" s="337">
        <v>6.3E-2</v>
      </c>
      <c r="F29" s="343">
        <v>6.9000000000000006E-2</v>
      </c>
      <c r="G29" s="344">
        <v>7.0999999999999994E-2</v>
      </c>
      <c r="H29" s="345">
        <v>6.9000000000000006E-2</v>
      </c>
      <c r="I29" s="345">
        <v>7.0999999999999994E-2</v>
      </c>
      <c r="J29" s="345">
        <v>6.9000000000000006E-2</v>
      </c>
      <c r="K29" s="346"/>
      <c r="L29" s="346"/>
      <c r="M29" s="346"/>
      <c r="N29" s="346"/>
      <c r="O29" s="272"/>
      <c r="P29" s="272"/>
      <c r="Q29" s="272"/>
      <c r="R29" s="272"/>
      <c r="S29" s="272"/>
      <c r="T29" s="272"/>
      <c r="U29" s="272"/>
      <c r="V29" s="272"/>
      <c r="W29" s="272"/>
      <c r="X29" s="272"/>
      <c r="Y29" s="272"/>
      <c r="Z29" s="272"/>
      <c r="AA29" s="272"/>
      <c r="AB29" s="272"/>
      <c r="AC29" s="272"/>
      <c r="AD29" s="272"/>
      <c r="AE29" s="272"/>
    </row>
    <row r="30" spans="2:31" ht="10.5">
      <c r="B30" s="322"/>
      <c r="D30" s="342">
        <v>6.5000000000000002E-2</v>
      </c>
      <c r="E30" s="337">
        <v>9.2999999999999999E-2</v>
      </c>
      <c r="F30" s="343">
        <v>0.107</v>
      </c>
      <c r="G30" s="344">
        <v>0.111</v>
      </c>
      <c r="H30" s="345">
        <v>0.108</v>
      </c>
      <c r="I30" s="345">
        <v>0.112</v>
      </c>
      <c r="J30" s="345">
        <v>0.108</v>
      </c>
      <c r="K30" s="346"/>
      <c r="L30" s="346"/>
      <c r="M30" s="346"/>
      <c r="N30" s="346"/>
      <c r="O30" s="272"/>
      <c r="P30" s="272"/>
      <c r="Q30" s="272"/>
      <c r="R30" s="272"/>
      <c r="S30" s="272"/>
      <c r="T30" s="272"/>
      <c r="U30" s="272"/>
      <c r="V30" s="272"/>
      <c r="W30" s="272"/>
      <c r="X30" s="272"/>
      <c r="Y30" s="272"/>
      <c r="Z30" s="272"/>
      <c r="AA30" s="272"/>
      <c r="AB30" s="272"/>
      <c r="AC30" s="272"/>
      <c r="AD30" s="272"/>
      <c r="AE30" s="272"/>
    </row>
    <row r="31" spans="2:31" ht="10.5">
      <c r="B31" s="322"/>
      <c r="D31" s="342">
        <v>8.1000000000000003E-2</v>
      </c>
      <c r="E31" s="337">
        <v>0.13300000000000001</v>
      </c>
      <c r="F31" s="343">
        <v>0.14899999999999999</v>
      </c>
      <c r="G31" s="344">
        <v>0.154</v>
      </c>
      <c r="H31" s="345">
        <v>0.151</v>
      </c>
      <c r="I31" s="345">
        <v>0.154</v>
      </c>
      <c r="J31" s="345">
        <v>0.14899999999999999</v>
      </c>
      <c r="K31" s="346"/>
      <c r="L31" s="346"/>
      <c r="M31" s="346"/>
      <c r="N31" s="346"/>
      <c r="O31" s="272"/>
      <c r="P31" s="272"/>
      <c r="Q31" s="272"/>
      <c r="R31" s="272"/>
      <c r="S31" s="272"/>
      <c r="T31" s="272"/>
      <c r="U31" s="272"/>
      <c r="V31" s="272"/>
      <c r="W31" s="272"/>
      <c r="X31" s="272"/>
      <c r="Y31" s="272"/>
      <c r="Z31" s="272"/>
      <c r="AA31" s="272"/>
      <c r="AB31" s="272"/>
      <c r="AC31" s="272"/>
      <c r="AD31" s="272"/>
      <c r="AE31" s="272"/>
    </row>
    <row r="32" spans="2:31" ht="10.5">
      <c r="B32" s="322"/>
      <c r="D32" s="342">
        <v>9.8000000000000004E-2</v>
      </c>
      <c r="E32" s="337">
        <v>0.17399999999999999</v>
      </c>
      <c r="F32" s="343">
        <v>0.191</v>
      </c>
      <c r="G32" s="344">
        <v>0.19600000000000001</v>
      </c>
      <c r="H32" s="345">
        <v>0.19400000000000001</v>
      </c>
      <c r="I32" s="345">
        <v>0.19700000000000001</v>
      </c>
      <c r="J32" s="345">
        <v>0.191</v>
      </c>
      <c r="K32" s="346"/>
      <c r="L32" s="346"/>
      <c r="M32" s="346"/>
      <c r="N32" s="346"/>
      <c r="O32" s="272"/>
      <c r="P32" s="272"/>
      <c r="Q32" s="272"/>
      <c r="R32" s="272"/>
      <c r="S32" s="272"/>
      <c r="T32" s="272"/>
      <c r="U32" s="272"/>
      <c r="V32" s="272"/>
      <c r="W32" s="272"/>
      <c r="X32" s="272"/>
      <c r="Y32" s="272"/>
      <c r="Z32" s="272"/>
      <c r="AA32" s="272"/>
      <c r="AB32" s="272"/>
      <c r="AC32" s="272"/>
      <c r="AD32" s="272"/>
      <c r="AE32" s="272"/>
    </row>
    <row r="33" spans="1:31" ht="11" thickBot="1">
      <c r="B33" s="347"/>
      <c r="C33" s="348"/>
      <c r="D33" s="349">
        <v>0.114</v>
      </c>
      <c r="E33" s="350">
        <v>0.214</v>
      </c>
      <c r="F33" s="351">
        <v>0.23200000000000001</v>
      </c>
      <c r="G33" s="352">
        <v>0.23799999999999999</v>
      </c>
      <c r="H33" s="353">
        <v>0.23499999999999999</v>
      </c>
      <c r="I33" s="352">
        <v>0.23899999999999999</v>
      </c>
      <c r="J33" s="352">
        <v>0.23200000000000001</v>
      </c>
      <c r="K33" s="319"/>
      <c r="L33" s="354"/>
      <c r="M33" s="319"/>
      <c r="N33" s="315"/>
      <c r="O33" s="272"/>
      <c r="P33" s="272"/>
      <c r="Q33" s="272"/>
      <c r="R33" s="272"/>
      <c r="S33" s="272"/>
      <c r="T33" s="272"/>
      <c r="U33" s="272"/>
      <c r="V33" s="272"/>
      <c r="W33" s="272"/>
      <c r="X33" s="272"/>
      <c r="Y33" s="272"/>
      <c r="Z33" s="272"/>
      <c r="AA33" s="272"/>
      <c r="AB33" s="272"/>
      <c r="AC33" s="272"/>
      <c r="AD33" s="272"/>
      <c r="AE33" s="272"/>
    </row>
    <row r="34" spans="1:31" ht="10.5" thickBot="1">
      <c r="D34" s="272"/>
      <c r="E34" s="272"/>
      <c r="F34" s="272"/>
      <c r="G34" s="272"/>
      <c r="H34" s="272"/>
      <c r="I34" s="272"/>
      <c r="J34" s="272"/>
      <c r="K34" s="272"/>
      <c r="L34" s="272"/>
      <c r="M34" s="272"/>
      <c r="N34" s="272"/>
      <c r="O34" s="272"/>
      <c r="P34" s="272"/>
      <c r="Q34" s="272"/>
      <c r="R34" s="272"/>
      <c r="S34" s="272"/>
      <c r="T34" s="272"/>
      <c r="U34" s="272"/>
      <c r="V34" s="272"/>
      <c r="W34" s="272"/>
      <c r="X34" s="272"/>
      <c r="Y34" s="272"/>
      <c r="Z34" s="272"/>
      <c r="AA34" s="272"/>
      <c r="AB34" s="272"/>
      <c r="AC34" s="272"/>
      <c r="AD34" s="272"/>
      <c r="AE34" s="272"/>
    </row>
    <row r="35" spans="1:31" ht="11" thickBot="1">
      <c r="D35" s="355" t="s">
        <v>423</v>
      </c>
      <c r="E35" s="356" t="b">
        <v>1</v>
      </c>
      <c r="F35" s="272"/>
      <c r="G35" s="272"/>
      <c r="H35" s="272"/>
      <c r="I35" s="272"/>
      <c r="J35" s="272"/>
      <c r="K35" s="272"/>
      <c r="L35" s="272"/>
      <c r="M35" s="272"/>
      <c r="N35" s="272"/>
      <c r="O35" s="272"/>
      <c r="P35" s="272"/>
      <c r="Q35" s="272"/>
      <c r="R35" s="272"/>
      <c r="S35" s="272"/>
      <c r="T35" s="272"/>
      <c r="U35" s="272"/>
      <c r="V35" s="272"/>
      <c r="W35" s="272"/>
      <c r="X35" s="272"/>
      <c r="Y35" s="272"/>
      <c r="Z35" s="272"/>
      <c r="AA35" s="272"/>
      <c r="AB35" s="272"/>
      <c r="AC35" s="272"/>
      <c r="AD35" s="272"/>
      <c r="AE35" s="272"/>
    </row>
    <row r="36" spans="1:31" ht="11" thickBot="1">
      <c r="B36" s="357"/>
      <c r="C36" s="79"/>
      <c r="D36" s="272"/>
      <c r="E36" s="272"/>
      <c r="F36" s="272"/>
      <c r="G36" s="272"/>
      <c r="H36" s="272"/>
      <c r="I36" s="272"/>
      <c r="J36" s="272"/>
      <c r="K36" s="272"/>
      <c r="L36" s="272"/>
      <c r="M36" s="272"/>
      <c r="N36" s="272"/>
      <c r="O36" s="272"/>
      <c r="P36" s="272"/>
      <c r="Q36" s="272"/>
      <c r="R36" s="272"/>
      <c r="S36" s="272"/>
      <c r="T36" s="272"/>
      <c r="U36" s="272"/>
      <c r="V36" s="272"/>
      <c r="W36" s="272"/>
      <c r="X36" s="272"/>
      <c r="Y36" s="272"/>
      <c r="Z36" s="272"/>
      <c r="AA36" s="272"/>
      <c r="AB36" s="272"/>
      <c r="AC36" s="272"/>
      <c r="AD36" s="272"/>
      <c r="AE36" s="272"/>
    </row>
    <row r="37" spans="1:31" ht="13.5" customHeight="1" thickBot="1">
      <c r="B37" s="357"/>
      <c r="C37" s="684" t="s">
        <v>480</v>
      </c>
      <c r="D37" s="685"/>
      <c r="E37" s="686" t="s">
        <v>489</v>
      </c>
      <c r="F37" s="686"/>
      <c r="G37" s="686"/>
      <c r="H37" s="686"/>
      <c r="I37" s="686"/>
      <c r="J37" s="686"/>
      <c r="K37" s="686"/>
      <c r="L37" s="686"/>
      <c r="M37" s="686"/>
      <c r="N37" s="685"/>
      <c r="O37" s="272"/>
      <c r="P37" s="272"/>
      <c r="Q37" s="272"/>
      <c r="R37" s="272"/>
      <c r="S37" s="272"/>
      <c r="T37" s="272"/>
      <c r="U37" s="272"/>
      <c r="V37" s="272"/>
      <c r="W37" s="272"/>
      <c r="X37" s="272"/>
      <c r="Y37" s="272"/>
      <c r="Z37" s="272"/>
      <c r="AA37" s="272"/>
      <c r="AB37" s="272"/>
      <c r="AC37" s="272"/>
      <c r="AD37" s="272"/>
      <c r="AE37" s="272"/>
    </row>
    <row r="38" spans="1:31" ht="11" thickBot="1">
      <c r="B38" s="284"/>
      <c r="C38" s="358" t="s">
        <v>434</v>
      </c>
      <c r="D38" s="359" t="s">
        <v>490</v>
      </c>
      <c r="E38" s="273">
        <v>1</v>
      </c>
      <c r="F38" s="273">
        <f t="shared" ref="F38:N38" si="2">E38+1</f>
        <v>2</v>
      </c>
      <c r="G38" s="273">
        <f t="shared" si="2"/>
        <v>3</v>
      </c>
      <c r="H38" s="273">
        <f t="shared" si="2"/>
        <v>4</v>
      </c>
      <c r="I38" s="273">
        <f t="shared" si="2"/>
        <v>5</v>
      </c>
      <c r="J38" s="273">
        <f t="shared" si="2"/>
        <v>6</v>
      </c>
      <c r="K38" s="273">
        <f t="shared" si="2"/>
        <v>7</v>
      </c>
      <c r="L38" s="273">
        <f t="shared" si="2"/>
        <v>8</v>
      </c>
      <c r="M38" s="273">
        <f t="shared" si="2"/>
        <v>9</v>
      </c>
      <c r="N38" s="360">
        <f t="shared" si="2"/>
        <v>10</v>
      </c>
      <c r="O38" s="272"/>
      <c r="P38" s="272"/>
      <c r="Q38" s="272"/>
      <c r="R38" s="272"/>
      <c r="S38" s="272"/>
      <c r="T38" s="272"/>
      <c r="U38" s="272"/>
      <c r="V38" s="272"/>
      <c r="W38" s="272"/>
      <c r="X38" s="272"/>
      <c r="Y38" s="272"/>
      <c r="Z38" s="272"/>
      <c r="AA38" s="272"/>
      <c r="AB38" s="272"/>
      <c r="AC38" s="272"/>
      <c r="AD38" s="272"/>
      <c r="AE38" s="272"/>
    </row>
    <row r="39" spans="1:31" ht="11" thickBot="1">
      <c r="A39" s="79"/>
      <c r="B39" s="358" t="s">
        <v>491</v>
      </c>
      <c r="C39" s="361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2" t="e">
        <f ca="1"/>
        <v>#NAME?</v>
      </c>
      <c r="E39" s="363" t="e">
        <f ca="1"/>
        <v>#NAME?</v>
      </c>
      <c r="F39" s="363" t="e">
        <f ca="1"/>
        <v>#NAME?</v>
      </c>
      <c r="G39" s="363" t="e">
        <f ca="1"/>
        <v>#NAME?</v>
      </c>
      <c r="H39" s="363" t="e">
        <f ca="1"/>
        <v>#NAME?</v>
      </c>
      <c r="I39" s="363" t="e">
        <f ca="1"/>
        <v>#NAME?</v>
      </c>
      <c r="J39" s="363" t="e">
        <f ca="1"/>
        <v>#NAME?</v>
      </c>
      <c r="K39" s="363" t="e">
        <f ca="1"/>
        <v>#NAME?</v>
      </c>
      <c r="L39" s="363" t="e">
        <f ca="1"/>
        <v>#NAME?</v>
      </c>
      <c r="M39" s="363" t="e">
        <f ca="1"/>
        <v>#NAME?</v>
      </c>
      <c r="N39" s="364" t="e">
        <f ca="1"/>
        <v>#NAME?</v>
      </c>
      <c r="O39" s="272"/>
      <c r="P39" s="272"/>
      <c r="Q39" s="272"/>
      <c r="R39" s="272"/>
      <c r="S39" s="272"/>
      <c r="T39" s="272"/>
      <c r="U39" s="272"/>
      <c r="V39" s="272"/>
      <c r="W39" s="272"/>
      <c r="X39" s="272"/>
      <c r="Y39" s="272"/>
      <c r="Z39" s="272"/>
      <c r="AA39" s="272"/>
      <c r="AB39" s="272"/>
      <c r="AC39" s="272"/>
      <c r="AD39" s="272"/>
      <c r="AE39" s="272"/>
    </row>
    <row r="40" spans="1:31" ht="11" thickBot="1">
      <c r="B40" s="358" t="s">
        <v>492</v>
      </c>
      <c r="C40" s="365" t="e">
        <f ca="1"/>
        <v>#NAME?</v>
      </c>
      <c r="D40" s="366" t="e">
        <f ca="1"/>
        <v>#NAME?</v>
      </c>
      <c r="E40" s="367" t="e">
        <f ca="1"/>
        <v>#NAME?</v>
      </c>
      <c r="F40" s="367" t="e">
        <f ca="1"/>
        <v>#NAME?</v>
      </c>
      <c r="G40" s="367" t="e">
        <f ca="1"/>
        <v>#NAME?</v>
      </c>
      <c r="H40" s="367" t="e">
        <f ca="1"/>
        <v>#NAME?</v>
      </c>
      <c r="I40" s="367" t="e">
        <f ca="1"/>
        <v>#NAME?</v>
      </c>
      <c r="J40" s="367" t="e">
        <f ca="1"/>
        <v>#NAME?</v>
      </c>
      <c r="K40" s="367" t="e">
        <f ca="1"/>
        <v>#NAME?</v>
      </c>
      <c r="L40" s="367" t="e">
        <f ca="1"/>
        <v>#NAME?</v>
      </c>
      <c r="M40" s="367" t="e">
        <f ca="1"/>
        <v>#NAME?</v>
      </c>
      <c r="N40" s="368" t="e">
        <f ca="1"/>
        <v>#NAME?</v>
      </c>
      <c r="O40" s="272"/>
      <c r="P40" s="272"/>
      <c r="Q40" s="272"/>
      <c r="R40" s="272"/>
      <c r="S40" s="272"/>
      <c r="T40" s="272"/>
      <c r="U40" s="272"/>
      <c r="V40" s="272"/>
      <c r="W40" s="272"/>
      <c r="X40" s="272"/>
      <c r="Y40" s="272"/>
      <c r="Z40" s="272"/>
      <c r="AA40" s="272"/>
      <c r="AB40" s="272"/>
      <c r="AC40" s="272"/>
      <c r="AD40" s="272"/>
      <c r="AE40" s="272"/>
    </row>
    <row r="41" spans="1:31">
      <c r="C41" s="369"/>
      <c r="D41" s="370" t="e" cm="1">
        <f t="array" aca="1" ref="D41" ca="1">GetTest2(E21:N23)</f>
        <v>#NAME?</v>
      </c>
      <c r="E41" s="370"/>
      <c r="F41" s="371"/>
      <c r="G41" s="370"/>
      <c r="H41" s="371"/>
      <c r="I41" s="369"/>
      <c r="J41" s="371"/>
      <c r="K41" s="369"/>
      <c r="L41" s="371"/>
      <c r="M41" s="369"/>
      <c r="N41" s="369"/>
      <c r="O41" s="272"/>
      <c r="P41" s="687"/>
      <c r="Q41" s="687"/>
      <c r="R41" s="687"/>
      <c r="S41" s="272"/>
      <c r="T41" s="272"/>
      <c r="U41" s="272"/>
      <c r="V41" s="272"/>
      <c r="W41" s="272"/>
      <c r="X41" s="272"/>
      <c r="Y41" s="272"/>
      <c r="Z41" s="272"/>
      <c r="AA41" s="272"/>
      <c r="AB41" s="272"/>
      <c r="AC41" s="272"/>
      <c r="AD41" s="272"/>
      <c r="AE41" s="272"/>
    </row>
    <row r="42" spans="1:31">
      <c r="B42" s="272" t="e" cm="1">
        <f t="array" aca="1" ref="B42" ca="1">GetTest2(E21:N23,C21,C22,C26,D46:N345,Parameter_Date,C5,C11)</f>
        <v>#NAME?</v>
      </c>
      <c r="D42" s="370"/>
      <c r="E42" s="370"/>
      <c r="F42" s="371"/>
      <c r="G42" s="370"/>
      <c r="H42" s="371"/>
      <c r="I42" s="369"/>
      <c r="J42" s="371"/>
      <c r="K42" s="369"/>
      <c r="L42" s="371"/>
      <c r="M42" s="369"/>
      <c r="N42" s="369"/>
      <c r="O42" s="272"/>
      <c r="P42" s="272"/>
      <c r="Q42" s="272"/>
      <c r="R42" s="272"/>
      <c r="S42" s="272"/>
      <c r="T42" s="272"/>
      <c r="U42" s="272"/>
      <c r="V42" s="272"/>
      <c r="W42" s="272"/>
      <c r="X42" s="272"/>
      <c r="Y42" s="272"/>
      <c r="Z42" s="272"/>
      <c r="AA42" s="272"/>
      <c r="AB42" s="272"/>
      <c r="AC42" s="272"/>
      <c r="AD42" s="272"/>
      <c r="AE42" s="272"/>
    </row>
    <row r="43" spans="1:31" ht="11" thickBot="1">
      <c r="D43" s="272"/>
      <c r="E43" s="372"/>
      <c r="O43" s="272"/>
      <c r="P43" s="272"/>
      <c r="Q43" s="272"/>
      <c r="R43" s="272"/>
      <c r="S43" s="272"/>
      <c r="T43" s="272"/>
      <c r="U43" s="272"/>
      <c r="V43" s="272"/>
      <c r="W43" s="272"/>
      <c r="X43" s="272"/>
      <c r="Y43" s="272"/>
      <c r="Z43" s="272"/>
      <c r="AA43" s="272"/>
      <c r="AB43" s="272"/>
      <c r="AC43" s="272"/>
      <c r="AD43" s="272"/>
      <c r="AE43" s="272"/>
    </row>
    <row r="44" spans="1:31" ht="11" thickBot="1">
      <c r="C44" s="323"/>
      <c r="D44" s="373"/>
      <c r="E44" s="684" t="s">
        <v>493</v>
      </c>
      <c r="F44" s="686"/>
      <c r="G44" s="686"/>
      <c r="H44" s="686"/>
      <c r="I44" s="686"/>
      <c r="J44" s="686"/>
      <c r="K44" s="686"/>
      <c r="L44" s="686"/>
      <c r="M44" s="686"/>
      <c r="N44" s="685"/>
      <c r="O44" s="272"/>
      <c r="P44" s="272"/>
      <c r="Q44" s="272"/>
      <c r="R44" s="272"/>
      <c r="S44" s="272"/>
      <c r="T44" s="272"/>
      <c r="U44" s="272"/>
      <c r="V44" s="272"/>
      <c r="W44" s="272"/>
      <c r="X44" s="272"/>
      <c r="Y44" s="272"/>
      <c r="Z44" s="272"/>
      <c r="AA44" s="272"/>
      <c r="AB44" s="272"/>
      <c r="AC44" s="272"/>
      <c r="AD44" s="272"/>
      <c r="AE44" s="272"/>
    </row>
    <row r="45" spans="1:31" ht="11" thickBot="1">
      <c r="B45" s="303" t="s">
        <v>494</v>
      </c>
      <c r="C45" s="300" t="s">
        <v>495</v>
      </c>
      <c r="D45" s="358" t="s">
        <v>474</v>
      </c>
      <c r="E45" s="374">
        <v>1</v>
      </c>
      <c r="F45" s="375">
        <f t="shared" ref="F45:N45" si="3">E45+1</f>
        <v>2</v>
      </c>
      <c r="G45" s="375">
        <f t="shared" si="3"/>
        <v>3</v>
      </c>
      <c r="H45" s="375">
        <f t="shared" si="3"/>
        <v>4</v>
      </c>
      <c r="I45" s="375">
        <f t="shared" si="3"/>
        <v>5</v>
      </c>
      <c r="J45" s="375">
        <f t="shared" si="3"/>
        <v>6</v>
      </c>
      <c r="K45" s="375">
        <f t="shared" si="3"/>
        <v>7</v>
      </c>
      <c r="L45" s="375">
        <f t="shared" si="3"/>
        <v>8</v>
      </c>
      <c r="M45" s="375">
        <f t="shared" si="3"/>
        <v>9</v>
      </c>
      <c r="N45" s="376">
        <f t="shared" si="3"/>
        <v>10</v>
      </c>
      <c r="O45" s="272"/>
      <c r="P45" s="272"/>
      <c r="Q45" s="272"/>
      <c r="R45" s="272"/>
      <c r="S45" s="272"/>
      <c r="T45" s="272"/>
      <c r="U45" s="272"/>
      <c r="V45" s="272"/>
      <c r="W45" s="272"/>
      <c r="X45" s="272"/>
      <c r="Y45" s="272"/>
      <c r="Z45" s="272"/>
      <c r="AA45" s="272"/>
      <c r="AB45" s="272"/>
      <c r="AC45" s="272"/>
      <c r="AD45" s="272"/>
      <c r="AE45" s="272"/>
    </row>
    <row r="46" spans="1:31" ht="14.5">
      <c r="B46" s="377">
        <v>1</v>
      </c>
      <c r="C46" s="385" t="str" cm="1">
        <f t="array" aca="1" ref="C46" ca="1">IF(B46&lt;=$C$9,GetGetCDSName(B46),"")</f>
        <v>ABNAMRO_MMR.EUR.SU</v>
      </c>
      <c r="D46" s="345">
        <v>0</v>
      </c>
      <c r="E46" s="378">
        <v>0</v>
      </c>
      <c r="F46" s="297">
        <v>0</v>
      </c>
      <c r="G46" s="297">
        <v>1</v>
      </c>
      <c r="H46" s="297">
        <v>0</v>
      </c>
      <c r="I46" s="297">
        <v>0</v>
      </c>
      <c r="J46" s="297">
        <v>0</v>
      </c>
      <c r="K46" s="297"/>
      <c r="L46" s="297"/>
      <c r="M46" s="297"/>
      <c r="N46" s="379"/>
      <c r="O46" s="272"/>
      <c r="P46" s="272"/>
      <c r="Q46" s="272"/>
      <c r="R46" s="272"/>
      <c r="S46" s="272"/>
      <c r="T46" s="272"/>
      <c r="U46" s="272"/>
      <c r="V46" s="272"/>
      <c r="W46" s="272"/>
      <c r="X46" s="272"/>
      <c r="Y46" s="272"/>
      <c r="Z46" s="272"/>
      <c r="AA46" s="272"/>
      <c r="AB46" s="272"/>
      <c r="AC46" s="272"/>
      <c r="AD46" s="272"/>
      <c r="AE46" s="272"/>
    </row>
    <row r="47" spans="1:31" ht="14.5">
      <c r="B47" s="377">
        <f t="shared" ref="B47:B110" si="4">B46+1</f>
        <v>2</v>
      </c>
      <c r="C47" s="385" t="str" cm="1">
        <f t="array" aca="1" ref="C47" ca="1">IF(B47&lt;=$C$9,GetGetCDSName(B47),"")</f>
        <v>ACCOR_MMR.EUR.SU</v>
      </c>
      <c r="D47" s="345">
        <v>0</v>
      </c>
      <c r="E47" s="378">
        <v>0</v>
      </c>
      <c r="F47" s="297">
        <v>0</v>
      </c>
      <c r="G47" s="297">
        <v>0</v>
      </c>
      <c r="H47" s="297">
        <v>0</v>
      </c>
      <c r="I47" s="297">
        <v>1</v>
      </c>
      <c r="J47" s="297">
        <v>1</v>
      </c>
      <c r="K47" s="297"/>
      <c r="L47" s="297"/>
      <c r="M47" s="297"/>
      <c r="N47" s="379"/>
      <c r="O47" s="272"/>
      <c r="P47" s="272"/>
      <c r="Q47" s="272"/>
      <c r="R47" s="272"/>
      <c r="S47" s="272"/>
      <c r="T47" s="272"/>
      <c r="U47" s="272"/>
      <c r="V47" s="272"/>
      <c r="W47" s="272"/>
      <c r="X47" s="272"/>
      <c r="Y47" s="272"/>
      <c r="Z47" s="272"/>
      <c r="AA47" s="272"/>
      <c r="AB47" s="272"/>
      <c r="AC47" s="272"/>
      <c r="AD47" s="272"/>
      <c r="AE47" s="272"/>
    </row>
    <row r="48" spans="1:31" ht="14.5">
      <c r="B48" s="377">
        <f t="shared" si="4"/>
        <v>3</v>
      </c>
      <c r="C48" s="385" t="str" cm="1">
        <f t="array" aca="1" ref="C48" ca="1">IF(B48&lt;=$C$9,GetGetCDSName(B48),"")</f>
        <v>ADECCO_MMR.EUR.SU</v>
      </c>
      <c r="D48" s="345">
        <v>0</v>
      </c>
      <c r="E48" s="378">
        <v>0</v>
      </c>
      <c r="F48" s="297">
        <v>0</v>
      </c>
      <c r="G48" s="297">
        <v>1</v>
      </c>
      <c r="H48" s="297">
        <v>0</v>
      </c>
      <c r="I48" s="297">
        <v>1</v>
      </c>
      <c r="J48" s="297">
        <v>0</v>
      </c>
      <c r="K48" s="297"/>
      <c r="L48" s="297"/>
      <c r="M48" s="297"/>
      <c r="N48" s="379"/>
      <c r="O48" s="272"/>
      <c r="P48" s="272"/>
      <c r="Q48" s="272"/>
      <c r="R48" s="272"/>
      <c r="S48" s="272"/>
      <c r="T48" s="272"/>
      <c r="U48" s="272"/>
      <c r="V48" s="272"/>
      <c r="W48" s="272"/>
      <c r="X48" s="272"/>
      <c r="Y48" s="272"/>
      <c r="Z48" s="272"/>
      <c r="AA48" s="272"/>
      <c r="AB48" s="272"/>
      <c r="AC48" s="272"/>
      <c r="AD48" s="272"/>
      <c r="AE48" s="272"/>
    </row>
    <row r="49" spans="2:31" ht="14.5">
      <c r="B49" s="377">
        <f t="shared" si="4"/>
        <v>4</v>
      </c>
      <c r="C49" s="385" t="str" cm="1">
        <f t="array" aca="1" ref="C49" ca="1">IF(B49&lt;=$C$9,GetGetCDSName(B49),"")</f>
        <v>AEGON_MMR.EUR.SU</v>
      </c>
      <c r="D49" s="345">
        <v>0</v>
      </c>
      <c r="E49" s="378">
        <v>0</v>
      </c>
      <c r="F49" s="297">
        <v>0</v>
      </c>
      <c r="G49" s="297">
        <v>0</v>
      </c>
      <c r="H49" s="297">
        <v>0</v>
      </c>
      <c r="I49" s="297">
        <v>0</v>
      </c>
      <c r="J49" s="297">
        <v>1</v>
      </c>
      <c r="K49" s="297"/>
      <c r="L49" s="297"/>
      <c r="M49" s="297"/>
      <c r="N49" s="379"/>
      <c r="O49" s="272"/>
      <c r="P49" s="272"/>
      <c r="Q49" s="272"/>
      <c r="R49" s="272"/>
      <c r="S49" s="272"/>
      <c r="T49" s="272"/>
      <c r="U49" s="272"/>
      <c r="V49" s="272"/>
      <c r="W49" s="272"/>
      <c r="X49" s="272"/>
      <c r="Y49" s="272"/>
      <c r="Z49" s="272"/>
      <c r="AA49" s="272"/>
      <c r="AB49" s="272"/>
      <c r="AC49" s="272"/>
      <c r="AD49" s="272"/>
      <c r="AE49" s="272"/>
    </row>
    <row r="50" spans="2:31" ht="14.5">
      <c r="B50" s="377">
        <f t="shared" si="4"/>
        <v>5</v>
      </c>
      <c r="C50" s="385" t="str" cm="1">
        <f t="array" aca="1" ref="C50" ca="1">IF(B50&lt;=$C$9,GetGetCDSName(B50),"")</f>
        <v>AKZONOBEL_MMR.EUR.SU</v>
      </c>
      <c r="D50" s="345">
        <v>0</v>
      </c>
      <c r="E50" s="378">
        <v>0</v>
      </c>
      <c r="F50" s="297">
        <v>0</v>
      </c>
      <c r="G50" s="297">
        <v>0</v>
      </c>
      <c r="H50" s="297">
        <v>1</v>
      </c>
      <c r="I50" s="297">
        <v>0</v>
      </c>
      <c r="J50" s="297">
        <v>0</v>
      </c>
      <c r="K50" s="297"/>
      <c r="L50" s="297"/>
      <c r="M50" s="297"/>
      <c r="N50" s="379"/>
      <c r="O50" s="272"/>
      <c r="P50" s="272"/>
      <c r="Q50" s="272"/>
      <c r="R50" s="272"/>
      <c r="S50" s="272"/>
      <c r="T50" s="272"/>
      <c r="U50" s="272"/>
      <c r="V50" s="272"/>
      <c r="W50" s="272"/>
      <c r="X50" s="272"/>
      <c r="Y50" s="272"/>
      <c r="Z50" s="272"/>
      <c r="AA50" s="272"/>
      <c r="AB50" s="272"/>
      <c r="AC50" s="272"/>
      <c r="AD50" s="272"/>
      <c r="AE50" s="272"/>
    </row>
    <row r="51" spans="2:31" ht="14.5">
      <c r="B51" s="377">
        <f t="shared" si="4"/>
        <v>6</v>
      </c>
      <c r="C51" s="385" t="str" cm="1">
        <f t="array" aca="1" ref="C51" ca="1">IF(B51&lt;=$C$9,GetGetCDSName(B51),"")</f>
        <v>ALLIANZ_MMR.EUR.SU</v>
      </c>
      <c r="D51" s="345">
        <v>0</v>
      </c>
      <c r="E51" s="378">
        <v>1</v>
      </c>
      <c r="F51" s="297">
        <v>1</v>
      </c>
      <c r="G51" s="297">
        <v>0</v>
      </c>
      <c r="H51" s="297">
        <v>0</v>
      </c>
      <c r="I51" s="297">
        <v>0</v>
      </c>
      <c r="J51" s="297">
        <v>1</v>
      </c>
      <c r="K51" s="297"/>
      <c r="L51" s="297"/>
      <c r="M51" s="297"/>
      <c r="N51" s="379"/>
      <c r="O51" s="272"/>
      <c r="P51" s="272"/>
      <c r="Q51" s="272"/>
      <c r="R51" s="272"/>
      <c r="S51" s="272"/>
      <c r="T51" s="272"/>
      <c r="U51" s="272"/>
      <c r="V51" s="272"/>
      <c r="W51" s="272"/>
      <c r="X51" s="272"/>
      <c r="Y51" s="272"/>
      <c r="Z51" s="272"/>
      <c r="AA51" s="272"/>
      <c r="AB51" s="272"/>
      <c r="AC51" s="272"/>
      <c r="AD51" s="272"/>
      <c r="AE51" s="272"/>
    </row>
    <row r="52" spans="2:31" ht="14.5">
      <c r="B52" s="377">
        <f t="shared" si="4"/>
        <v>7</v>
      </c>
      <c r="C52" s="385" t="str" cm="1">
        <f t="array" aca="1" ref="C52" ca="1">IF(B52&lt;=$C$9,GetGetCDSName(B52),"")</f>
        <v>ALTADIS_MMR.EUR.SU</v>
      </c>
      <c r="D52" s="345">
        <v>0</v>
      </c>
      <c r="E52" s="378">
        <v>0</v>
      </c>
      <c r="F52" s="297">
        <v>0</v>
      </c>
      <c r="G52" s="297">
        <v>1</v>
      </c>
      <c r="H52" s="297">
        <v>1</v>
      </c>
      <c r="I52" s="297">
        <v>1</v>
      </c>
      <c r="J52" s="297">
        <v>0</v>
      </c>
      <c r="K52" s="297"/>
      <c r="L52" s="297"/>
      <c r="M52" s="297"/>
      <c r="N52" s="379"/>
      <c r="O52" s="272"/>
      <c r="P52" s="272"/>
      <c r="Q52" s="272"/>
      <c r="R52" s="272"/>
      <c r="S52" s="272"/>
      <c r="T52" s="272"/>
      <c r="U52" s="272"/>
      <c r="V52" s="272"/>
      <c r="W52" s="272"/>
      <c r="X52" s="272"/>
      <c r="Y52" s="272"/>
      <c r="Z52" s="272"/>
      <c r="AA52" s="272"/>
      <c r="AB52" s="272"/>
      <c r="AC52" s="272"/>
      <c r="AD52" s="272"/>
      <c r="AE52" s="272"/>
    </row>
    <row r="53" spans="2:31" ht="14.5">
      <c r="B53" s="377">
        <f t="shared" si="4"/>
        <v>8</v>
      </c>
      <c r="C53" s="385" t="str" cm="1">
        <f t="array" aca="1" ref="C53" ca="1">IF(B53&lt;=$C$9,GetGetCDSName(B53),"")</f>
        <v>ARCELORFINANCESCA_MMR.EUR.SU</v>
      </c>
      <c r="D53" s="345">
        <v>0</v>
      </c>
      <c r="E53" s="378">
        <v>1</v>
      </c>
      <c r="F53" s="297">
        <v>1</v>
      </c>
      <c r="G53" s="297">
        <v>0</v>
      </c>
      <c r="H53" s="297">
        <v>0</v>
      </c>
      <c r="I53" s="297">
        <v>1</v>
      </c>
      <c r="J53" s="297">
        <v>0</v>
      </c>
      <c r="K53" s="297"/>
      <c r="L53" s="297"/>
      <c r="M53" s="297"/>
      <c r="N53" s="379"/>
      <c r="O53" s="272"/>
      <c r="P53" s="272"/>
      <c r="Q53" s="272"/>
      <c r="R53" s="272"/>
      <c r="S53" s="272"/>
      <c r="T53" s="272"/>
      <c r="U53" s="272"/>
      <c r="V53" s="272"/>
      <c r="W53" s="272"/>
      <c r="X53" s="272"/>
      <c r="Y53" s="272"/>
      <c r="Z53" s="272"/>
      <c r="AA53" s="272"/>
      <c r="AB53" s="272"/>
      <c r="AC53" s="272"/>
      <c r="AD53" s="272"/>
      <c r="AE53" s="272"/>
    </row>
    <row r="54" spans="2:31" ht="14.5">
      <c r="B54" s="377">
        <f t="shared" si="4"/>
        <v>9</v>
      </c>
      <c r="C54" s="385" t="str" cm="1">
        <f t="array" aca="1" ref="C54" ca="1">IF(B54&lt;=$C$9,GetGetCDSName(B54),"")</f>
        <v>AUCHAN_MMR.EUR.SU</v>
      </c>
      <c r="D54" s="345">
        <v>0</v>
      </c>
      <c r="E54" s="378">
        <v>0</v>
      </c>
      <c r="F54" s="297">
        <v>0</v>
      </c>
      <c r="G54" s="297">
        <v>0</v>
      </c>
      <c r="H54" s="297">
        <v>0</v>
      </c>
      <c r="I54" s="297">
        <v>0</v>
      </c>
      <c r="J54" s="297">
        <v>1</v>
      </c>
      <c r="K54" s="297"/>
      <c r="L54" s="297"/>
      <c r="M54" s="297"/>
      <c r="N54" s="379"/>
      <c r="O54" s="272"/>
      <c r="P54" s="272"/>
      <c r="Q54" s="272"/>
      <c r="R54" s="272"/>
      <c r="S54" s="272"/>
      <c r="T54" s="272"/>
      <c r="U54" s="272"/>
      <c r="V54" s="272"/>
      <c r="W54" s="272"/>
      <c r="X54" s="272"/>
      <c r="Y54" s="272"/>
      <c r="Z54" s="272"/>
      <c r="AA54" s="272"/>
      <c r="AB54" s="272"/>
      <c r="AC54" s="272"/>
      <c r="AD54" s="272"/>
      <c r="AE54" s="272"/>
    </row>
    <row r="55" spans="2:31" ht="14.5">
      <c r="B55" s="377">
        <f t="shared" si="4"/>
        <v>10</v>
      </c>
      <c r="C55" s="385" t="str" cm="1">
        <f t="array" aca="1" ref="C55" ca="1">IF(B55&lt;=$C$9,GetGetCDSName(B55),"")</f>
        <v>AVIVA_MMR.EUR.SU</v>
      </c>
      <c r="D55" s="345">
        <v>0</v>
      </c>
      <c r="E55" s="378">
        <v>0</v>
      </c>
      <c r="F55" s="297">
        <v>0</v>
      </c>
      <c r="G55" s="297">
        <v>1</v>
      </c>
      <c r="H55" s="297">
        <v>1</v>
      </c>
      <c r="I55" s="297">
        <v>0</v>
      </c>
      <c r="J55" s="297">
        <v>0</v>
      </c>
      <c r="K55" s="297"/>
      <c r="L55" s="297"/>
      <c r="M55" s="297"/>
      <c r="N55" s="379"/>
      <c r="O55" s="272"/>
      <c r="P55" s="272"/>
      <c r="Q55" s="272"/>
      <c r="R55" s="272"/>
      <c r="S55" s="272"/>
      <c r="T55" s="272"/>
      <c r="U55" s="272"/>
      <c r="V55" s="272"/>
      <c r="W55" s="272"/>
      <c r="X55" s="272"/>
      <c r="Y55" s="272"/>
      <c r="Z55" s="272"/>
      <c r="AA55" s="272"/>
      <c r="AB55" s="272"/>
      <c r="AC55" s="272"/>
      <c r="AD55" s="272"/>
      <c r="AE55" s="272"/>
    </row>
    <row r="56" spans="2:31" ht="14.5">
      <c r="B56" s="377">
        <f t="shared" si="4"/>
        <v>11</v>
      </c>
      <c r="C56" s="385" t="str" cm="1">
        <f t="array" aca="1" ref="C56" ca="1">IF(B56&lt;=$C$9,GetGetCDSName(B56),"")</f>
        <v>AXA_MMR.EUR.SU</v>
      </c>
      <c r="D56" s="345">
        <v>0</v>
      </c>
      <c r="E56" s="378">
        <v>1</v>
      </c>
      <c r="F56" s="297">
        <v>0</v>
      </c>
      <c r="G56" s="297">
        <v>0</v>
      </c>
      <c r="H56" s="297">
        <v>0</v>
      </c>
      <c r="I56" s="297">
        <v>0</v>
      </c>
      <c r="J56" s="297">
        <v>0</v>
      </c>
      <c r="K56" s="297"/>
      <c r="L56" s="297"/>
      <c r="M56" s="297"/>
      <c r="N56" s="379"/>
      <c r="O56" s="272"/>
      <c r="P56" s="272"/>
      <c r="Q56" s="272"/>
      <c r="R56" s="272"/>
      <c r="S56" s="272"/>
      <c r="T56" s="272"/>
      <c r="U56" s="272"/>
      <c r="V56" s="272"/>
      <c r="W56" s="272"/>
      <c r="X56" s="272"/>
      <c r="Y56" s="272"/>
      <c r="Z56" s="272"/>
      <c r="AA56" s="272"/>
      <c r="AB56" s="272"/>
      <c r="AC56" s="272"/>
      <c r="AD56" s="272"/>
      <c r="AE56" s="272"/>
    </row>
    <row r="57" spans="2:31" ht="14.5">
      <c r="B57" s="377">
        <f t="shared" si="4"/>
        <v>12</v>
      </c>
      <c r="C57" s="385" t="str" cm="1">
        <f t="array" aca="1" ref="C57" ca="1">IF(B57&lt;=$C$9,GetGetCDSName(B57),"")</f>
        <v>BANCOESPIRITOSANTO_MMR.EUR.SU</v>
      </c>
      <c r="D57" s="345">
        <v>0</v>
      </c>
      <c r="E57" s="378">
        <v>0</v>
      </c>
      <c r="F57" s="297">
        <v>1</v>
      </c>
      <c r="G57" s="297">
        <v>0</v>
      </c>
      <c r="H57" s="297">
        <v>0</v>
      </c>
      <c r="I57" s="297">
        <v>0</v>
      </c>
      <c r="J57" s="297">
        <v>0</v>
      </c>
      <c r="K57" s="297"/>
      <c r="L57" s="297"/>
      <c r="M57" s="297"/>
      <c r="N57" s="379"/>
      <c r="O57" s="272"/>
      <c r="P57" s="272"/>
      <c r="Q57" s="272"/>
      <c r="R57" s="272"/>
      <c r="S57" s="272"/>
      <c r="T57" s="272"/>
      <c r="U57" s="272"/>
      <c r="V57" s="272"/>
      <c r="W57" s="272"/>
      <c r="X57" s="272"/>
      <c r="Y57" s="272"/>
      <c r="Z57" s="272"/>
      <c r="AA57" s="272"/>
      <c r="AB57" s="272"/>
      <c r="AC57" s="272"/>
      <c r="AD57" s="272"/>
      <c r="AE57" s="272"/>
    </row>
    <row r="58" spans="2:31" ht="14.5">
      <c r="B58" s="377">
        <f t="shared" si="4"/>
        <v>13</v>
      </c>
      <c r="C58" s="385" t="str" cm="1">
        <f t="array" aca="1" ref="C58" ca="1">IF(B58&lt;=$C$9,GetGetCDSName(B58),"")</f>
        <v>BARCLAYS_MMR.EUR.SU</v>
      </c>
      <c r="D58" s="345">
        <v>0</v>
      </c>
      <c r="E58" s="378">
        <v>0</v>
      </c>
      <c r="F58" s="297">
        <v>0</v>
      </c>
      <c r="G58" s="297">
        <v>0</v>
      </c>
      <c r="H58" s="297">
        <v>1</v>
      </c>
      <c r="I58" s="297">
        <v>0</v>
      </c>
      <c r="J58" s="297">
        <v>0</v>
      </c>
      <c r="K58" s="297"/>
      <c r="L58" s="297"/>
      <c r="M58" s="297"/>
      <c r="N58" s="379"/>
      <c r="O58" s="272"/>
      <c r="P58" s="272"/>
      <c r="Q58" s="272"/>
      <c r="R58" s="272"/>
      <c r="S58" s="272"/>
      <c r="T58" s="272"/>
      <c r="U58" s="272"/>
      <c r="V58" s="272"/>
      <c r="W58" s="272"/>
      <c r="X58" s="272"/>
      <c r="Y58" s="272"/>
      <c r="Z58" s="272"/>
      <c r="AA58" s="272"/>
      <c r="AB58" s="272"/>
      <c r="AC58" s="272"/>
      <c r="AD58" s="272"/>
      <c r="AE58" s="272"/>
    </row>
    <row r="59" spans="2:31" ht="14.5">
      <c r="B59" s="377">
        <f t="shared" si="4"/>
        <v>14</v>
      </c>
      <c r="C59" s="385" t="str" cm="1">
        <f t="array" aca="1" ref="C59" ca="1">IF(B59&lt;=$C$9,GetGetCDSName(B59),"")</f>
        <v>BASF_MMR.EUR.SU</v>
      </c>
      <c r="D59" s="345">
        <v>0</v>
      </c>
      <c r="E59" s="378">
        <v>0</v>
      </c>
      <c r="F59" s="297">
        <v>0</v>
      </c>
      <c r="G59" s="297">
        <v>0</v>
      </c>
      <c r="H59" s="297">
        <v>1</v>
      </c>
      <c r="I59" s="297">
        <v>1</v>
      </c>
      <c r="J59" s="297">
        <v>0</v>
      </c>
      <c r="K59" s="297"/>
      <c r="L59" s="297"/>
      <c r="M59" s="297"/>
      <c r="N59" s="379"/>
      <c r="O59" s="272"/>
      <c r="P59" s="272"/>
      <c r="Q59" s="272"/>
      <c r="R59" s="272"/>
      <c r="S59" s="272"/>
      <c r="T59" s="272"/>
      <c r="U59" s="272"/>
      <c r="V59" s="272"/>
      <c r="W59" s="272"/>
      <c r="X59" s="272"/>
      <c r="Y59" s="272"/>
      <c r="Z59" s="272"/>
      <c r="AA59" s="272"/>
      <c r="AB59" s="272"/>
      <c r="AC59" s="272"/>
      <c r="AD59" s="272"/>
      <c r="AE59" s="272"/>
    </row>
    <row r="60" spans="2:31" ht="14.5">
      <c r="B60" s="377">
        <f t="shared" si="4"/>
        <v>15</v>
      </c>
      <c r="C60" s="385" t="str" cm="1">
        <f t="array" aca="1" ref="C60" ca="1">IF(B60&lt;=$C$9,GetGetCDSName(B60),"")</f>
        <v>BAT_MMR.EUR.SU</v>
      </c>
      <c r="D60" s="345">
        <v>0</v>
      </c>
      <c r="E60" s="378">
        <v>1</v>
      </c>
      <c r="F60" s="297">
        <v>0</v>
      </c>
      <c r="G60" s="297">
        <v>0</v>
      </c>
      <c r="H60" s="297">
        <v>1</v>
      </c>
      <c r="I60" s="297">
        <v>1</v>
      </c>
      <c r="J60" s="297">
        <v>0</v>
      </c>
      <c r="K60" s="297"/>
      <c r="L60" s="297"/>
      <c r="M60" s="297"/>
      <c r="N60" s="379"/>
      <c r="O60" s="272"/>
      <c r="P60" s="272"/>
      <c r="Q60" s="272"/>
      <c r="R60" s="272"/>
      <c r="S60" s="272"/>
      <c r="T60" s="272"/>
      <c r="U60" s="272"/>
      <c r="V60" s="272"/>
      <c r="W60" s="272"/>
      <c r="X60" s="272"/>
      <c r="Y60" s="272"/>
      <c r="Z60" s="272"/>
      <c r="AA60" s="272"/>
      <c r="AB60" s="272"/>
      <c r="AC60" s="272"/>
      <c r="AD60" s="272"/>
      <c r="AE60" s="272"/>
    </row>
    <row r="61" spans="2:31" ht="14.5">
      <c r="B61" s="377">
        <f t="shared" si="4"/>
        <v>16</v>
      </c>
      <c r="C61" s="385" t="str" cm="1">
        <f t="array" aca="1" ref="C61" ca="1">IF(B61&lt;=$C$9,GetGetCDSName(B61),"")</f>
        <v>BAYER_MMR.EUR.SU</v>
      </c>
      <c r="D61" s="345">
        <v>0</v>
      </c>
      <c r="E61" s="378">
        <v>0</v>
      </c>
      <c r="F61" s="297">
        <v>0</v>
      </c>
      <c r="G61" s="297">
        <v>0</v>
      </c>
      <c r="H61" s="297">
        <v>0</v>
      </c>
      <c r="I61" s="297">
        <v>1</v>
      </c>
      <c r="J61" s="297">
        <v>0</v>
      </c>
      <c r="K61" s="297"/>
      <c r="L61" s="297"/>
      <c r="M61" s="297"/>
      <c r="N61" s="379"/>
      <c r="O61" s="272"/>
      <c r="P61" s="272"/>
      <c r="Q61" s="272"/>
      <c r="R61" s="272"/>
      <c r="S61" s="272"/>
      <c r="T61" s="272"/>
      <c r="U61" s="272"/>
      <c r="V61" s="272"/>
      <c r="W61" s="272"/>
      <c r="X61" s="272"/>
      <c r="Y61" s="272"/>
      <c r="Z61" s="272"/>
      <c r="AA61" s="272"/>
      <c r="AB61" s="272"/>
      <c r="AC61" s="272"/>
      <c r="AD61" s="272"/>
      <c r="AE61" s="272"/>
    </row>
    <row r="62" spans="2:31" ht="14.5">
      <c r="B62" s="377">
        <f t="shared" si="4"/>
        <v>17</v>
      </c>
      <c r="C62" s="385" t="str" cm="1">
        <f t="array" aca="1" ref="C62" ca="1">IF(B62&lt;=$C$9,GetGetCDSName(B62),"")</f>
        <v>BBVA_MMR.EUR.SU</v>
      </c>
      <c r="D62" s="345">
        <v>0</v>
      </c>
      <c r="E62" s="378">
        <v>1</v>
      </c>
      <c r="F62" s="297">
        <v>0</v>
      </c>
      <c r="G62" s="297">
        <v>0</v>
      </c>
      <c r="H62" s="297">
        <v>0</v>
      </c>
      <c r="I62" s="297">
        <v>0</v>
      </c>
      <c r="J62" s="297">
        <v>0</v>
      </c>
      <c r="K62" s="297"/>
      <c r="L62" s="297"/>
      <c r="M62" s="297"/>
      <c r="N62" s="379"/>
      <c r="O62" s="272"/>
      <c r="P62" s="272"/>
      <c r="Q62" s="272"/>
      <c r="R62" s="272"/>
      <c r="S62" s="272"/>
      <c r="T62" s="272"/>
      <c r="U62" s="272"/>
      <c r="V62" s="272"/>
      <c r="W62" s="272"/>
      <c r="X62" s="272"/>
      <c r="Y62" s="272"/>
      <c r="Z62" s="272"/>
      <c r="AA62" s="272"/>
      <c r="AB62" s="272"/>
      <c r="AC62" s="272"/>
      <c r="AD62" s="272"/>
      <c r="AE62" s="272"/>
    </row>
    <row r="63" spans="2:31" ht="14.5">
      <c r="B63" s="377">
        <f t="shared" si="4"/>
        <v>18</v>
      </c>
      <c r="C63" s="385" t="str" cm="1">
        <f t="array" aca="1" ref="C63" ca="1">IF(B63&lt;=$C$9,GetGetCDSName(B63),"")</f>
        <v>BERTELSMANNAG_MMR.EUR.SU</v>
      </c>
      <c r="D63" s="345">
        <v>0</v>
      </c>
      <c r="E63" s="378">
        <v>0</v>
      </c>
      <c r="F63" s="297">
        <v>1</v>
      </c>
      <c r="G63" s="297">
        <v>0</v>
      </c>
      <c r="H63" s="297">
        <v>0</v>
      </c>
      <c r="I63" s="297">
        <v>0</v>
      </c>
      <c r="J63" s="297">
        <v>0</v>
      </c>
      <c r="K63" s="297"/>
      <c r="L63" s="297"/>
      <c r="M63" s="297"/>
      <c r="N63" s="379"/>
      <c r="O63" s="272"/>
      <c r="P63" s="272"/>
      <c r="Q63" s="272"/>
      <c r="R63" s="272"/>
      <c r="S63" s="272"/>
      <c r="T63" s="272"/>
      <c r="U63" s="272"/>
      <c r="V63" s="272"/>
      <c r="W63" s="272"/>
      <c r="X63" s="272"/>
      <c r="Y63" s="272"/>
      <c r="Z63" s="272"/>
      <c r="AA63" s="272"/>
      <c r="AB63" s="272"/>
      <c r="AC63" s="272"/>
      <c r="AD63" s="272"/>
      <c r="AE63" s="272"/>
    </row>
    <row r="64" spans="2:31" ht="14.5">
      <c r="B64" s="377">
        <f t="shared" si="4"/>
        <v>19</v>
      </c>
      <c r="C64" s="385" t="str" cm="1">
        <f t="array" aca="1" ref="C64" ca="1">IF(B64&lt;=$C$9,GetGetCDSName(B64),"")</f>
        <v>BMW_MMR.EUR.SU</v>
      </c>
      <c r="D64" s="345">
        <v>0</v>
      </c>
      <c r="E64" s="378">
        <v>0</v>
      </c>
      <c r="F64" s="297">
        <v>0</v>
      </c>
      <c r="G64" s="297">
        <v>1</v>
      </c>
      <c r="H64" s="297">
        <v>0</v>
      </c>
      <c r="I64" s="297">
        <v>0</v>
      </c>
      <c r="J64" s="297">
        <v>0</v>
      </c>
      <c r="K64" s="297"/>
      <c r="L64" s="297"/>
      <c r="M64" s="297"/>
      <c r="N64" s="379"/>
      <c r="O64" s="272"/>
      <c r="P64" s="272"/>
      <c r="Q64" s="272"/>
      <c r="R64" s="272"/>
      <c r="S64" s="272"/>
      <c r="T64" s="272"/>
      <c r="U64" s="272"/>
      <c r="V64" s="272"/>
      <c r="W64" s="272"/>
      <c r="X64" s="272"/>
      <c r="Y64" s="272"/>
      <c r="Z64" s="272"/>
      <c r="AA64" s="272"/>
      <c r="AB64" s="272"/>
      <c r="AC64" s="272"/>
      <c r="AD64" s="272"/>
      <c r="AE64" s="272"/>
    </row>
    <row r="65" spans="2:31" ht="14.5">
      <c r="B65" s="377">
        <f t="shared" si="4"/>
        <v>20</v>
      </c>
      <c r="C65" s="385" t="str" cm="1">
        <f t="array" aca="1" ref="C65" ca="1">IF(B65&lt;=$C$9,GetGetCDSName(B65),"")</f>
        <v>BNPPARIBAS_MMR.EUR.SU</v>
      </c>
      <c r="D65" s="345">
        <v>0</v>
      </c>
      <c r="E65" s="378">
        <v>1</v>
      </c>
      <c r="F65" s="297">
        <v>0</v>
      </c>
      <c r="G65" s="297">
        <v>1</v>
      </c>
      <c r="H65" s="297">
        <v>1</v>
      </c>
      <c r="I65" s="297">
        <v>0</v>
      </c>
      <c r="J65" s="297">
        <v>0</v>
      </c>
      <c r="K65" s="297"/>
      <c r="L65" s="297"/>
      <c r="M65" s="297"/>
      <c r="N65" s="379"/>
      <c r="O65" s="272"/>
      <c r="P65" s="272"/>
      <c r="Q65" s="272"/>
      <c r="R65" s="272"/>
      <c r="S65" s="272"/>
      <c r="T65" s="272"/>
      <c r="U65" s="272"/>
      <c r="V65" s="272"/>
      <c r="W65" s="272"/>
      <c r="X65" s="272"/>
      <c r="Y65" s="272"/>
      <c r="Z65" s="272"/>
      <c r="AA65" s="272"/>
      <c r="AB65" s="272"/>
      <c r="AC65" s="272"/>
      <c r="AD65" s="272"/>
      <c r="AE65" s="272"/>
    </row>
    <row r="66" spans="2:31" ht="14.5">
      <c r="B66" s="377">
        <f t="shared" si="4"/>
        <v>21</v>
      </c>
      <c r="C66" s="385" t="str" cm="1">
        <f t="array" aca="1" ref="C66" ca="1">IF(B66&lt;=$C$9,GetGetCDSName(B66),"")</f>
        <v>BRITISHTELECOM_MMR.EUR.SU</v>
      </c>
      <c r="D66" s="345">
        <v>0</v>
      </c>
      <c r="E66" s="378">
        <v>0</v>
      </c>
      <c r="F66" s="297">
        <v>1</v>
      </c>
      <c r="G66" s="297">
        <v>1</v>
      </c>
      <c r="H66" s="297">
        <v>0</v>
      </c>
      <c r="I66" s="297">
        <v>0</v>
      </c>
      <c r="J66" s="297">
        <v>1</v>
      </c>
      <c r="K66" s="297"/>
      <c r="L66" s="297"/>
      <c r="M66" s="297"/>
      <c r="N66" s="379"/>
      <c r="O66" s="272"/>
      <c r="P66" s="272"/>
      <c r="Q66" s="272"/>
      <c r="R66" s="272"/>
      <c r="S66" s="272"/>
      <c r="T66" s="272"/>
      <c r="U66" s="272"/>
      <c r="V66" s="272"/>
      <c r="W66" s="272"/>
      <c r="X66" s="272"/>
      <c r="Y66" s="272"/>
      <c r="Z66" s="272"/>
      <c r="AA66" s="272"/>
      <c r="AB66" s="272"/>
      <c r="AC66" s="272"/>
      <c r="AD66" s="272"/>
      <c r="AE66" s="272"/>
    </row>
    <row r="67" spans="2:31" ht="14.5">
      <c r="B67" s="377">
        <f t="shared" si="4"/>
        <v>22</v>
      </c>
      <c r="C67" s="385" t="str" cm="1">
        <f t="array" aca="1" ref="C67" ca="1">IF(B67&lt;=$C$9,GetGetCDSName(B67),"")</f>
        <v>BSCH_MMR.EUR.SU</v>
      </c>
      <c r="D67" s="345">
        <v>0</v>
      </c>
      <c r="E67" s="378">
        <v>0</v>
      </c>
      <c r="F67" s="297">
        <v>0</v>
      </c>
      <c r="G67" s="297">
        <v>1</v>
      </c>
      <c r="H67" s="297">
        <v>0</v>
      </c>
      <c r="I67" s="297">
        <v>0</v>
      </c>
      <c r="J67" s="297">
        <v>1</v>
      </c>
      <c r="K67" s="297"/>
      <c r="L67" s="297"/>
      <c r="M67" s="297"/>
      <c r="N67" s="379"/>
      <c r="O67" s="272"/>
      <c r="P67" s="272"/>
      <c r="Q67" s="272"/>
      <c r="R67" s="272"/>
      <c r="S67" s="272"/>
      <c r="T67" s="272"/>
      <c r="U67" s="272"/>
      <c r="V67" s="272"/>
      <c r="W67" s="272"/>
      <c r="X67" s="272"/>
      <c r="Y67" s="272"/>
      <c r="Z67" s="272"/>
      <c r="AA67" s="272"/>
      <c r="AB67" s="272"/>
      <c r="AC67" s="272"/>
      <c r="AD67" s="272"/>
      <c r="AE67" s="272"/>
    </row>
    <row r="68" spans="2:31" ht="14.5">
      <c r="B68" s="377">
        <f t="shared" si="4"/>
        <v>23</v>
      </c>
      <c r="C68" s="385" t="str" cm="1">
        <f t="array" aca="1" ref="C68" ca="1">IF(B68&lt;=$C$9,GetGetCDSName(B68),"")</f>
        <v>CADBURYSCHWEPPES_MMR.EUR.SU</v>
      </c>
      <c r="D68" s="345">
        <v>0</v>
      </c>
      <c r="E68" s="378">
        <v>0</v>
      </c>
      <c r="F68" s="297">
        <v>0</v>
      </c>
      <c r="G68" s="297">
        <v>0</v>
      </c>
      <c r="H68" s="297">
        <v>0</v>
      </c>
      <c r="I68" s="297">
        <v>0</v>
      </c>
      <c r="J68" s="297">
        <v>1</v>
      </c>
      <c r="K68" s="297"/>
      <c r="L68" s="297"/>
      <c r="M68" s="297"/>
      <c r="N68" s="379"/>
      <c r="O68" s="272"/>
      <c r="P68" s="272"/>
      <c r="Q68" s="272"/>
      <c r="R68" s="272"/>
      <c r="S68" s="272"/>
      <c r="T68" s="272"/>
      <c r="U68" s="272"/>
      <c r="V68" s="272"/>
      <c r="W68" s="272"/>
      <c r="X68" s="272"/>
      <c r="Y68" s="272"/>
      <c r="Z68" s="272"/>
      <c r="AA68" s="272"/>
      <c r="AB68" s="272"/>
      <c r="AC68" s="272"/>
      <c r="AD68" s="272"/>
      <c r="AE68" s="272"/>
    </row>
    <row r="69" spans="2:31" ht="14.5">
      <c r="B69" s="377">
        <f t="shared" si="4"/>
        <v>24</v>
      </c>
      <c r="C69" s="385" t="str" cm="1">
        <f t="array" aca="1" ref="C69" ca="1">IF(B69&lt;=$C$9,GetGetCDSName(B69),"")</f>
        <v>CAPITALIA_MMR.EUR.SU</v>
      </c>
      <c r="D69" s="345">
        <v>0</v>
      </c>
      <c r="E69" s="378">
        <v>0</v>
      </c>
      <c r="F69" s="297">
        <v>1</v>
      </c>
      <c r="G69" s="297">
        <v>1</v>
      </c>
      <c r="H69" s="297">
        <v>0</v>
      </c>
      <c r="I69" s="297">
        <v>0</v>
      </c>
      <c r="J69" s="297">
        <v>0</v>
      </c>
      <c r="K69" s="297"/>
      <c r="L69" s="297"/>
      <c r="M69" s="297"/>
      <c r="N69" s="379"/>
      <c r="O69" s="272"/>
      <c r="P69" s="272"/>
      <c r="Q69" s="272"/>
      <c r="R69" s="272"/>
      <c r="S69" s="272"/>
      <c r="T69" s="272"/>
      <c r="U69" s="272"/>
      <c r="V69" s="272"/>
      <c r="W69" s="272"/>
      <c r="X69" s="272"/>
      <c r="Y69" s="272"/>
      <c r="Z69" s="272"/>
      <c r="AA69" s="272"/>
      <c r="AB69" s="272"/>
      <c r="AC69" s="272"/>
      <c r="AD69" s="272"/>
      <c r="AE69" s="272"/>
    </row>
    <row r="70" spans="2:31" ht="14.5">
      <c r="B70" s="377">
        <f t="shared" si="4"/>
        <v>25</v>
      </c>
      <c r="C70" s="385" t="str" cm="1">
        <f t="array" aca="1" ref="C70" ca="1">IF(B70&lt;=$C$9,GetGetCDSName(B70),"")</f>
        <v>CARREFOUR_MMR.EUR.SU</v>
      </c>
      <c r="D70" s="345">
        <v>0</v>
      </c>
      <c r="E70" s="378">
        <v>0</v>
      </c>
      <c r="F70" s="297">
        <v>0</v>
      </c>
      <c r="G70" s="297">
        <v>0</v>
      </c>
      <c r="H70" s="297">
        <v>0</v>
      </c>
      <c r="I70" s="297">
        <v>1</v>
      </c>
      <c r="J70" s="297">
        <v>0</v>
      </c>
      <c r="K70" s="297"/>
      <c r="L70" s="297"/>
      <c r="M70" s="297"/>
      <c r="N70" s="379"/>
      <c r="O70" s="272"/>
      <c r="P70" s="272"/>
      <c r="Q70" s="272"/>
      <c r="R70" s="272"/>
      <c r="S70" s="272"/>
      <c r="T70" s="272"/>
      <c r="U70" s="272"/>
      <c r="V70" s="272"/>
      <c r="W70" s="272"/>
      <c r="X70" s="272"/>
      <c r="Y70" s="272"/>
      <c r="Z70" s="272"/>
      <c r="AA70" s="272"/>
      <c r="AB70" s="272"/>
      <c r="AC70" s="272"/>
      <c r="AD70" s="272"/>
      <c r="AE70" s="272"/>
    </row>
    <row r="71" spans="2:31" ht="14.5">
      <c r="B71" s="377">
        <f t="shared" si="4"/>
        <v>26</v>
      </c>
      <c r="C71" s="385" t="str" cm="1">
        <f t="array" aca="1" ref="C71" ca="1">IF(B71&lt;=$C$9,GetGetCDSName(B71),"")</f>
        <v>CASINOGUICHARD_MMR.EUR.SU</v>
      </c>
      <c r="D71" s="345">
        <v>0</v>
      </c>
      <c r="E71" s="378">
        <v>1</v>
      </c>
      <c r="F71" s="297">
        <v>0</v>
      </c>
      <c r="G71" s="297">
        <v>0</v>
      </c>
      <c r="H71" s="297">
        <v>0</v>
      </c>
      <c r="I71" s="297">
        <v>1</v>
      </c>
      <c r="J71" s="297">
        <v>1</v>
      </c>
      <c r="K71" s="297"/>
      <c r="L71" s="297"/>
      <c r="M71" s="297"/>
      <c r="N71" s="379"/>
      <c r="O71" s="272"/>
      <c r="P71" s="272"/>
      <c r="Q71" s="272"/>
      <c r="R71" s="272"/>
      <c r="S71" s="272"/>
      <c r="T71" s="272"/>
      <c r="U71" s="272"/>
      <c r="V71" s="272"/>
      <c r="W71" s="272"/>
      <c r="X71" s="272"/>
      <c r="Y71" s="272"/>
      <c r="Z71" s="272"/>
      <c r="AA71" s="272"/>
      <c r="AB71" s="272"/>
      <c r="AC71" s="272"/>
      <c r="AD71" s="272"/>
      <c r="AE71" s="272"/>
    </row>
    <row r="72" spans="2:31" ht="14.5">
      <c r="B72" s="377">
        <f t="shared" si="4"/>
        <v>27</v>
      </c>
      <c r="C72" s="385" t="str" cm="1">
        <f t="array" aca="1" ref="C72" ca="1">IF(B72&lt;=$C$9,GetGetCDSName(B72),"")</f>
        <v>CENTRICA_MMR.EUR.SU</v>
      </c>
      <c r="D72" s="345">
        <v>0</v>
      </c>
      <c r="E72" s="378">
        <v>0</v>
      </c>
      <c r="F72" s="297">
        <v>1</v>
      </c>
      <c r="G72" s="297">
        <v>0</v>
      </c>
      <c r="H72" s="297">
        <v>1</v>
      </c>
      <c r="I72" s="297">
        <v>0</v>
      </c>
      <c r="J72" s="297">
        <v>0</v>
      </c>
      <c r="K72" s="297"/>
      <c r="L72" s="297"/>
      <c r="M72" s="297"/>
      <c r="N72" s="379"/>
      <c r="O72" s="272"/>
      <c r="P72" s="272"/>
      <c r="Q72" s="272"/>
      <c r="R72" s="272"/>
      <c r="S72" s="272"/>
      <c r="T72" s="272"/>
      <c r="U72" s="272"/>
      <c r="V72" s="272"/>
      <c r="W72" s="272"/>
      <c r="X72" s="272"/>
      <c r="Y72" s="272"/>
      <c r="Z72" s="272"/>
      <c r="AA72" s="272"/>
      <c r="AB72" s="272"/>
      <c r="AC72" s="272"/>
      <c r="AD72" s="272"/>
      <c r="AE72" s="272"/>
    </row>
    <row r="73" spans="2:31" ht="14.5">
      <c r="B73" s="377">
        <f t="shared" si="4"/>
        <v>28</v>
      </c>
      <c r="C73" s="385" t="str" cm="1">
        <f t="array" aca="1" ref="C73" ca="1">IF(B73&lt;=$C$9,GetGetCDSName(B73),"")</f>
        <v>CIBASC_MMR.EUR.SU</v>
      </c>
      <c r="D73" s="345">
        <v>0</v>
      </c>
      <c r="E73" s="378">
        <v>1</v>
      </c>
      <c r="F73" s="297">
        <v>0</v>
      </c>
      <c r="G73" s="297">
        <v>0</v>
      </c>
      <c r="H73" s="297">
        <v>0</v>
      </c>
      <c r="I73" s="297">
        <v>0</v>
      </c>
      <c r="J73" s="297">
        <v>1</v>
      </c>
      <c r="K73" s="297"/>
      <c r="L73" s="297"/>
      <c r="M73" s="297"/>
      <c r="N73" s="379"/>
      <c r="O73" s="272"/>
      <c r="P73" s="272"/>
      <c r="Q73" s="272"/>
      <c r="R73" s="272"/>
      <c r="S73" s="272"/>
      <c r="T73" s="272"/>
      <c r="U73" s="272"/>
      <c r="V73" s="272"/>
      <c r="W73" s="272"/>
      <c r="X73" s="272"/>
      <c r="Y73" s="272"/>
      <c r="Z73" s="272"/>
      <c r="AA73" s="272"/>
      <c r="AB73" s="272"/>
      <c r="AC73" s="272"/>
      <c r="AD73" s="272"/>
      <c r="AE73" s="272"/>
    </row>
    <row r="74" spans="2:31" ht="14.5">
      <c r="B74" s="377">
        <f t="shared" si="4"/>
        <v>29</v>
      </c>
      <c r="C74" s="385" t="str" cm="1">
        <f t="array" aca="1" ref="C74" ca="1">IF(B74&lt;=$C$9,GetGetCDSName(B74),"")</f>
        <v>COMMERZBANK_MMR.EUR.SU</v>
      </c>
      <c r="D74" s="345">
        <v>0</v>
      </c>
      <c r="E74" s="378">
        <v>1</v>
      </c>
      <c r="F74" s="297">
        <v>0</v>
      </c>
      <c r="G74" s="297">
        <v>0</v>
      </c>
      <c r="H74" s="297">
        <v>0</v>
      </c>
      <c r="I74" s="297">
        <v>0</v>
      </c>
      <c r="J74" s="297">
        <v>0</v>
      </c>
      <c r="K74" s="297"/>
      <c r="L74" s="297"/>
      <c r="M74" s="297"/>
      <c r="N74" s="379"/>
      <c r="O74" s="272"/>
      <c r="P74" s="272"/>
      <c r="Q74" s="272"/>
      <c r="R74" s="272"/>
      <c r="S74" s="272"/>
      <c r="T74" s="272"/>
      <c r="U74" s="272"/>
      <c r="V74" s="272"/>
      <c r="W74" s="272"/>
      <c r="X74" s="272"/>
      <c r="Y74" s="272"/>
      <c r="Z74" s="272"/>
      <c r="AA74" s="272"/>
      <c r="AB74" s="272"/>
      <c r="AC74" s="272"/>
      <c r="AD74" s="272"/>
      <c r="AE74" s="272"/>
    </row>
    <row r="75" spans="2:31" ht="14.5">
      <c r="B75" s="377">
        <f t="shared" si="4"/>
        <v>30</v>
      </c>
      <c r="C75" s="385" t="str" cm="1">
        <f t="array" aca="1" ref="C75" ca="1">IF(B75&lt;=$C$9,GetGetCDSName(B75),"")</f>
        <v>COMPASS_MMR.EUR.SU</v>
      </c>
      <c r="D75" s="345">
        <v>0</v>
      </c>
      <c r="E75" s="378">
        <v>0</v>
      </c>
      <c r="F75" s="297">
        <v>1</v>
      </c>
      <c r="G75" s="297">
        <v>0</v>
      </c>
      <c r="H75" s="297">
        <v>0</v>
      </c>
      <c r="I75" s="297">
        <v>1</v>
      </c>
      <c r="J75" s="297">
        <v>1</v>
      </c>
      <c r="K75" s="297"/>
      <c r="L75" s="297"/>
      <c r="M75" s="297"/>
      <c r="N75" s="379"/>
      <c r="O75" s="272"/>
      <c r="P75" s="272"/>
      <c r="Q75" s="272"/>
      <c r="R75" s="272"/>
      <c r="S75" s="272"/>
      <c r="T75" s="272"/>
      <c r="U75" s="272"/>
      <c r="V75" s="272"/>
      <c r="W75" s="272"/>
      <c r="X75" s="272"/>
      <c r="Y75" s="272"/>
      <c r="Z75" s="272"/>
      <c r="AA75" s="272"/>
      <c r="AB75" s="272"/>
      <c r="AC75" s="272"/>
      <c r="AD75" s="272"/>
      <c r="AE75" s="272"/>
    </row>
    <row r="76" spans="2:31" ht="14.5">
      <c r="B76" s="377">
        <f t="shared" si="4"/>
        <v>31</v>
      </c>
      <c r="C76" s="385" t="str" cm="1">
        <f t="array" aca="1" ref="C76" ca="1">IF(B76&lt;=$C$9,GetGetCDSName(B76),"")</f>
        <v>CONTINENTAL_MMR.EUR.SU</v>
      </c>
      <c r="D76" s="345">
        <v>0</v>
      </c>
      <c r="E76" s="378">
        <v>0</v>
      </c>
      <c r="F76" s="297">
        <v>0</v>
      </c>
      <c r="G76" s="297">
        <v>1</v>
      </c>
      <c r="H76" s="297">
        <v>1</v>
      </c>
      <c r="I76" s="297">
        <v>0</v>
      </c>
      <c r="J76" s="297">
        <v>1</v>
      </c>
      <c r="K76" s="297"/>
      <c r="L76" s="297"/>
      <c r="M76" s="297"/>
      <c r="N76" s="379"/>
      <c r="O76" s="272"/>
      <c r="P76" s="272"/>
      <c r="Q76" s="272"/>
      <c r="R76" s="272"/>
      <c r="S76" s="272"/>
      <c r="T76" s="272"/>
      <c r="U76" s="272"/>
      <c r="V76" s="272"/>
      <c r="W76" s="272"/>
      <c r="X76" s="272"/>
      <c r="Y76" s="272"/>
      <c r="Z76" s="272"/>
      <c r="AA76" s="272"/>
      <c r="AB76" s="272"/>
      <c r="AC76" s="272"/>
      <c r="AD76" s="272"/>
      <c r="AE76" s="272"/>
    </row>
    <row r="77" spans="2:31" ht="14.5">
      <c r="B77" s="377">
        <f t="shared" si="4"/>
        <v>32</v>
      </c>
      <c r="C77" s="385" t="str" cm="1">
        <f t="array" aca="1" ref="C77" ca="1">IF(B77&lt;=$C$9,GetGetCDSName(B77),"")</f>
        <v>CREDITAGRICOLE_MMR.EUR.SU</v>
      </c>
      <c r="D77" s="345">
        <v>0</v>
      </c>
      <c r="E77" s="378">
        <v>0</v>
      </c>
      <c r="F77" s="297">
        <v>0</v>
      </c>
      <c r="G77" s="297">
        <v>1</v>
      </c>
      <c r="H77" s="297">
        <v>0</v>
      </c>
      <c r="I77" s="297">
        <v>0</v>
      </c>
      <c r="J77" s="297">
        <v>1</v>
      </c>
      <c r="K77" s="297"/>
      <c r="L77" s="297"/>
      <c r="M77" s="297"/>
      <c r="N77" s="379"/>
      <c r="O77" s="272"/>
      <c r="P77" s="272"/>
      <c r="Q77" s="272"/>
      <c r="R77" s="272"/>
      <c r="S77" s="272"/>
      <c r="T77" s="272"/>
      <c r="U77" s="272"/>
      <c r="V77" s="272"/>
      <c r="W77" s="272"/>
      <c r="X77" s="272"/>
      <c r="Y77" s="272"/>
      <c r="Z77" s="272"/>
      <c r="AA77" s="272"/>
      <c r="AB77" s="272"/>
      <c r="AC77" s="272"/>
      <c r="AD77" s="272"/>
      <c r="AE77" s="272"/>
    </row>
    <row r="78" spans="2:31" ht="14.5">
      <c r="B78" s="377">
        <f t="shared" si="4"/>
        <v>33</v>
      </c>
      <c r="C78" s="385" t="str" cm="1">
        <f t="array" aca="1" ref="C78" ca="1">IF(B78&lt;=$C$9,GetGetCDSName(B78),"")</f>
        <v>CREDITSUISSEGROUP_MMR.EUR.SU</v>
      </c>
      <c r="D78" s="345">
        <v>0</v>
      </c>
      <c r="E78" s="378">
        <v>1</v>
      </c>
      <c r="F78" s="297">
        <v>0</v>
      </c>
      <c r="G78" s="297">
        <v>0</v>
      </c>
      <c r="H78" s="297">
        <v>1</v>
      </c>
      <c r="I78" s="297">
        <v>0</v>
      </c>
      <c r="J78" s="297">
        <v>0</v>
      </c>
      <c r="K78" s="297"/>
      <c r="L78" s="297"/>
      <c r="M78" s="297"/>
      <c r="N78" s="379"/>
      <c r="O78" s="272"/>
      <c r="P78" s="272"/>
      <c r="Q78" s="272"/>
      <c r="R78" s="272"/>
      <c r="S78" s="272"/>
      <c r="T78" s="272"/>
      <c r="U78" s="272"/>
      <c r="V78" s="272"/>
      <c r="W78" s="272"/>
      <c r="X78" s="272"/>
      <c r="Y78" s="272"/>
      <c r="Z78" s="272"/>
      <c r="AA78" s="272"/>
      <c r="AB78" s="272"/>
      <c r="AC78" s="272"/>
      <c r="AD78" s="272"/>
      <c r="AE78" s="272"/>
    </row>
    <row r="79" spans="2:31" ht="14.5">
      <c r="B79" s="377">
        <f t="shared" si="4"/>
        <v>34</v>
      </c>
      <c r="C79" s="385" t="str" cm="1">
        <f t="array" aca="1" ref="C79" ca="1">IF(B79&lt;=$C$9,GetGetCDSName(B79),"")</f>
        <v>DAIMLERCHRYSLER_MMR.EUR.SU</v>
      </c>
      <c r="D79" s="345">
        <v>0</v>
      </c>
      <c r="E79" s="378">
        <v>1</v>
      </c>
      <c r="F79" s="297">
        <v>0</v>
      </c>
      <c r="G79" s="297">
        <v>1</v>
      </c>
      <c r="H79" s="297">
        <v>0</v>
      </c>
      <c r="I79" s="297">
        <v>0</v>
      </c>
      <c r="J79" s="297">
        <v>1</v>
      </c>
      <c r="K79" s="297"/>
      <c r="L79" s="297"/>
      <c r="M79" s="297"/>
      <c r="N79" s="379"/>
      <c r="O79" s="272"/>
      <c r="P79" s="272"/>
      <c r="Q79" s="272"/>
      <c r="R79" s="272"/>
      <c r="S79" s="272"/>
      <c r="T79" s="272"/>
      <c r="U79" s="272"/>
      <c r="V79" s="272"/>
      <c r="W79" s="272"/>
      <c r="X79" s="272"/>
      <c r="Y79" s="272"/>
      <c r="Z79" s="272"/>
      <c r="AA79" s="272"/>
      <c r="AB79" s="272"/>
      <c r="AC79" s="272"/>
      <c r="AD79" s="272"/>
      <c r="AE79" s="272"/>
    </row>
    <row r="80" spans="2:31" ht="14.5">
      <c r="B80" s="377">
        <f t="shared" si="4"/>
        <v>35</v>
      </c>
      <c r="C80" s="385" t="str" cm="1">
        <f t="array" aca="1" ref="C80" ca="1">IF(B80&lt;=$C$9,GetGetCDSName(B80),"")</f>
        <v>DANONE_MMR.EUR.SU</v>
      </c>
      <c r="D80" s="345">
        <v>0</v>
      </c>
      <c r="E80" s="378">
        <v>0</v>
      </c>
      <c r="F80" s="297">
        <v>1</v>
      </c>
      <c r="G80" s="297">
        <v>1</v>
      </c>
      <c r="H80" s="297">
        <v>1</v>
      </c>
      <c r="I80" s="297">
        <v>0</v>
      </c>
      <c r="J80" s="297">
        <v>0</v>
      </c>
      <c r="K80" s="297"/>
      <c r="L80" s="297"/>
      <c r="M80" s="297"/>
      <c r="N80" s="379"/>
      <c r="O80" s="272"/>
      <c r="P80" s="272"/>
      <c r="Q80" s="272"/>
      <c r="R80" s="272"/>
      <c r="S80" s="272"/>
      <c r="T80" s="272"/>
      <c r="U80" s="272"/>
      <c r="V80" s="272"/>
      <c r="W80" s="272"/>
      <c r="X80" s="272"/>
      <c r="Y80" s="272"/>
      <c r="Z80" s="272"/>
      <c r="AA80" s="272"/>
      <c r="AB80" s="272"/>
      <c r="AC80" s="272"/>
      <c r="AD80" s="272"/>
      <c r="AE80" s="272"/>
    </row>
    <row r="81" spans="2:31" ht="14.5">
      <c r="B81" s="377">
        <f t="shared" si="4"/>
        <v>36</v>
      </c>
      <c r="C81" s="385" t="str" cm="1">
        <f t="array" aca="1" ref="C81" ca="1">IF(B81&lt;=$C$9,GetGetCDSName(B81),"")</f>
        <v>DEUTSCHEBANK_MMR.EUR.SU</v>
      </c>
      <c r="D81" s="345">
        <v>0</v>
      </c>
      <c r="E81" s="378">
        <v>0</v>
      </c>
      <c r="F81" s="297">
        <v>1</v>
      </c>
      <c r="G81" s="297">
        <v>0</v>
      </c>
      <c r="H81" s="297">
        <v>0</v>
      </c>
      <c r="I81" s="297">
        <v>1</v>
      </c>
      <c r="J81" s="297">
        <v>0</v>
      </c>
      <c r="K81" s="297"/>
      <c r="L81" s="297"/>
      <c r="M81" s="297"/>
      <c r="N81" s="379"/>
      <c r="O81" s="272"/>
      <c r="P81" s="272"/>
      <c r="Q81" s="272"/>
      <c r="R81" s="272"/>
      <c r="S81" s="272"/>
      <c r="T81" s="272"/>
      <c r="U81" s="272"/>
      <c r="V81" s="272"/>
      <c r="W81" s="272"/>
      <c r="X81" s="272"/>
      <c r="Y81" s="272"/>
      <c r="Z81" s="272"/>
      <c r="AA81" s="272"/>
      <c r="AB81" s="272"/>
      <c r="AC81" s="272"/>
      <c r="AD81" s="272"/>
      <c r="AE81" s="272"/>
    </row>
    <row r="82" spans="2:31" ht="14.5">
      <c r="B82" s="377">
        <f t="shared" si="4"/>
        <v>37</v>
      </c>
      <c r="C82" s="385" t="str" cm="1">
        <f t="array" aca="1" ref="C82" ca="1">IF(B82&lt;=$C$9,GetGetCDSName(B82),"")</f>
        <v>DEUTSCHEPOSTAG_MMR.EUR.SU</v>
      </c>
      <c r="D82" s="345">
        <v>0</v>
      </c>
      <c r="E82" s="378">
        <v>0</v>
      </c>
      <c r="F82" s="297">
        <v>0</v>
      </c>
      <c r="G82" s="297">
        <v>1</v>
      </c>
      <c r="H82" s="297">
        <v>0</v>
      </c>
      <c r="I82" s="297">
        <v>1</v>
      </c>
      <c r="J82" s="297">
        <v>0</v>
      </c>
      <c r="K82" s="297"/>
      <c r="L82" s="297"/>
      <c r="M82" s="297"/>
      <c r="N82" s="379"/>
      <c r="O82" s="272"/>
      <c r="P82" s="272"/>
      <c r="Q82" s="272"/>
      <c r="R82" s="272"/>
      <c r="S82" s="272"/>
      <c r="T82" s="272"/>
      <c r="U82" s="272"/>
      <c r="V82" s="272"/>
      <c r="W82" s="272"/>
      <c r="X82" s="272"/>
      <c r="Y82" s="272"/>
      <c r="Z82" s="272"/>
      <c r="AA82" s="272"/>
      <c r="AB82" s="272"/>
      <c r="AC82" s="272"/>
      <c r="AD82" s="272"/>
      <c r="AE82" s="272"/>
    </row>
    <row r="83" spans="2:31" ht="14.5">
      <c r="B83" s="377">
        <f t="shared" si="4"/>
        <v>38</v>
      </c>
      <c r="C83" s="385" t="str" cm="1">
        <f t="array" aca="1" ref="C83" ca="1">IF(B83&lt;=$C$9,GetGetCDSName(B83),"")</f>
        <v>DEUTSCHETELEKOM_MMR.EUR.SU</v>
      </c>
      <c r="D83" s="345">
        <v>0</v>
      </c>
      <c r="E83" s="378">
        <v>0</v>
      </c>
      <c r="F83" s="297">
        <v>1</v>
      </c>
      <c r="G83" s="297">
        <v>0</v>
      </c>
      <c r="H83" s="297">
        <v>0</v>
      </c>
      <c r="I83" s="297">
        <v>0</v>
      </c>
      <c r="J83" s="297">
        <v>1</v>
      </c>
      <c r="K83" s="297"/>
      <c r="L83" s="297"/>
      <c r="M83" s="297"/>
      <c r="N83" s="379"/>
      <c r="O83" s="272"/>
      <c r="P83" s="272"/>
      <c r="Q83" s="272"/>
      <c r="R83" s="272"/>
      <c r="S83" s="272"/>
      <c r="T83" s="272"/>
      <c r="U83" s="272"/>
      <c r="V83" s="272"/>
      <c r="W83" s="272"/>
      <c r="X83" s="272"/>
      <c r="Y83" s="272"/>
      <c r="Z83" s="272"/>
      <c r="AA83" s="272"/>
      <c r="AB83" s="272"/>
      <c r="AC83" s="272"/>
      <c r="AD83" s="272"/>
      <c r="AE83" s="272"/>
    </row>
    <row r="84" spans="2:31" ht="14.5">
      <c r="B84" s="377">
        <f t="shared" si="4"/>
        <v>39</v>
      </c>
      <c r="C84" s="385" t="str" cm="1">
        <f t="array" aca="1" ref="C84" ca="1">IF(B84&lt;=$C$9,GetGetCDSName(B84),"")</f>
        <v>DIAGEO_MMR.EUR.SU</v>
      </c>
      <c r="D84" s="345">
        <v>0</v>
      </c>
      <c r="E84" s="378">
        <v>1</v>
      </c>
      <c r="F84" s="297">
        <v>0</v>
      </c>
      <c r="G84" s="297">
        <v>0</v>
      </c>
      <c r="H84" s="297">
        <v>0</v>
      </c>
      <c r="I84" s="297">
        <v>1</v>
      </c>
      <c r="J84" s="297">
        <v>0</v>
      </c>
      <c r="K84" s="297"/>
      <c r="L84" s="297"/>
      <c r="M84" s="297"/>
      <c r="N84" s="379"/>
      <c r="O84" s="272"/>
      <c r="P84" s="272"/>
      <c r="Q84" s="272"/>
      <c r="R84" s="272"/>
      <c r="S84" s="272"/>
      <c r="T84" s="272"/>
      <c r="U84" s="272"/>
      <c r="V84" s="272"/>
      <c r="W84" s="272"/>
      <c r="X84" s="272"/>
      <c r="Y84" s="272"/>
      <c r="Z84" s="272"/>
      <c r="AA84" s="272"/>
      <c r="AB84" s="272"/>
      <c r="AC84" s="272"/>
      <c r="AD84" s="272"/>
      <c r="AE84" s="272"/>
    </row>
    <row r="85" spans="2:31" ht="14.5">
      <c r="B85" s="377">
        <f t="shared" si="4"/>
        <v>40</v>
      </c>
      <c r="C85" s="385" t="str" cm="1">
        <f t="array" aca="1" ref="C85" ca="1">IF(B85&lt;=$C$9,GetGetCDSName(B85),"")</f>
        <v>DIXONSGROUPPLC_MMR.EUR.SU</v>
      </c>
      <c r="D85" s="345">
        <v>0</v>
      </c>
      <c r="E85" s="378">
        <v>0</v>
      </c>
      <c r="F85" s="297">
        <v>0</v>
      </c>
      <c r="G85" s="297">
        <v>0</v>
      </c>
      <c r="H85" s="297">
        <v>1</v>
      </c>
      <c r="I85" s="297">
        <v>1</v>
      </c>
      <c r="J85" s="297">
        <v>1</v>
      </c>
      <c r="K85" s="297"/>
      <c r="L85" s="297"/>
      <c r="M85" s="297"/>
      <c r="N85" s="379"/>
      <c r="O85" s="272"/>
      <c r="P85" s="272"/>
      <c r="Q85" s="272"/>
      <c r="R85" s="272"/>
      <c r="S85" s="272"/>
      <c r="T85" s="272"/>
      <c r="U85" s="272"/>
      <c r="V85" s="272"/>
      <c r="W85" s="272"/>
      <c r="X85" s="272"/>
      <c r="Y85" s="272"/>
      <c r="Z85" s="272"/>
      <c r="AA85" s="272"/>
      <c r="AB85" s="272"/>
      <c r="AC85" s="272"/>
      <c r="AD85" s="272"/>
      <c r="AE85" s="272"/>
    </row>
    <row r="86" spans="2:31" ht="14.5">
      <c r="B86" s="377">
        <f t="shared" si="4"/>
        <v>41</v>
      </c>
      <c r="C86" s="385" t="str" cm="1">
        <f t="array" aca="1" ref="C86" ca="1">IF(B86&lt;=$C$9,GetGetCDSName(B86),"")</f>
        <v>DSM_MMR.EUR.SU</v>
      </c>
      <c r="D86" s="345">
        <v>0</v>
      </c>
      <c r="E86" s="378">
        <v>0</v>
      </c>
      <c r="F86" s="297">
        <v>0</v>
      </c>
      <c r="G86" s="297">
        <v>0</v>
      </c>
      <c r="H86" s="297">
        <v>1</v>
      </c>
      <c r="I86" s="297">
        <v>0</v>
      </c>
      <c r="J86" s="297">
        <v>1</v>
      </c>
      <c r="K86" s="297"/>
      <c r="L86" s="297"/>
      <c r="M86" s="297"/>
      <c r="N86" s="379"/>
      <c r="O86" s="272"/>
      <c r="P86" s="272"/>
      <c r="Q86" s="272"/>
      <c r="R86" s="272"/>
      <c r="S86" s="272"/>
      <c r="T86" s="272"/>
      <c r="U86" s="272"/>
      <c r="V86" s="272"/>
      <c r="W86" s="272"/>
      <c r="X86" s="272"/>
      <c r="Y86" s="272"/>
      <c r="Z86" s="272"/>
      <c r="AA86" s="272"/>
      <c r="AB86" s="272"/>
      <c r="AC86" s="272"/>
      <c r="AD86" s="272"/>
      <c r="AE86" s="272"/>
    </row>
    <row r="87" spans="2:31" ht="14.5">
      <c r="B87" s="377">
        <f t="shared" si="4"/>
        <v>42</v>
      </c>
      <c r="C87" s="385" t="str" cm="1">
        <f t="array" aca="1" ref="C87" ca="1">IF(B87&lt;=$C$9,GetGetCDSName(B87),"")</f>
        <v>EADS_MMR.EUR.SU</v>
      </c>
      <c r="D87" s="345">
        <v>0</v>
      </c>
      <c r="E87" s="378">
        <v>1</v>
      </c>
      <c r="F87" s="297">
        <v>0</v>
      </c>
      <c r="G87" s="297">
        <v>1</v>
      </c>
      <c r="H87" s="297">
        <v>0</v>
      </c>
      <c r="I87" s="297">
        <v>0</v>
      </c>
      <c r="J87" s="297">
        <v>0</v>
      </c>
      <c r="K87" s="297"/>
      <c r="L87" s="297"/>
      <c r="M87" s="297"/>
      <c r="N87" s="379"/>
      <c r="O87" s="272"/>
      <c r="P87" s="272"/>
      <c r="Q87" s="272"/>
      <c r="R87" s="272"/>
      <c r="S87" s="272"/>
      <c r="T87" s="272"/>
      <c r="U87" s="272"/>
      <c r="V87" s="272"/>
      <c r="W87" s="272"/>
      <c r="X87" s="272"/>
      <c r="Y87" s="272"/>
      <c r="Z87" s="272"/>
      <c r="AA87" s="272"/>
      <c r="AB87" s="272"/>
      <c r="AC87" s="272"/>
      <c r="AD87" s="272"/>
      <c r="AE87" s="272"/>
    </row>
    <row r="88" spans="2:31" ht="14.5">
      <c r="B88" s="377">
        <f t="shared" si="4"/>
        <v>43</v>
      </c>
      <c r="C88" s="385" t="str" cm="1">
        <f t="array" aca="1" ref="C88" ca="1">IF(B88&lt;=$C$9,GetGetCDSName(B88),"")</f>
        <v>EDF_MMR.EUR.SU</v>
      </c>
      <c r="D88" s="345">
        <v>0</v>
      </c>
      <c r="E88" s="378">
        <v>0</v>
      </c>
      <c r="F88" s="297">
        <v>1</v>
      </c>
      <c r="G88" s="297">
        <v>0</v>
      </c>
      <c r="H88" s="297">
        <v>0</v>
      </c>
      <c r="I88" s="297">
        <v>0</v>
      </c>
      <c r="J88" s="297">
        <v>0</v>
      </c>
      <c r="K88" s="297"/>
      <c r="L88" s="297"/>
      <c r="M88" s="297"/>
      <c r="N88" s="379"/>
      <c r="O88" s="272"/>
      <c r="P88" s="272"/>
      <c r="Q88" s="272"/>
      <c r="R88" s="272"/>
      <c r="S88" s="272"/>
      <c r="T88" s="272"/>
      <c r="U88" s="272"/>
      <c r="V88" s="272"/>
      <c r="W88" s="272"/>
      <c r="X88" s="272"/>
      <c r="Y88" s="272"/>
      <c r="Z88" s="272"/>
      <c r="AA88" s="272"/>
      <c r="AB88" s="272"/>
      <c r="AC88" s="272"/>
      <c r="AD88" s="272"/>
      <c r="AE88" s="272"/>
    </row>
    <row r="89" spans="2:31" ht="14.5">
      <c r="B89" s="377">
        <f t="shared" si="4"/>
        <v>44</v>
      </c>
      <c r="C89" s="385" t="str" cm="1">
        <f t="array" aca="1" ref="C89" ca="1">IF(B89&lt;=$C$9,GetGetCDSName(B89),"")</f>
        <v>EDISON_MMR.EUR.SU</v>
      </c>
      <c r="D89" s="345">
        <v>0</v>
      </c>
      <c r="E89" s="378">
        <v>1</v>
      </c>
      <c r="F89" s="297">
        <v>0</v>
      </c>
      <c r="G89" s="297">
        <v>0</v>
      </c>
      <c r="H89" s="297">
        <v>0</v>
      </c>
      <c r="I89" s="297">
        <v>0</v>
      </c>
      <c r="J89" s="297">
        <v>0</v>
      </c>
      <c r="K89" s="297"/>
      <c r="L89" s="297"/>
      <c r="M89" s="297"/>
      <c r="N89" s="379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</row>
    <row r="90" spans="2:31" ht="14.5">
      <c r="B90" s="377">
        <f t="shared" si="4"/>
        <v>45</v>
      </c>
      <c r="C90" s="385" t="str" cm="1">
        <f t="array" aca="1" ref="C90" ca="1">IF(B90&lt;=$C$9,GetGetCDSName(B90),"")</f>
        <v>ELECTRICITEDEPORTUGAL_MMR.EUR.SU</v>
      </c>
      <c r="D90" s="345">
        <v>0</v>
      </c>
      <c r="E90" s="378">
        <v>0</v>
      </c>
      <c r="F90" s="297">
        <v>0</v>
      </c>
      <c r="G90" s="297">
        <v>1</v>
      </c>
      <c r="H90" s="297">
        <v>0</v>
      </c>
      <c r="I90" s="297">
        <v>0</v>
      </c>
      <c r="J90" s="297">
        <v>0</v>
      </c>
      <c r="K90" s="297"/>
      <c r="L90" s="297"/>
      <c r="M90" s="297"/>
      <c r="N90" s="379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</row>
    <row r="91" spans="2:31" ht="14.5">
      <c r="B91" s="377">
        <f t="shared" si="4"/>
        <v>46</v>
      </c>
      <c r="C91" s="385" t="str" cm="1">
        <f t="array" aca="1" ref="C91" ca="1">IF(B91&lt;=$C$9,GetGetCDSName(B91),"")</f>
        <v>ELECTROLUX_MMR.EUR.SU</v>
      </c>
      <c r="D91" s="345">
        <v>0</v>
      </c>
      <c r="E91" s="378">
        <v>1</v>
      </c>
      <c r="F91" s="297">
        <v>1</v>
      </c>
      <c r="G91" s="297">
        <v>1</v>
      </c>
      <c r="H91" s="297">
        <v>0</v>
      </c>
      <c r="I91" s="297">
        <v>0</v>
      </c>
      <c r="J91" s="297">
        <v>0</v>
      </c>
      <c r="K91" s="297"/>
      <c r="L91" s="297"/>
      <c r="M91" s="297"/>
      <c r="N91" s="379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</row>
    <row r="92" spans="2:31" ht="14.5">
      <c r="B92" s="377">
        <f t="shared" si="4"/>
        <v>47</v>
      </c>
      <c r="C92" s="385" t="str" cm="1">
        <f t="array" aca="1" ref="C92" ca="1">IF(B92&lt;=$C$9,GetGetCDSName(B92),"")</f>
        <v>ENDESA_MMR.EUR.SU</v>
      </c>
      <c r="D92" s="345">
        <v>0</v>
      </c>
      <c r="E92" s="378">
        <v>0</v>
      </c>
      <c r="F92" s="297">
        <v>1</v>
      </c>
      <c r="G92" s="297">
        <v>0</v>
      </c>
      <c r="H92" s="297">
        <v>1</v>
      </c>
      <c r="I92" s="297">
        <v>1</v>
      </c>
      <c r="J92" s="297">
        <v>0</v>
      </c>
      <c r="K92" s="297"/>
      <c r="L92" s="297"/>
      <c r="M92" s="297"/>
      <c r="N92" s="379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</row>
    <row r="93" spans="2:31" ht="14.5">
      <c r="B93" s="377">
        <f t="shared" si="4"/>
        <v>48</v>
      </c>
      <c r="C93" s="385" t="str" cm="1">
        <f t="array" aca="1" ref="C93" ca="1">IF(B93&lt;=$C$9,GetGetCDSName(B93),"")</f>
        <v>ENEL_MMR.EUR.SU</v>
      </c>
      <c r="D93" s="345">
        <v>0</v>
      </c>
      <c r="E93" s="378">
        <v>1</v>
      </c>
      <c r="F93" s="297">
        <v>1</v>
      </c>
      <c r="G93" s="297">
        <v>1</v>
      </c>
      <c r="H93" s="297">
        <v>0</v>
      </c>
      <c r="I93" s="297">
        <v>0</v>
      </c>
      <c r="J93" s="297">
        <v>0</v>
      </c>
      <c r="K93" s="297"/>
      <c r="L93" s="297"/>
      <c r="M93" s="297"/>
      <c r="N93" s="379"/>
      <c r="O93" s="272"/>
      <c r="P93" s="272"/>
      <c r="Q93" s="272"/>
      <c r="R93" s="272"/>
      <c r="S93" s="272"/>
      <c r="T93" s="272"/>
      <c r="U93" s="272"/>
      <c r="V93" s="272"/>
      <c r="W93" s="272"/>
      <c r="X93" s="272"/>
      <c r="Y93" s="272"/>
      <c r="Z93" s="272"/>
      <c r="AA93" s="272"/>
      <c r="AB93" s="272"/>
      <c r="AC93" s="272"/>
      <c r="AD93" s="272"/>
      <c r="AE93" s="272"/>
    </row>
    <row r="94" spans="2:31" ht="14.5">
      <c r="B94" s="377">
        <f t="shared" si="4"/>
        <v>49</v>
      </c>
      <c r="C94" s="385" t="str" cm="1">
        <f t="array" aca="1" ref="C94" ca="1">IF(B94&lt;=$C$9,GetGetCDSName(B94),"")</f>
        <v>ENERGIEBADENWUERTTEMBERG_MMR.EUR.SU</v>
      </c>
      <c r="D94" s="345">
        <v>0</v>
      </c>
      <c r="E94" s="378">
        <v>0</v>
      </c>
      <c r="F94" s="297">
        <v>1</v>
      </c>
      <c r="G94" s="297">
        <v>0</v>
      </c>
      <c r="H94" s="297">
        <v>0</v>
      </c>
      <c r="I94" s="297">
        <v>0</v>
      </c>
      <c r="J94" s="297">
        <v>1</v>
      </c>
      <c r="K94" s="297"/>
      <c r="L94" s="297"/>
      <c r="M94" s="297"/>
      <c r="N94" s="379"/>
      <c r="O94" s="272"/>
      <c r="P94" s="272"/>
      <c r="Q94" s="272"/>
      <c r="R94" s="272"/>
      <c r="S94" s="272"/>
      <c r="T94" s="272"/>
      <c r="U94" s="272"/>
      <c r="V94" s="272"/>
      <c r="W94" s="272"/>
      <c r="X94" s="272"/>
      <c r="Y94" s="272"/>
      <c r="Z94" s="272"/>
      <c r="AA94" s="272"/>
      <c r="AB94" s="272"/>
      <c r="AC94" s="272"/>
      <c r="AD94" s="272"/>
      <c r="AE94" s="272"/>
    </row>
    <row r="95" spans="2:31" ht="14.5">
      <c r="B95" s="377">
        <f t="shared" si="4"/>
        <v>50</v>
      </c>
      <c r="C95" s="385" t="str" cm="1">
        <f t="array" aca="1" ref="C95" ca="1">IF(B95&lt;=$C$9,GetGetCDSName(B95),"")</f>
        <v>EON_MMR.EUR.SU</v>
      </c>
      <c r="D95" s="345">
        <v>0</v>
      </c>
      <c r="E95" s="378">
        <v>0</v>
      </c>
      <c r="F95" s="297">
        <v>0</v>
      </c>
      <c r="G95" s="297">
        <v>1</v>
      </c>
      <c r="H95" s="297">
        <v>0</v>
      </c>
      <c r="I95" s="297">
        <v>0</v>
      </c>
      <c r="J95" s="297">
        <v>0</v>
      </c>
      <c r="K95" s="297"/>
      <c r="L95" s="297"/>
      <c r="M95" s="297"/>
      <c r="N95" s="379"/>
      <c r="O95" s="272"/>
      <c r="P95" s="272"/>
      <c r="Q95" s="272"/>
      <c r="R95" s="272"/>
      <c r="S95" s="272"/>
      <c r="T95" s="272"/>
      <c r="U95" s="272"/>
      <c r="V95" s="272"/>
      <c r="W95" s="272"/>
      <c r="X95" s="272"/>
      <c r="Y95" s="272"/>
      <c r="Z95" s="272"/>
      <c r="AA95" s="272"/>
      <c r="AB95" s="272"/>
      <c r="AC95" s="272"/>
      <c r="AD95" s="272"/>
      <c r="AE95" s="272"/>
    </row>
    <row r="96" spans="2:31" ht="14.5">
      <c r="B96" s="377">
        <f t="shared" si="4"/>
        <v>51</v>
      </c>
      <c r="C96" s="385" t="str" cm="1">
        <f t="array" aca="1" ref="C96" ca="1">IF(B96&lt;=$C$9,GetGetCDSName(B96),"")</f>
        <v>FORTUMOYJ_MMR.EUR.SU</v>
      </c>
      <c r="D96" s="345">
        <v>0</v>
      </c>
      <c r="E96" s="378">
        <v>0</v>
      </c>
      <c r="F96" s="297">
        <v>0</v>
      </c>
      <c r="G96" s="297">
        <v>0</v>
      </c>
      <c r="H96" s="297">
        <v>0</v>
      </c>
      <c r="I96" s="297">
        <v>1</v>
      </c>
      <c r="J96" s="297">
        <v>0</v>
      </c>
      <c r="K96" s="297"/>
      <c r="L96" s="297"/>
      <c r="M96" s="297"/>
      <c r="N96" s="379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</row>
    <row r="97" spans="2:31" ht="14.5">
      <c r="B97" s="377">
        <f t="shared" si="4"/>
        <v>52</v>
      </c>
      <c r="C97" s="385" t="str" cm="1">
        <f t="array" aca="1" ref="C97" ca="1">IF(B97&lt;=$C$9,GetGetCDSName(B97),"")</f>
        <v>FRANCETELECOM_MMR.EUR.SU</v>
      </c>
      <c r="D97" s="345">
        <v>0</v>
      </c>
      <c r="E97" s="378">
        <v>1</v>
      </c>
      <c r="F97" s="297">
        <v>0</v>
      </c>
      <c r="G97" s="297">
        <v>0</v>
      </c>
      <c r="H97" s="297">
        <v>1</v>
      </c>
      <c r="I97" s="297">
        <v>0</v>
      </c>
      <c r="J97" s="297">
        <v>1</v>
      </c>
      <c r="K97" s="297"/>
      <c r="L97" s="297"/>
      <c r="M97" s="297"/>
      <c r="N97" s="379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</row>
    <row r="98" spans="2:31" ht="14.5">
      <c r="B98" s="377">
        <f t="shared" si="4"/>
        <v>53</v>
      </c>
      <c r="C98" s="385" t="str" cm="1">
        <f t="array" aca="1" ref="C98" ca="1">IF(B98&lt;=$C$9,GetGetCDSName(B98),"")</f>
        <v>GALLAHERGROUPPLC_MMR.EUR.SU</v>
      </c>
      <c r="D98" s="345">
        <v>0</v>
      </c>
      <c r="E98" s="378">
        <v>0</v>
      </c>
      <c r="F98" s="297">
        <v>0</v>
      </c>
      <c r="G98" s="297">
        <v>0</v>
      </c>
      <c r="H98" s="297">
        <v>1</v>
      </c>
      <c r="I98" s="297">
        <v>1</v>
      </c>
      <c r="J98" s="297">
        <v>1</v>
      </c>
      <c r="K98" s="297"/>
      <c r="L98" s="297"/>
      <c r="M98" s="297"/>
      <c r="N98" s="379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</row>
    <row r="99" spans="2:31" ht="14.5">
      <c r="B99" s="377">
        <f t="shared" si="4"/>
        <v>54</v>
      </c>
      <c r="C99" s="385" t="str" cm="1">
        <f t="array" aca="1" ref="C99" ca="1">IF(B99&lt;=$C$9,GetGetCDSName(B99),"")</f>
        <v>GASNATURALSDGSA_MMR.EUR.SU</v>
      </c>
      <c r="D99" s="345">
        <v>0</v>
      </c>
      <c r="E99" s="378">
        <v>1</v>
      </c>
      <c r="F99" s="297">
        <v>0</v>
      </c>
      <c r="G99" s="297">
        <v>0</v>
      </c>
      <c r="H99" s="297">
        <v>1</v>
      </c>
      <c r="I99" s="297">
        <v>0</v>
      </c>
      <c r="J99" s="297">
        <v>0</v>
      </c>
      <c r="K99" s="297"/>
      <c r="L99" s="297"/>
      <c r="M99" s="297"/>
      <c r="N99" s="379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</row>
    <row r="100" spans="2:31" ht="14.5">
      <c r="B100" s="377">
        <f t="shared" si="4"/>
        <v>55</v>
      </c>
      <c r="C100" s="385" t="str" cm="1">
        <f t="array" aca="1" ref="C100" ca="1">IF(B100&lt;=$C$9,GetGetCDSName(B100),"")</f>
        <v>GAZDEFRANCE_MMR.EUR.SU</v>
      </c>
      <c r="D100" s="345">
        <v>0</v>
      </c>
      <c r="E100" s="378">
        <v>0</v>
      </c>
      <c r="F100" s="297">
        <v>0</v>
      </c>
      <c r="G100" s="297">
        <v>0</v>
      </c>
      <c r="H100" s="297">
        <v>0</v>
      </c>
      <c r="I100" s="297">
        <v>1</v>
      </c>
      <c r="J100" s="297">
        <v>0</v>
      </c>
      <c r="K100" s="297"/>
      <c r="L100" s="297"/>
      <c r="M100" s="297"/>
      <c r="N100" s="379"/>
      <c r="O100" s="272"/>
      <c r="P100" s="272"/>
      <c r="Q100" s="272"/>
      <c r="R100" s="272"/>
      <c r="S100" s="272"/>
      <c r="T100" s="272"/>
      <c r="U100" s="272"/>
      <c r="V100" s="272"/>
      <c r="W100" s="272"/>
      <c r="X100" s="272"/>
      <c r="Y100" s="272"/>
      <c r="Z100" s="272"/>
      <c r="AA100" s="272"/>
      <c r="AB100" s="272"/>
      <c r="AC100" s="272"/>
      <c r="AD100" s="272"/>
      <c r="AE100" s="272"/>
    </row>
    <row r="101" spans="2:31" ht="14.5">
      <c r="B101" s="377">
        <f t="shared" si="4"/>
        <v>56</v>
      </c>
      <c r="C101" s="385" t="str" cm="1">
        <f t="array" aca="1" ref="C101" ca="1">IF(B101&lt;=$C$9,GetGetCDSName(B101),"")</f>
        <v>GENERALI_MMR.EUR.SU</v>
      </c>
      <c r="D101" s="345">
        <v>0</v>
      </c>
      <c r="E101" s="378">
        <v>0</v>
      </c>
      <c r="F101" s="297">
        <v>0</v>
      </c>
      <c r="G101" s="297">
        <v>0</v>
      </c>
      <c r="H101" s="297">
        <v>1</v>
      </c>
      <c r="I101" s="297">
        <v>0</v>
      </c>
      <c r="J101" s="297">
        <v>0</v>
      </c>
      <c r="K101" s="297"/>
      <c r="L101" s="297"/>
      <c r="M101" s="297"/>
      <c r="N101" s="379"/>
      <c r="O101" s="272"/>
      <c r="P101" s="272"/>
      <c r="Q101" s="272"/>
      <c r="R101" s="272"/>
      <c r="S101" s="272"/>
      <c r="T101" s="272"/>
      <c r="U101" s="272"/>
      <c r="V101" s="272"/>
      <c r="W101" s="272"/>
      <c r="X101" s="272"/>
      <c r="Y101" s="272"/>
      <c r="Z101" s="272"/>
      <c r="AA101" s="272"/>
      <c r="AB101" s="272"/>
      <c r="AC101" s="272"/>
      <c r="AD101" s="272"/>
      <c r="AE101" s="272"/>
    </row>
    <row r="102" spans="2:31" ht="14.5">
      <c r="B102" s="377">
        <f t="shared" si="4"/>
        <v>57</v>
      </c>
      <c r="C102" s="385" t="str" cm="1">
        <f t="array" aca="1" ref="C102" ca="1">IF(B102&lt;=$C$9,GetGetCDSName(B102),"")</f>
        <v>GKN HOLDINGS  PLC_MMR.EUR.SU</v>
      </c>
      <c r="D102" s="345">
        <v>0</v>
      </c>
      <c r="E102" s="378">
        <v>0</v>
      </c>
      <c r="F102" s="297">
        <v>0</v>
      </c>
      <c r="G102" s="297">
        <v>0</v>
      </c>
      <c r="H102" s="297">
        <v>0</v>
      </c>
      <c r="I102" s="297">
        <v>0</v>
      </c>
      <c r="J102" s="297">
        <v>1</v>
      </c>
      <c r="K102" s="297"/>
      <c r="L102" s="297"/>
      <c r="M102" s="297"/>
      <c r="N102" s="379"/>
      <c r="O102" s="272"/>
      <c r="P102" s="272"/>
      <c r="Q102" s="272"/>
      <c r="R102" s="272"/>
      <c r="S102" s="272"/>
      <c r="T102" s="272"/>
      <c r="U102" s="272"/>
      <c r="V102" s="272"/>
      <c r="W102" s="272"/>
      <c r="X102" s="272"/>
      <c r="Y102" s="272"/>
      <c r="Z102" s="272"/>
      <c r="AA102" s="272"/>
      <c r="AB102" s="272"/>
      <c r="AC102" s="272"/>
      <c r="AD102" s="272"/>
      <c r="AE102" s="272"/>
    </row>
    <row r="103" spans="2:31" ht="14.5">
      <c r="B103" s="377">
        <f t="shared" si="4"/>
        <v>58</v>
      </c>
      <c r="C103" s="385" t="str" cm="1">
        <f t="array" aca="1" ref="C103" ca="1">IF(B103&lt;=$C$9,GetGetCDSName(B103),"")</f>
        <v>GLENCOREINTAG_MMR.EUR.SU</v>
      </c>
      <c r="D103" s="345">
        <v>0</v>
      </c>
      <c r="E103" s="378">
        <v>0</v>
      </c>
      <c r="F103" s="297">
        <v>0</v>
      </c>
      <c r="G103" s="297">
        <v>0</v>
      </c>
      <c r="H103" s="297">
        <v>1</v>
      </c>
      <c r="I103" s="297">
        <v>0</v>
      </c>
      <c r="J103" s="297">
        <v>0</v>
      </c>
      <c r="K103" s="297"/>
      <c r="L103" s="297"/>
      <c r="M103" s="297"/>
      <c r="N103" s="379"/>
      <c r="O103" s="272"/>
      <c r="P103" s="272"/>
      <c r="Q103" s="272"/>
      <c r="R103" s="272"/>
      <c r="S103" s="272"/>
      <c r="T103" s="272"/>
      <c r="U103" s="272"/>
      <c r="V103" s="272"/>
      <c r="W103" s="272"/>
      <c r="X103" s="272"/>
      <c r="Y103" s="272"/>
      <c r="Z103" s="272"/>
      <c r="AA103" s="272"/>
      <c r="AB103" s="272"/>
      <c r="AC103" s="272"/>
      <c r="AD103" s="272"/>
      <c r="AE103" s="272"/>
    </row>
    <row r="104" spans="2:31" ht="14.5">
      <c r="B104" s="377">
        <f t="shared" si="4"/>
        <v>59</v>
      </c>
      <c r="C104" s="385" t="str" cm="1">
        <f t="array" aca="1" ref="C104" ca="1">IF(B104&lt;=$C$9,GetGetCDSName(B104),"")</f>
        <v>GREATUNIVERSALSTORES_MMR.EUR.SU</v>
      </c>
      <c r="D104" s="345">
        <v>0</v>
      </c>
      <c r="E104" s="378">
        <v>0</v>
      </c>
      <c r="F104" s="297">
        <v>1</v>
      </c>
      <c r="G104" s="297">
        <v>1</v>
      </c>
      <c r="H104" s="297">
        <v>0</v>
      </c>
      <c r="I104" s="297">
        <v>1</v>
      </c>
      <c r="J104" s="297">
        <v>0</v>
      </c>
      <c r="K104" s="297"/>
      <c r="L104" s="297"/>
      <c r="M104" s="297"/>
      <c r="N104" s="379"/>
      <c r="O104" s="272"/>
      <c r="P104" s="272"/>
      <c r="Q104" s="272"/>
      <c r="R104" s="272"/>
      <c r="S104" s="272"/>
      <c r="T104" s="272"/>
      <c r="U104" s="272"/>
      <c r="V104" s="272"/>
      <c r="W104" s="272"/>
      <c r="X104" s="272"/>
      <c r="Y104" s="272"/>
      <c r="Z104" s="272"/>
      <c r="AA104" s="272"/>
      <c r="AB104" s="272"/>
      <c r="AC104" s="272"/>
      <c r="AD104" s="272"/>
      <c r="AE104" s="272"/>
    </row>
    <row r="105" spans="2:31" ht="14.5">
      <c r="B105" s="377">
        <f t="shared" si="4"/>
        <v>60</v>
      </c>
      <c r="C105" s="385" t="str" cm="1">
        <f t="array" aca="1" ref="C105" ca="1">IF(B105&lt;=$C$9,GetGetCDSName(B105),"")</f>
        <v>HANNOVERRUECK_MMR.EUR.SU</v>
      </c>
      <c r="D105" s="345">
        <v>0</v>
      </c>
      <c r="E105" s="378">
        <v>0</v>
      </c>
      <c r="F105" s="297">
        <v>1</v>
      </c>
      <c r="G105" s="297">
        <v>0</v>
      </c>
      <c r="H105" s="297">
        <v>0</v>
      </c>
      <c r="I105" s="297">
        <v>0</v>
      </c>
      <c r="J105" s="297">
        <v>1</v>
      </c>
      <c r="K105" s="297"/>
      <c r="L105" s="297"/>
      <c r="M105" s="297"/>
      <c r="N105" s="379"/>
      <c r="O105" s="272"/>
      <c r="P105" s="272"/>
      <c r="Q105" s="272"/>
      <c r="R105" s="272"/>
      <c r="S105" s="272"/>
      <c r="T105" s="272"/>
      <c r="U105" s="272"/>
      <c r="V105" s="272"/>
      <c r="W105" s="272"/>
      <c r="X105" s="272"/>
      <c r="Y105" s="272"/>
      <c r="Z105" s="272"/>
      <c r="AA105" s="272"/>
      <c r="AB105" s="272"/>
      <c r="AC105" s="272"/>
      <c r="AD105" s="272"/>
      <c r="AE105" s="272"/>
    </row>
    <row r="106" spans="2:31" ht="14.5">
      <c r="B106" s="377">
        <f t="shared" si="4"/>
        <v>61</v>
      </c>
      <c r="C106" s="385" t="str" cm="1">
        <f t="array" aca="1" ref="C106" ca="1">IF(B106&lt;=$C$9,GetGetCDSName(B106),"")</f>
        <v>HELLENIC TELCOM_MMR.EUR.SU</v>
      </c>
      <c r="D106" s="345">
        <v>0</v>
      </c>
      <c r="E106" s="378">
        <v>0</v>
      </c>
      <c r="F106" s="297">
        <v>1</v>
      </c>
      <c r="G106" s="297">
        <v>0</v>
      </c>
      <c r="H106" s="297">
        <v>1</v>
      </c>
      <c r="I106" s="297">
        <v>0</v>
      </c>
      <c r="J106" s="297">
        <v>0</v>
      </c>
      <c r="K106" s="297"/>
      <c r="L106" s="297"/>
      <c r="M106" s="297"/>
      <c r="N106" s="379"/>
      <c r="O106" s="272"/>
      <c r="P106" s="272"/>
      <c r="Q106" s="272"/>
      <c r="R106" s="272"/>
      <c r="S106" s="272"/>
      <c r="T106" s="272"/>
      <c r="U106" s="272"/>
      <c r="V106" s="272"/>
      <c r="W106" s="272"/>
      <c r="X106" s="272"/>
      <c r="Y106" s="272"/>
      <c r="Z106" s="272"/>
      <c r="AA106" s="272"/>
      <c r="AB106" s="272"/>
      <c r="AC106" s="272"/>
      <c r="AD106" s="272"/>
      <c r="AE106" s="272"/>
    </row>
    <row r="107" spans="2:31" ht="14.5">
      <c r="B107" s="377">
        <f t="shared" si="4"/>
        <v>62</v>
      </c>
      <c r="C107" s="385" t="str" cm="1">
        <f t="array" aca="1" ref="C107" ca="1">IF(B107&lt;=$C$9,GetGetCDSName(B107),"")</f>
        <v>HENKELKG_MMR.EUR.SU</v>
      </c>
      <c r="D107" s="345">
        <v>0</v>
      </c>
      <c r="E107" s="378">
        <v>1</v>
      </c>
      <c r="F107" s="297">
        <v>0</v>
      </c>
      <c r="G107" s="297">
        <v>0</v>
      </c>
      <c r="H107" s="297">
        <v>0</v>
      </c>
      <c r="I107" s="297">
        <v>0</v>
      </c>
      <c r="J107" s="297">
        <v>1</v>
      </c>
      <c r="K107" s="297"/>
      <c r="L107" s="297"/>
      <c r="M107" s="297"/>
      <c r="N107" s="379"/>
      <c r="O107" s="272"/>
      <c r="P107" s="272"/>
      <c r="Q107" s="272"/>
      <c r="R107" s="272"/>
      <c r="S107" s="272"/>
      <c r="T107" s="272"/>
      <c r="U107" s="272"/>
      <c r="V107" s="272"/>
      <c r="W107" s="272"/>
      <c r="X107" s="272"/>
      <c r="Y107" s="272"/>
      <c r="Z107" s="272"/>
      <c r="AA107" s="272"/>
      <c r="AB107" s="272"/>
      <c r="AC107" s="272"/>
      <c r="AD107" s="272"/>
      <c r="AE107" s="272"/>
    </row>
    <row r="108" spans="2:31" ht="14.5">
      <c r="B108" s="377">
        <f t="shared" si="4"/>
        <v>63</v>
      </c>
      <c r="C108" s="385" t="str" cm="1">
        <f t="array" aca="1" ref="C108" ca="1">IF(B108&lt;=$C$9,GetGetCDSName(B108),"")</f>
        <v>IBERDROLA_MMR.EUR.SU</v>
      </c>
      <c r="D108" s="345">
        <v>0</v>
      </c>
      <c r="E108" s="378">
        <v>1</v>
      </c>
      <c r="F108" s="297">
        <v>1</v>
      </c>
      <c r="G108" s="297">
        <v>0</v>
      </c>
      <c r="H108" s="297">
        <v>1</v>
      </c>
      <c r="I108" s="297">
        <v>0</v>
      </c>
      <c r="J108" s="297">
        <v>0</v>
      </c>
      <c r="K108" s="297"/>
      <c r="L108" s="297"/>
      <c r="M108" s="297"/>
      <c r="N108" s="379"/>
      <c r="O108" s="272"/>
      <c r="P108" s="272"/>
      <c r="Q108" s="272"/>
      <c r="R108" s="272"/>
      <c r="S108" s="272"/>
      <c r="T108" s="272"/>
      <c r="U108" s="272"/>
      <c r="V108" s="272"/>
      <c r="W108" s="272"/>
      <c r="X108" s="272"/>
      <c r="Y108" s="272"/>
      <c r="Z108" s="272"/>
      <c r="AA108" s="272"/>
      <c r="AB108" s="272"/>
      <c r="AC108" s="272"/>
      <c r="AD108" s="272"/>
      <c r="AE108" s="272"/>
    </row>
    <row r="109" spans="2:31" ht="14.5">
      <c r="B109" s="377">
        <f t="shared" si="4"/>
        <v>64</v>
      </c>
      <c r="C109" s="385" t="str" cm="1">
        <f t="array" aca="1" ref="C109" ca="1">IF(B109&lt;=$C$9,GetGetCDSName(B109),"")</f>
        <v>ICI_MMR.EUR.SU</v>
      </c>
      <c r="D109" s="345">
        <v>0</v>
      </c>
      <c r="E109" s="378">
        <v>1</v>
      </c>
      <c r="F109" s="297">
        <v>0</v>
      </c>
      <c r="G109" s="297">
        <v>0</v>
      </c>
      <c r="H109" s="297">
        <v>1</v>
      </c>
      <c r="I109" s="297">
        <v>0</v>
      </c>
      <c r="J109" s="297">
        <v>1</v>
      </c>
      <c r="K109" s="297"/>
      <c r="L109" s="297"/>
      <c r="M109" s="297"/>
      <c r="N109" s="379"/>
      <c r="O109" s="272"/>
      <c r="P109" s="272"/>
      <c r="Q109" s="272"/>
      <c r="R109" s="272"/>
      <c r="S109" s="272"/>
      <c r="T109" s="272"/>
      <c r="U109" s="272"/>
      <c r="V109" s="272"/>
      <c r="W109" s="272"/>
      <c r="X109" s="272"/>
      <c r="Y109" s="272"/>
      <c r="Z109" s="272"/>
      <c r="AA109" s="272"/>
      <c r="AB109" s="272"/>
      <c r="AC109" s="272"/>
      <c r="AD109" s="272"/>
      <c r="AE109" s="272"/>
    </row>
    <row r="110" spans="2:31" ht="14.5">
      <c r="B110" s="377">
        <f t="shared" si="4"/>
        <v>65</v>
      </c>
      <c r="C110" s="385" t="str" cm="1">
        <f t="array" aca="1" ref="C110" ca="1">IF(B110&lt;=$C$9,GetGetCDSName(B110),"")</f>
        <v>INTESA_MMR.EUR.SU</v>
      </c>
      <c r="D110" s="345">
        <v>0</v>
      </c>
      <c r="E110" s="378">
        <v>0</v>
      </c>
      <c r="F110" s="297">
        <v>1</v>
      </c>
      <c r="G110" s="297">
        <v>1</v>
      </c>
      <c r="H110" s="297">
        <v>0</v>
      </c>
      <c r="I110" s="297">
        <v>1</v>
      </c>
      <c r="J110" s="297">
        <v>0</v>
      </c>
      <c r="K110" s="297"/>
      <c r="L110" s="297"/>
      <c r="M110" s="297"/>
      <c r="N110" s="379"/>
      <c r="O110" s="272"/>
      <c r="P110" s="272"/>
      <c r="Q110" s="272"/>
      <c r="R110" s="272"/>
      <c r="S110" s="272"/>
      <c r="T110" s="272"/>
      <c r="U110" s="272"/>
      <c r="V110" s="272"/>
      <c r="W110" s="272"/>
      <c r="X110" s="272"/>
      <c r="Y110" s="272"/>
      <c r="Z110" s="272"/>
      <c r="AA110" s="272"/>
      <c r="AB110" s="272"/>
      <c r="AC110" s="272"/>
      <c r="AD110" s="272"/>
      <c r="AE110" s="272"/>
    </row>
    <row r="111" spans="2:31" ht="14.5">
      <c r="B111" s="377">
        <f t="shared" ref="B111:B174" si="5">B110+1</f>
        <v>66</v>
      </c>
      <c r="C111" s="385" t="str" cm="1">
        <f t="array" aca="1" ref="C111" ca="1">IF(B111&lt;=$C$9,GetGetCDSName(B111),"")</f>
        <v>KINGFISHER_MMR.EUR.SU</v>
      </c>
      <c r="D111" s="345">
        <v>0</v>
      </c>
      <c r="E111" s="378">
        <v>1</v>
      </c>
      <c r="F111" s="297">
        <v>0</v>
      </c>
      <c r="G111" s="297">
        <v>1</v>
      </c>
      <c r="H111" s="297">
        <v>0</v>
      </c>
      <c r="I111" s="297">
        <v>1</v>
      </c>
      <c r="J111" s="297">
        <v>0</v>
      </c>
      <c r="K111" s="297"/>
      <c r="L111" s="297"/>
      <c r="M111" s="297"/>
      <c r="N111" s="379"/>
      <c r="O111" s="272"/>
      <c r="P111" s="272"/>
      <c r="Q111" s="272"/>
      <c r="R111" s="272"/>
      <c r="S111" s="272"/>
      <c r="T111" s="272"/>
      <c r="U111" s="272"/>
      <c r="V111" s="272"/>
      <c r="W111" s="272"/>
      <c r="X111" s="272"/>
      <c r="Y111" s="272"/>
      <c r="Z111" s="272"/>
      <c r="AA111" s="272"/>
      <c r="AB111" s="272"/>
      <c r="AC111" s="272"/>
      <c r="AD111" s="272"/>
      <c r="AE111" s="272"/>
    </row>
    <row r="112" spans="2:31" ht="14.5">
      <c r="B112" s="377">
        <f t="shared" si="5"/>
        <v>67</v>
      </c>
      <c r="C112" s="385" t="str" cm="1">
        <f t="array" aca="1" ref="C112" ca="1">IF(B112&lt;=$C$9,GetGetCDSName(B112),"")</f>
        <v>KPN_MMR.EUR.SU</v>
      </c>
      <c r="D112" s="345">
        <v>0</v>
      </c>
      <c r="E112" s="378">
        <v>1</v>
      </c>
      <c r="F112" s="297">
        <v>0</v>
      </c>
      <c r="G112" s="297">
        <v>0</v>
      </c>
      <c r="H112" s="297">
        <v>1</v>
      </c>
      <c r="I112" s="297">
        <v>0</v>
      </c>
      <c r="J112" s="297">
        <v>1</v>
      </c>
      <c r="K112" s="297"/>
      <c r="L112" s="297"/>
      <c r="M112" s="297"/>
      <c r="N112" s="379"/>
      <c r="O112" s="272"/>
      <c r="P112" s="272"/>
      <c r="Q112" s="272"/>
      <c r="R112" s="272"/>
      <c r="S112" s="272"/>
      <c r="T112" s="272"/>
      <c r="U112" s="272"/>
      <c r="V112" s="272"/>
      <c r="W112" s="272"/>
      <c r="X112" s="272"/>
      <c r="Y112" s="272"/>
      <c r="Z112" s="272"/>
      <c r="AA112" s="272"/>
      <c r="AB112" s="272"/>
      <c r="AC112" s="272"/>
      <c r="AD112" s="272"/>
      <c r="AE112" s="272"/>
    </row>
    <row r="113" spans="2:31" ht="14.5">
      <c r="B113" s="377">
        <f t="shared" si="5"/>
        <v>68</v>
      </c>
      <c r="C113" s="385" t="str" cm="1">
        <f t="array" aca="1" ref="C113" ca="1">IF(B113&lt;=$C$9,GetGetCDSName(B113),"")</f>
        <v>LAFARGE_MMR.EUR.SU</v>
      </c>
      <c r="D113" s="345">
        <v>0</v>
      </c>
      <c r="E113" s="378">
        <v>0</v>
      </c>
      <c r="F113" s="297">
        <v>1</v>
      </c>
      <c r="G113" s="297">
        <v>0</v>
      </c>
      <c r="H113" s="297">
        <v>1</v>
      </c>
      <c r="I113" s="297">
        <v>0</v>
      </c>
      <c r="J113" s="297">
        <v>1</v>
      </c>
      <c r="K113" s="297"/>
      <c r="L113" s="297"/>
      <c r="M113" s="297"/>
      <c r="N113" s="379"/>
      <c r="O113" s="272"/>
      <c r="P113" s="272"/>
      <c r="Q113" s="272"/>
      <c r="R113" s="272"/>
      <c r="S113" s="272"/>
      <c r="T113" s="272"/>
      <c r="U113" s="272"/>
      <c r="V113" s="272"/>
      <c r="W113" s="272"/>
      <c r="X113" s="272"/>
      <c r="Y113" s="272"/>
      <c r="Z113" s="272"/>
      <c r="AA113" s="272"/>
      <c r="AB113" s="272"/>
      <c r="AC113" s="272"/>
      <c r="AD113" s="272"/>
      <c r="AE113" s="272"/>
    </row>
    <row r="114" spans="2:31" ht="14.5">
      <c r="B114" s="377">
        <f t="shared" si="5"/>
        <v>69</v>
      </c>
      <c r="C114" s="385" t="str" cm="1">
        <f t="array" aca="1" ref="C114" ca="1">IF(B114&lt;=$C$9,GetGetCDSName(B114),"")</f>
        <v>LINDE_MMR.EUR.SU</v>
      </c>
      <c r="D114" s="345">
        <v>0</v>
      </c>
      <c r="E114" s="378">
        <v>0</v>
      </c>
      <c r="F114" s="297">
        <v>0</v>
      </c>
      <c r="G114" s="297">
        <v>1</v>
      </c>
      <c r="H114" s="297">
        <v>0</v>
      </c>
      <c r="I114" s="297">
        <v>1</v>
      </c>
      <c r="J114" s="297">
        <v>1</v>
      </c>
      <c r="K114" s="297"/>
      <c r="L114" s="297"/>
      <c r="M114" s="297"/>
      <c r="N114" s="379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</row>
    <row r="115" spans="2:31" ht="14.5">
      <c r="B115" s="377">
        <f t="shared" si="5"/>
        <v>70</v>
      </c>
      <c r="C115" s="385" t="str" cm="1">
        <f t="array" aca="1" ref="C115" ca="1">IF(B115&lt;=$C$9,GetGetCDSName(B115),"")</f>
        <v>LUFTHANSA_MMR.EUR.SU</v>
      </c>
      <c r="D115" s="345">
        <v>0</v>
      </c>
      <c r="E115" s="378">
        <v>1</v>
      </c>
      <c r="F115" s="297">
        <v>0</v>
      </c>
      <c r="G115" s="297">
        <v>0</v>
      </c>
      <c r="H115" s="297">
        <v>0</v>
      </c>
      <c r="I115" s="297">
        <v>1</v>
      </c>
      <c r="J115" s="297">
        <v>1</v>
      </c>
      <c r="K115" s="297"/>
      <c r="L115" s="297"/>
      <c r="M115" s="297"/>
      <c r="N115" s="379"/>
      <c r="O115" s="272"/>
      <c r="P115" s="272"/>
      <c r="Q115" s="272"/>
      <c r="R115" s="272"/>
      <c r="S115" s="272"/>
      <c r="T115" s="272"/>
      <c r="U115" s="272"/>
      <c r="V115" s="272"/>
      <c r="W115" s="272"/>
      <c r="X115" s="272"/>
      <c r="Y115" s="272"/>
      <c r="Z115" s="272"/>
      <c r="AA115" s="272"/>
      <c r="AB115" s="272"/>
      <c r="AC115" s="272"/>
      <c r="AD115" s="272"/>
      <c r="AE115" s="272"/>
    </row>
    <row r="116" spans="2:31" ht="14.5">
      <c r="B116" s="377">
        <f t="shared" si="5"/>
        <v>71</v>
      </c>
      <c r="C116" s="385" t="str" cm="1">
        <f t="array" aca="1" ref="C116" ca="1">IF(B116&lt;=$C$9,GetGetCDSName(B116),"")</f>
        <v>LVMH_MMR.EUR.SU</v>
      </c>
      <c r="D116" s="345">
        <v>0</v>
      </c>
      <c r="E116" s="378">
        <v>1</v>
      </c>
      <c r="F116" s="297">
        <v>1</v>
      </c>
      <c r="G116" s="297">
        <v>0</v>
      </c>
      <c r="H116" s="297">
        <v>0</v>
      </c>
      <c r="I116" s="297">
        <v>0</v>
      </c>
      <c r="J116" s="297">
        <v>1</v>
      </c>
      <c r="K116" s="297"/>
      <c r="L116" s="297"/>
      <c r="M116" s="297"/>
      <c r="N116" s="379"/>
      <c r="O116" s="272"/>
      <c r="P116" s="272"/>
      <c r="Q116" s="272"/>
      <c r="R116" s="272"/>
      <c r="S116" s="272"/>
      <c r="T116" s="272"/>
      <c r="U116" s="272"/>
      <c r="V116" s="272"/>
      <c r="W116" s="272"/>
      <c r="X116" s="272"/>
      <c r="Y116" s="272"/>
      <c r="Z116" s="272"/>
      <c r="AA116" s="272"/>
      <c r="AB116" s="272"/>
      <c r="AC116" s="272"/>
      <c r="AD116" s="272"/>
      <c r="AE116" s="272"/>
    </row>
    <row r="117" spans="2:31" ht="14.5">
      <c r="B117" s="377">
        <f t="shared" si="5"/>
        <v>72</v>
      </c>
      <c r="C117" s="385" t="str" cm="1">
        <f t="array" aca="1" ref="C117" ca="1">IF(B117&lt;=$C$9,GetGetCDSName(B117),"")</f>
        <v>MARKSANDSPENCERPLC_MMR.EUR.SU</v>
      </c>
      <c r="D117" s="345">
        <v>0</v>
      </c>
      <c r="E117" s="378">
        <v>1</v>
      </c>
      <c r="F117" s="297">
        <v>1</v>
      </c>
      <c r="G117" s="297">
        <v>0</v>
      </c>
      <c r="H117" s="297">
        <v>0</v>
      </c>
      <c r="I117" s="297">
        <v>0</v>
      </c>
      <c r="J117" s="297">
        <v>0</v>
      </c>
      <c r="K117" s="297"/>
      <c r="L117" s="297"/>
      <c r="M117" s="297"/>
      <c r="N117" s="379"/>
      <c r="O117" s="272"/>
      <c r="P117" s="272"/>
      <c r="Q117" s="272"/>
      <c r="R117" s="272"/>
      <c r="S117" s="272"/>
      <c r="T117" s="272"/>
      <c r="U117" s="272"/>
      <c r="V117" s="272"/>
      <c r="W117" s="272"/>
      <c r="X117" s="272"/>
      <c r="Y117" s="272"/>
      <c r="Z117" s="272"/>
      <c r="AA117" s="272"/>
      <c r="AB117" s="272"/>
      <c r="AC117" s="272"/>
      <c r="AD117" s="272"/>
      <c r="AE117" s="272"/>
    </row>
    <row r="118" spans="2:31" ht="14.5">
      <c r="B118" s="377">
        <f t="shared" si="5"/>
        <v>73</v>
      </c>
      <c r="C118" s="385" t="str" cm="1">
        <f t="array" aca="1" ref="C118" ca="1">IF(B118&lt;=$C$9,GetGetCDSName(B118),"")</f>
        <v>METRO_MMR.EUR.SU</v>
      </c>
      <c r="D118" s="345">
        <v>0</v>
      </c>
      <c r="E118" s="378">
        <v>0</v>
      </c>
      <c r="F118" s="297">
        <v>1</v>
      </c>
      <c r="G118" s="297">
        <v>0</v>
      </c>
      <c r="H118" s="297">
        <v>1</v>
      </c>
      <c r="I118" s="297">
        <v>0</v>
      </c>
      <c r="J118" s="297">
        <v>1</v>
      </c>
      <c r="K118" s="297"/>
      <c r="L118" s="297"/>
      <c r="M118" s="297"/>
      <c r="N118" s="379"/>
      <c r="O118" s="272"/>
      <c r="P118" s="272"/>
      <c r="Q118" s="272"/>
      <c r="R118" s="272"/>
      <c r="S118" s="272"/>
      <c r="T118" s="272"/>
      <c r="U118" s="272"/>
      <c r="V118" s="272"/>
      <c r="W118" s="272"/>
      <c r="X118" s="272"/>
      <c r="Y118" s="272"/>
      <c r="Z118" s="272"/>
      <c r="AA118" s="272"/>
      <c r="AB118" s="272"/>
      <c r="AC118" s="272"/>
      <c r="AD118" s="272"/>
      <c r="AE118" s="272"/>
    </row>
    <row r="119" spans="2:31" ht="14.5">
      <c r="B119" s="377">
        <f t="shared" si="5"/>
        <v>74</v>
      </c>
      <c r="C119" s="385" t="str" cm="1">
        <f t="array" aca="1" ref="C119" ca="1">IF(B119&lt;=$C$9,GetGetCDSName(B119),"")</f>
        <v>MICHELIN_MMR.EUR.SU</v>
      </c>
      <c r="D119" s="345">
        <v>0</v>
      </c>
      <c r="E119" s="378">
        <v>1</v>
      </c>
      <c r="F119" s="297">
        <v>1</v>
      </c>
      <c r="G119" s="297">
        <v>0</v>
      </c>
      <c r="H119" s="297">
        <v>1</v>
      </c>
      <c r="I119" s="297">
        <v>0</v>
      </c>
      <c r="J119" s="297">
        <v>0</v>
      </c>
      <c r="K119" s="297"/>
      <c r="L119" s="297"/>
      <c r="M119" s="297"/>
      <c r="N119" s="379"/>
      <c r="O119" s="272"/>
      <c r="P119" s="272"/>
      <c r="Q119" s="272"/>
      <c r="R119" s="272"/>
      <c r="S119" s="272"/>
      <c r="T119" s="272"/>
      <c r="U119" s="272"/>
      <c r="V119" s="272"/>
      <c r="W119" s="272"/>
      <c r="X119" s="272"/>
      <c r="Y119" s="272"/>
      <c r="Z119" s="272"/>
      <c r="AA119" s="272"/>
      <c r="AB119" s="272"/>
      <c r="AC119" s="272"/>
      <c r="AD119" s="272"/>
      <c r="AE119" s="272"/>
    </row>
    <row r="120" spans="2:31" ht="14.5">
      <c r="B120" s="377">
        <f t="shared" si="5"/>
        <v>75</v>
      </c>
      <c r="C120" s="385" t="str" cm="1">
        <f t="array" aca="1" ref="C120" ca="1">IF(B120&lt;=$C$9,GetGetCDSName(B120),"")</f>
        <v>MONTEDEIPASCHI_MMR.EUR.SU</v>
      </c>
      <c r="D120" s="345">
        <v>0</v>
      </c>
      <c r="E120" s="378">
        <v>0</v>
      </c>
      <c r="F120" s="297">
        <v>0</v>
      </c>
      <c r="G120" s="297">
        <v>0</v>
      </c>
      <c r="H120" s="297">
        <v>1</v>
      </c>
      <c r="I120" s="297">
        <v>0</v>
      </c>
      <c r="J120" s="297">
        <v>1</v>
      </c>
      <c r="K120" s="297"/>
      <c r="L120" s="297"/>
      <c r="M120" s="297"/>
      <c r="N120" s="379"/>
      <c r="O120" s="272"/>
      <c r="P120" s="272"/>
      <c r="Q120" s="272"/>
      <c r="R120" s="272"/>
      <c r="S120" s="272"/>
      <c r="T120" s="272"/>
      <c r="U120" s="272"/>
      <c r="V120" s="272"/>
      <c r="W120" s="272"/>
      <c r="X120" s="272"/>
      <c r="Y120" s="272"/>
      <c r="Z120" s="272"/>
      <c r="AA120" s="272"/>
      <c r="AB120" s="272"/>
      <c r="AC120" s="272"/>
      <c r="AD120" s="272"/>
      <c r="AE120" s="272"/>
    </row>
    <row r="121" spans="2:31" ht="14.5">
      <c r="B121" s="377">
        <f t="shared" si="5"/>
        <v>76</v>
      </c>
      <c r="C121" s="385" t="str" cm="1">
        <f t="array" aca="1" ref="C121" ca="1">IF(B121&lt;=$C$9,GetGetCDSName(B121),"")</f>
        <v>MUNICHRE_MMR.EUR.SU</v>
      </c>
      <c r="D121" s="345">
        <v>0</v>
      </c>
      <c r="E121" s="378">
        <v>0</v>
      </c>
      <c r="F121" s="297">
        <v>0</v>
      </c>
      <c r="G121" s="297">
        <v>1</v>
      </c>
      <c r="H121" s="297">
        <v>1</v>
      </c>
      <c r="I121" s="297">
        <v>0</v>
      </c>
      <c r="J121" s="297">
        <v>1</v>
      </c>
      <c r="K121" s="297"/>
      <c r="L121" s="297"/>
      <c r="M121" s="297"/>
      <c r="N121" s="379"/>
      <c r="O121" s="272"/>
      <c r="P121" s="272"/>
      <c r="Q121" s="272"/>
      <c r="R121" s="272"/>
      <c r="S121" s="272"/>
      <c r="T121" s="272"/>
      <c r="U121" s="272"/>
      <c r="V121" s="272"/>
      <c r="W121" s="272"/>
      <c r="X121" s="272"/>
      <c r="Y121" s="272"/>
      <c r="Z121" s="272"/>
      <c r="AA121" s="272"/>
      <c r="AB121" s="272"/>
      <c r="AC121" s="272"/>
      <c r="AD121" s="272"/>
      <c r="AE121" s="272"/>
    </row>
    <row r="122" spans="2:31" ht="14.5">
      <c r="B122" s="377">
        <f t="shared" si="5"/>
        <v>77</v>
      </c>
      <c r="C122" s="385" t="str" cm="1">
        <f t="array" aca="1" ref="C122" ca="1">IF(B122&lt;=$C$9,GetGetCDSName(B122),"")</f>
        <v>NATIONALGRIDTRANSCOPLC_MMR.EUR.SU</v>
      </c>
      <c r="D122" s="345">
        <v>0</v>
      </c>
      <c r="E122" s="378">
        <v>1</v>
      </c>
      <c r="F122" s="297">
        <v>0</v>
      </c>
      <c r="G122" s="297">
        <v>1</v>
      </c>
      <c r="H122" s="297">
        <v>0</v>
      </c>
      <c r="I122" s="297">
        <v>1</v>
      </c>
      <c r="J122" s="297">
        <v>0</v>
      </c>
      <c r="K122" s="297"/>
      <c r="L122" s="297"/>
      <c r="M122" s="297"/>
      <c r="N122" s="379"/>
      <c r="O122" s="272"/>
      <c r="P122" s="272"/>
      <c r="Q122" s="272"/>
      <c r="R122" s="272"/>
      <c r="S122" s="272"/>
      <c r="T122" s="272"/>
      <c r="U122" s="272"/>
      <c r="V122" s="272"/>
      <c r="W122" s="272"/>
      <c r="X122" s="272"/>
      <c r="Y122" s="272"/>
      <c r="Z122" s="272"/>
      <c r="AA122" s="272"/>
      <c r="AB122" s="272"/>
      <c r="AC122" s="272"/>
      <c r="AD122" s="272"/>
      <c r="AE122" s="272"/>
    </row>
    <row r="123" spans="2:31" ht="14.5">
      <c r="B123" s="377">
        <f t="shared" si="5"/>
        <v>78</v>
      </c>
      <c r="C123" s="385" t="str" cm="1">
        <f t="array" aca="1" ref="C123" ca="1">IF(B123&lt;=$C$9,GetGetCDSName(B123),"")</f>
        <v>NEXTPLC_MMR.EUR.SU</v>
      </c>
      <c r="D123" s="345">
        <v>0</v>
      </c>
      <c r="E123" s="378">
        <v>0</v>
      </c>
      <c r="F123" s="297">
        <v>0</v>
      </c>
      <c r="G123" s="297">
        <v>0</v>
      </c>
      <c r="H123" s="297">
        <v>0</v>
      </c>
      <c r="I123" s="297">
        <v>1</v>
      </c>
      <c r="J123" s="297">
        <v>1</v>
      </c>
      <c r="K123" s="297"/>
      <c r="L123" s="297"/>
      <c r="M123" s="297"/>
      <c r="N123" s="379"/>
      <c r="O123" s="272"/>
      <c r="P123" s="272"/>
      <c r="Q123" s="272"/>
      <c r="R123" s="272"/>
      <c r="S123" s="272"/>
      <c r="T123" s="272"/>
      <c r="U123" s="272"/>
      <c r="V123" s="272"/>
      <c r="W123" s="272"/>
      <c r="X123" s="272"/>
      <c r="Y123" s="272"/>
      <c r="Z123" s="272"/>
      <c r="AA123" s="272"/>
      <c r="AB123" s="272"/>
      <c r="AC123" s="272"/>
      <c r="AD123" s="272"/>
      <c r="AE123" s="272"/>
    </row>
    <row r="124" spans="2:31" ht="14.5">
      <c r="B124" s="377">
        <f t="shared" si="5"/>
        <v>79</v>
      </c>
      <c r="C124" s="385" t="str" cm="1">
        <f t="array" aca="1" ref="C124" ca="1">IF(B124&lt;=$C$9,GetGetCDSName(B124),"")</f>
        <v>PEARSON_MMR.EUR.SU</v>
      </c>
      <c r="D124" s="345">
        <v>0</v>
      </c>
      <c r="E124" s="378">
        <v>0</v>
      </c>
      <c r="F124" s="297">
        <v>0</v>
      </c>
      <c r="G124" s="297">
        <v>1</v>
      </c>
      <c r="H124" s="297">
        <v>0</v>
      </c>
      <c r="I124" s="297">
        <v>0</v>
      </c>
      <c r="J124" s="297">
        <v>1</v>
      </c>
      <c r="K124" s="297"/>
      <c r="L124" s="297"/>
      <c r="M124" s="297"/>
      <c r="N124" s="379"/>
      <c r="O124" s="272"/>
      <c r="P124" s="272"/>
      <c r="Q124" s="272"/>
      <c r="R124" s="272"/>
      <c r="S124" s="272"/>
      <c r="T124" s="272"/>
      <c r="U124" s="272"/>
      <c r="V124" s="272"/>
      <c r="W124" s="272"/>
      <c r="X124" s="272"/>
      <c r="Y124" s="272"/>
      <c r="Z124" s="272"/>
      <c r="AA124" s="272"/>
      <c r="AB124" s="272"/>
      <c r="AC124" s="272"/>
      <c r="AD124" s="272"/>
      <c r="AE124" s="272"/>
    </row>
    <row r="125" spans="2:31" ht="14.5">
      <c r="B125" s="377">
        <f t="shared" si="5"/>
        <v>80</v>
      </c>
      <c r="C125" s="385" t="str" cm="1">
        <f t="array" aca="1" ref="C125" ca="1">IF(B125&lt;=$C$9,GetGetCDSName(B125),"")</f>
        <v>PEUGEOT_MMR.EUR.SU</v>
      </c>
      <c r="D125" s="345">
        <v>0</v>
      </c>
      <c r="E125" s="378">
        <v>1</v>
      </c>
      <c r="F125" s="297">
        <v>1</v>
      </c>
      <c r="G125" s="297">
        <v>0</v>
      </c>
      <c r="H125" s="297">
        <v>0</v>
      </c>
      <c r="I125" s="297">
        <v>0</v>
      </c>
      <c r="J125" s="297">
        <v>0</v>
      </c>
      <c r="K125" s="297"/>
      <c r="L125" s="297"/>
      <c r="M125" s="297"/>
      <c r="N125" s="379"/>
      <c r="O125" s="272"/>
      <c r="P125" s="272"/>
      <c r="Q125" s="272"/>
      <c r="R125" s="272"/>
      <c r="S125" s="272"/>
      <c r="T125" s="272"/>
      <c r="U125" s="272"/>
      <c r="V125" s="272"/>
      <c r="W125" s="272"/>
      <c r="X125" s="272"/>
      <c r="Y125" s="272"/>
      <c r="Z125" s="272"/>
      <c r="AA125" s="272"/>
      <c r="AB125" s="272"/>
      <c r="AC125" s="272"/>
      <c r="AD125" s="272"/>
      <c r="AE125" s="272"/>
    </row>
    <row r="126" spans="2:31" ht="14.5">
      <c r="B126" s="377">
        <f t="shared" si="5"/>
        <v>81</v>
      </c>
      <c r="C126" s="385" t="str" cm="1">
        <f t="array" aca="1" ref="C126" ca="1">IF(B126&lt;=$C$9,GetGetCDSName(B126),"")</f>
        <v>PHILIPSELEC_MMR.EUR.SU</v>
      </c>
      <c r="D126" s="345">
        <v>0</v>
      </c>
      <c r="E126" s="378">
        <v>0</v>
      </c>
      <c r="F126" s="297">
        <v>0</v>
      </c>
      <c r="G126" s="297">
        <v>0</v>
      </c>
      <c r="H126" s="297">
        <v>1</v>
      </c>
      <c r="I126" s="297">
        <v>0</v>
      </c>
      <c r="J126" s="297">
        <v>1</v>
      </c>
      <c r="K126" s="297"/>
      <c r="L126" s="297"/>
      <c r="M126" s="297"/>
      <c r="N126" s="379"/>
      <c r="O126" s="272"/>
      <c r="P126" s="272"/>
      <c r="Q126" s="272"/>
      <c r="R126" s="272"/>
      <c r="S126" s="272"/>
      <c r="T126" s="272"/>
      <c r="U126" s="272"/>
      <c r="V126" s="272"/>
      <c r="W126" s="272"/>
      <c r="X126" s="272"/>
      <c r="Y126" s="272"/>
      <c r="Z126" s="272"/>
      <c r="AA126" s="272"/>
      <c r="AB126" s="272"/>
      <c r="AC126" s="272"/>
      <c r="AD126" s="272"/>
      <c r="AE126" s="272"/>
    </row>
    <row r="127" spans="2:31" ht="14.5">
      <c r="B127" s="377">
        <f t="shared" si="5"/>
        <v>82</v>
      </c>
      <c r="C127" s="385" t="str" cm="1">
        <f t="array" aca="1" ref="C127" ca="1">IF(B127&lt;=$C$9,GetGetCDSName(B127),"")</f>
        <v>PINAULTPRINTEMPS_MMR.EUR.SU</v>
      </c>
      <c r="D127" s="345">
        <v>0</v>
      </c>
      <c r="E127" s="378">
        <v>0</v>
      </c>
      <c r="F127" s="297">
        <v>0</v>
      </c>
      <c r="G127" s="297">
        <v>1</v>
      </c>
      <c r="H127" s="297">
        <v>1</v>
      </c>
      <c r="I127" s="297">
        <v>0</v>
      </c>
      <c r="J127" s="297">
        <v>0</v>
      </c>
      <c r="K127" s="297"/>
      <c r="L127" s="297"/>
      <c r="M127" s="297"/>
      <c r="N127" s="379"/>
      <c r="O127" s="272"/>
      <c r="P127" s="272"/>
      <c r="Q127" s="272"/>
      <c r="R127" s="272"/>
      <c r="S127" s="272"/>
      <c r="T127" s="272"/>
      <c r="U127" s="272"/>
      <c r="V127" s="272"/>
      <c r="W127" s="272"/>
      <c r="X127" s="272"/>
      <c r="Y127" s="272"/>
      <c r="Z127" s="272"/>
      <c r="AA127" s="272"/>
      <c r="AB127" s="272"/>
      <c r="AC127" s="272"/>
      <c r="AD127" s="272"/>
      <c r="AE127" s="272"/>
    </row>
    <row r="128" spans="2:31" ht="14.5">
      <c r="B128" s="377">
        <f t="shared" si="5"/>
        <v>83</v>
      </c>
      <c r="C128" s="385" t="str" cm="1">
        <f t="array" aca="1" ref="C128" ca="1">IF(B128&lt;=$C$9,GetGetCDSName(B128),"")</f>
        <v>PORTUGALTELECOM_MMR.EUR.SU</v>
      </c>
      <c r="D128" s="345">
        <v>0</v>
      </c>
      <c r="E128" s="378">
        <v>0</v>
      </c>
      <c r="F128" s="297">
        <v>0</v>
      </c>
      <c r="G128" s="297">
        <v>1</v>
      </c>
      <c r="H128" s="297">
        <v>0</v>
      </c>
      <c r="I128" s="297">
        <v>1</v>
      </c>
      <c r="J128" s="297">
        <v>1</v>
      </c>
      <c r="K128" s="297"/>
      <c r="L128" s="297"/>
      <c r="M128" s="297"/>
      <c r="N128" s="379"/>
      <c r="O128" s="272"/>
      <c r="P128" s="272"/>
      <c r="Q128" s="272"/>
      <c r="R128" s="272"/>
      <c r="S128" s="272"/>
      <c r="T128" s="272"/>
      <c r="U128" s="272"/>
      <c r="V128" s="272"/>
      <c r="W128" s="272"/>
      <c r="X128" s="272"/>
      <c r="Y128" s="272"/>
      <c r="Z128" s="272"/>
      <c r="AA128" s="272"/>
      <c r="AB128" s="272"/>
      <c r="AC128" s="272"/>
      <c r="AD128" s="272"/>
      <c r="AE128" s="272"/>
    </row>
    <row r="129" spans="2:31" ht="14.5">
      <c r="B129" s="377">
        <f t="shared" si="5"/>
        <v>84</v>
      </c>
      <c r="C129" s="385" t="str" cm="1">
        <f t="array" aca="1" ref="C129" ca="1">IF(B129&lt;=$C$9,GetGetCDSName(B129),"")</f>
        <v>REEDELSEVIER_MMR.EUR.SU</v>
      </c>
      <c r="D129" s="345">
        <v>0</v>
      </c>
      <c r="E129" s="378">
        <v>1</v>
      </c>
      <c r="F129" s="297">
        <v>0</v>
      </c>
      <c r="G129" s="297">
        <v>1</v>
      </c>
      <c r="H129" s="297">
        <v>1</v>
      </c>
      <c r="I129" s="297">
        <v>0</v>
      </c>
      <c r="J129" s="297">
        <v>0</v>
      </c>
      <c r="K129" s="297"/>
      <c r="L129" s="297"/>
      <c r="M129" s="297"/>
      <c r="N129" s="379"/>
      <c r="O129" s="272"/>
      <c r="P129" s="272"/>
      <c r="Q129" s="272"/>
      <c r="R129" s="272"/>
      <c r="S129" s="272"/>
      <c r="T129" s="272"/>
      <c r="U129" s="272"/>
      <c r="V129" s="272"/>
      <c r="W129" s="272"/>
      <c r="X129" s="272"/>
      <c r="Y129" s="272"/>
      <c r="Z129" s="272"/>
      <c r="AA129" s="272"/>
      <c r="AB129" s="272"/>
      <c r="AC129" s="272"/>
      <c r="AD129" s="272"/>
      <c r="AE129" s="272"/>
    </row>
    <row r="130" spans="2:31" ht="14.5">
      <c r="B130" s="377">
        <f t="shared" si="5"/>
        <v>85</v>
      </c>
      <c r="C130" s="385" t="str" cm="1">
        <f t="array" aca="1" ref="C130" ca="1">IF(B130&lt;=$C$9,GetGetCDSName(B130),"")</f>
        <v>RENAULT_MMR.EUR.SU</v>
      </c>
      <c r="D130" s="345">
        <v>0</v>
      </c>
      <c r="E130" s="378">
        <v>0</v>
      </c>
      <c r="F130" s="297">
        <v>1</v>
      </c>
      <c r="G130" s="297">
        <v>0</v>
      </c>
      <c r="H130" s="297">
        <v>0</v>
      </c>
      <c r="I130" s="297">
        <v>1</v>
      </c>
      <c r="J130" s="297">
        <v>0</v>
      </c>
      <c r="K130" s="297"/>
      <c r="L130" s="297"/>
      <c r="M130" s="297"/>
      <c r="N130" s="379"/>
      <c r="O130" s="272"/>
      <c r="P130" s="272"/>
      <c r="Q130" s="272"/>
      <c r="R130" s="272"/>
      <c r="S130" s="272"/>
      <c r="T130" s="272"/>
      <c r="U130" s="272"/>
      <c r="V130" s="272"/>
      <c r="W130" s="272"/>
      <c r="X130" s="272"/>
      <c r="Y130" s="272"/>
      <c r="Z130" s="272"/>
      <c r="AA130" s="272"/>
      <c r="AB130" s="272"/>
      <c r="AC130" s="272"/>
      <c r="AD130" s="272"/>
      <c r="AE130" s="272"/>
    </row>
    <row r="131" spans="2:31" ht="14.5">
      <c r="B131" s="377">
        <f t="shared" si="5"/>
        <v>86</v>
      </c>
      <c r="C131" s="385" t="str" cm="1">
        <f t="array" aca="1" ref="C131" ca="1">IF(B131&lt;=$C$9,GetGetCDSName(B131),"")</f>
        <v>REPSOL_MMR.EUR.SU</v>
      </c>
      <c r="D131" s="345">
        <v>0</v>
      </c>
      <c r="E131" s="378">
        <v>1</v>
      </c>
      <c r="F131" s="297">
        <v>0</v>
      </c>
      <c r="G131" s="297">
        <v>1</v>
      </c>
      <c r="H131" s="297">
        <v>0</v>
      </c>
      <c r="I131" s="297">
        <v>0</v>
      </c>
      <c r="J131" s="297">
        <v>0</v>
      </c>
      <c r="K131" s="297"/>
      <c r="L131" s="297"/>
      <c r="M131" s="297"/>
      <c r="N131" s="379"/>
      <c r="O131" s="272"/>
      <c r="P131" s="272"/>
      <c r="Q131" s="272"/>
      <c r="R131" s="272"/>
      <c r="S131" s="272"/>
      <c r="T131" s="272"/>
      <c r="U131" s="272"/>
      <c r="V131" s="272"/>
      <c r="W131" s="272"/>
      <c r="X131" s="272"/>
      <c r="Y131" s="272"/>
      <c r="Z131" s="272"/>
      <c r="AA131" s="272"/>
      <c r="AB131" s="272"/>
      <c r="AC131" s="272"/>
      <c r="AD131" s="272"/>
      <c r="AE131" s="272"/>
    </row>
    <row r="132" spans="2:31" ht="14.5">
      <c r="B132" s="377">
        <f t="shared" si="5"/>
        <v>87</v>
      </c>
      <c r="C132" s="385" t="str" cm="1">
        <f t="array" aca="1" ref="C132" ca="1">IF(B132&lt;=$C$9,GetGetCDSName(B132),"")</f>
        <v>REUTERS_MMR.EUR.SU</v>
      </c>
      <c r="D132" s="345">
        <v>0</v>
      </c>
      <c r="E132" s="378">
        <v>1</v>
      </c>
      <c r="F132" s="297">
        <v>0</v>
      </c>
      <c r="G132" s="297">
        <v>0</v>
      </c>
      <c r="H132" s="297">
        <v>1</v>
      </c>
      <c r="I132" s="297">
        <v>0</v>
      </c>
      <c r="J132" s="297">
        <v>0</v>
      </c>
      <c r="K132" s="297"/>
      <c r="L132" s="297"/>
      <c r="M132" s="297"/>
      <c r="N132" s="379"/>
      <c r="O132" s="272"/>
      <c r="P132" s="272"/>
      <c r="Q132" s="272"/>
      <c r="R132" s="272"/>
      <c r="S132" s="272"/>
      <c r="T132" s="272"/>
      <c r="U132" s="272"/>
      <c r="V132" s="272"/>
      <c r="W132" s="272"/>
      <c r="X132" s="272"/>
      <c r="Y132" s="272"/>
      <c r="Z132" s="272"/>
      <c r="AA132" s="272"/>
      <c r="AB132" s="272"/>
      <c r="AC132" s="272"/>
      <c r="AD132" s="272"/>
      <c r="AE132" s="272"/>
    </row>
    <row r="133" spans="2:31" ht="14.5">
      <c r="B133" s="377">
        <f t="shared" si="5"/>
        <v>88</v>
      </c>
      <c r="C133" s="385" t="str" cm="1">
        <f t="array" aca="1" ref="C133" ca="1">IF(B133&lt;=$C$9,GetGetCDSName(B133),"")</f>
        <v>ROYALBANKSCOTLAND_MMR.EUR.SU</v>
      </c>
      <c r="D133" s="345">
        <v>0</v>
      </c>
      <c r="E133" s="378">
        <v>0</v>
      </c>
      <c r="F133" s="297">
        <v>0</v>
      </c>
      <c r="G133" s="297">
        <v>1</v>
      </c>
      <c r="H133" s="297">
        <v>1</v>
      </c>
      <c r="I133" s="297">
        <v>1</v>
      </c>
      <c r="J133" s="297">
        <v>0</v>
      </c>
      <c r="K133" s="297"/>
      <c r="L133" s="297"/>
      <c r="M133" s="297"/>
      <c r="N133" s="379"/>
      <c r="O133" s="272"/>
      <c r="P133" s="272"/>
      <c r="Q133" s="272"/>
      <c r="R133" s="272"/>
      <c r="S133" s="272"/>
      <c r="T133" s="272"/>
      <c r="U133" s="272"/>
      <c r="V133" s="272"/>
      <c r="W133" s="272"/>
      <c r="X133" s="272"/>
      <c r="Y133" s="272"/>
      <c r="Z133" s="272"/>
      <c r="AA133" s="272"/>
      <c r="AB133" s="272"/>
      <c r="AC133" s="272"/>
      <c r="AD133" s="272"/>
      <c r="AE133" s="272"/>
    </row>
    <row r="134" spans="2:31" ht="14.5">
      <c r="B134" s="377">
        <f t="shared" si="5"/>
        <v>89</v>
      </c>
      <c r="C134" s="385" t="str" cm="1">
        <f t="array" aca="1" ref="C134" ca="1">IF(B134&lt;=$C$9,GetGetCDSName(B134),"")</f>
        <v>RWE_MMR.EUR.SU</v>
      </c>
      <c r="D134" s="345">
        <v>0</v>
      </c>
      <c r="E134" s="378">
        <v>0</v>
      </c>
      <c r="F134" s="297">
        <v>0</v>
      </c>
      <c r="G134" s="297">
        <v>0</v>
      </c>
      <c r="H134" s="297">
        <v>1</v>
      </c>
      <c r="I134" s="297">
        <v>1</v>
      </c>
      <c r="J134" s="297">
        <v>0</v>
      </c>
      <c r="K134" s="297"/>
      <c r="L134" s="297"/>
      <c r="M134" s="297"/>
      <c r="N134" s="379"/>
      <c r="O134" s="272"/>
      <c r="P134" s="272"/>
      <c r="Q134" s="272"/>
      <c r="R134" s="272"/>
      <c r="S134" s="272"/>
      <c r="T134" s="272"/>
      <c r="U134" s="272"/>
      <c r="V134" s="272"/>
      <c r="W134" s="272"/>
      <c r="X134" s="272"/>
      <c r="Y134" s="272"/>
      <c r="Z134" s="272"/>
      <c r="AA134" s="272"/>
      <c r="AB134" s="272"/>
      <c r="AC134" s="272"/>
      <c r="AD134" s="272"/>
      <c r="AE134" s="272"/>
    </row>
    <row r="135" spans="2:31" ht="14.5">
      <c r="B135" s="377">
        <f t="shared" si="5"/>
        <v>90</v>
      </c>
      <c r="C135" s="385" t="str" cm="1">
        <f t="array" aca="1" ref="C135" ca="1">IF(B135&lt;=$C$9,GetGetCDSName(B135),"")</f>
        <v>SAFEWAYPLC_MMR.EUR.SU</v>
      </c>
      <c r="D135" s="345">
        <v>0</v>
      </c>
      <c r="E135" s="378">
        <v>0</v>
      </c>
      <c r="F135" s="297">
        <v>1</v>
      </c>
      <c r="G135" s="297">
        <v>0</v>
      </c>
      <c r="H135" s="297">
        <v>1</v>
      </c>
      <c r="I135" s="297">
        <v>0</v>
      </c>
      <c r="J135" s="297">
        <v>0</v>
      </c>
      <c r="K135" s="297"/>
      <c r="L135" s="297"/>
      <c r="M135" s="297"/>
      <c r="N135" s="379"/>
      <c r="O135" s="272"/>
      <c r="P135" s="272"/>
      <c r="Q135" s="272"/>
      <c r="R135" s="272"/>
      <c r="S135" s="272"/>
      <c r="T135" s="272"/>
      <c r="U135" s="272"/>
      <c r="V135" s="272"/>
      <c r="W135" s="272"/>
      <c r="X135" s="272"/>
      <c r="Y135" s="272"/>
      <c r="Z135" s="272"/>
      <c r="AA135" s="272"/>
      <c r="AB135" s="272"/>
      <c r="AC135" s="272"/>
      <c r="AD135" s="272"/>
      <c r="AE135" s="272"/>
    </row>
    <row r="136" spans="2:31" ht="14.5">
      <c r="B136" s="377">
        <f t="shared" si="5"/>
        <v>91</v>
      </c>
      <c r="C136" s="385" t="str" cm="1">
        <f t="array" aca="1" ref="C136" ca="1">IF(B136&lt;=$C$9,GetGetCDSName(B136),"")</f>
        <v>SANOFIAVENTIS_MMR.EUR.SU</v>
      </c>
      <c r="D136" s="345">
        <v>0</v>
      </c>
      <c r="E136" s="378">
        <v>0</v>
      </c>
      <c r="F136" s="297">
        <v>1</v>
      </c>
      <c r="G136" s="297">
        <v>1</v>
      </c>
      <c r="H136" s="297">
        <v>0</v>
      </c>
      <c r="I136" s="297">
        <v>0</v>
      </c>
      <c r="J136" s="297">
        <v>1</v>
      </c>
      <c r="K136" s="297"/>
      <c r="L136" s="297"/>
      <c r="M136" s="297"/>
      <c r="N136" s="379"/>
      <c r="O136" s="272"/>
      <c r="P136" s="272"/>
      <c r="Q136" s="272"/>
      <c r="R136" s="272"/>
      <c r="S136" s="272"/>
      <c r="T136" s="272"/>
      <c r="U136" s="272"/>
      <c r="V136" s="272"/>
      <c r="W136" s="272"/>
      <c r="X136" s="272"/>
      <c r="Y136" s="272"/>
      <c r="Z136" s="272"/>
      <c r="AA136" s="272"/>
      <c r="AB136" s="272"/>
      <c r="AC136" s="272"/>
      <c r="AD136" s="272"/>
      <c r="AE136" s="272"/>
    </row>
    <row r="137" spans="2:31" ht="14.5">
      <c r="B137" s="377">
        <f t="shared" si="5"/>
        <v>92</v>
      </c>
      <c r="C137" s="385" t="str" cm="1">
        <f t="array" aca="1" ref="C137" ca="1">IF(B137&lt;=$C$9,GetGetCDSName(B137),"")</f>
        <v>SIEMENS_MMR.EUR.SU</v>
      </c>
      <c r="D137" s="345">
        <v>0</v>
      </c>
      <c r="E137" s="378">
        <v>0</v>
      </c>
      <c r="F137" s="297">
        <v>1</v>
      </c>
      <c r="G137" s="297">
        <v>0</v>
      </c>
      <c r="H137" s="297">
        <v>0</v>
      </c>
      <c r="I137" s="297">
        <v>1</v>
      </c>
      <c r="J137" s="297">
        <v>1</v>
      </c>
      <c r="K137" s="297"/>
      <c r="L137" s="297"/>
      <c r="M137" s="297"/>
      <c r="N137" s="379"/>
      <c r="O137" s="272"/>
      <c r="P137" s="272"/>
      <c r="Q137" s="272"/>
      <c r="R137" s="272"/>
      <c r="S137" s="272"/>
      <c r="T137" s="272"/>
      <c r="U137" s="272"/>
      <c r="V137" s="272"/>
      <c r="W137" s="272"/>
      <c r="X137" s="272"/>
      <c r="Y137" s="272"/>
      <c r="Z137" s="272"/>
      <c r="AA137" s="272"/>
      <c r="AB137" s="272"/>
      <c r="AC137" s="272"/>
      <c r="AD137" s="272"/>
      <c r="AE137" s="272"/>
    </row>
    <row r="138" spans="2:31" ht="14.5">
      <c r="B138" s="377">
        <f t="shared" si="5"/>
        <v>93</v>
      </c>
      <c r="C138" s="385" t="str" cm="1">
        <f t="array" aca="1" ref="C138" ca="1">IF(B138&lt;=$C$9,GetGetCDSName(B138),"")</f>
        <v>SODEXHOALLIANCE_MMR.EUR.SU</v>
      </c>
      <c r="D138" s="345">
        <v>0</v>
      </c>
      <c r="E138" s="378">
        <v>1</v>
      </c>
      <c r="F138" s="297">
        <v>1</v>
      </c>
      <c r="G138" s="297">
        <v>0</v>
      </c>
      <c r="H138" s="297">
        <v>0</v>
      </c>
      <c r="I138" s="297">
        <v>1</v>
      </c>
      <c r="J138" s="297">
        <v>0</v>
      </c>
      <c r="K138" s="297"/>
      <c r="L138" s="297"/>
      <c r="M138" s="297"/>
      <c r="N138" s="379"/>
      <c r="O138" s="272"/>
      <c r="P138" s="272"/>
      <c r="Q138" s="272"/>
      <c r="R138" s="272"/>
      <c r="S138" s="272"/>
      <c r="T138" s="272"/>
      <c r="U138" s="272"/>
      <c r="V138" s="272"/>
      <c r="W138" s="272"/>
      <c r="X138" s="272"/>
      <c r="Y138" s="272"/>
      <c r="Z138" s="272"/>
      <c r="AA138" s="272"/>
      <c r="AB138" s="272"/>
      <c r="AC138" s="272"/>
      <c r="AD138" s="272"/>
      <c r="AE138" s="272"/>
    </row>
    <row r="139" spans="2:31" ht="14.5">
      <c r="B139" s="377">
        <f t="shared" si="5"/>
        <v>94</v>
      </c>
      <c r="C139" s="385" t="str" cm="1">
        <f t="array" aca="1" ref="C139" ca="1">IF(B139&lt;=$C$9,GetGetCDSName(B139),"")</f>
        <v>SOLVAY_MMR.EUR.SU</v>
      </c>
      <c r="D139" s="345">
        <v>0</v>
      </c>
      <c r="E139" s="378">
        <v>1</v>
      </c>
      <c r="F139" s="297">
        <v>0</v>
      </c>
      <c r="G139" s="297">
        <v>0</v>
      </c>
      <c r="H139" s="297">
        <v>0</v>
      </c>
      <c r="I139" s="297">
        <v>1</v>
      </c>
      <c r="J139" s="297">
        <v>0</v>
      </c>
      <c r="K139" s="297"/>
      <c r="L139" s="297"/>
      <c r="M139" s="297"/>
      <c r="N139" s="379"/>
      <c r="O139" s="272"/>
      <c r="P139" s="272"/>
      <c r="Q139" s="272"/>
      <c r="R139" s="272"/>
      <c r="S139" s="272"/>
      <c r="T139" s="272"/>
      <c r="U139" s="272"/>
      <c r="V139" s="272"/>
      <c r="W139" s="272"/>
      <c r="X139" s="272"/>
      <c r="Y139" s="272"/>
      <c r="Z139" s="272"/>
      <c r="AA139" s="272"/>
      <c r="AB139" s="272"/>
      <c r="AC139" s="272"/>
      <c r="AD139" s="272"/>
      <c r="AE139" s="272"/>
    </row>
    <row r="140" spans="2:31" ht="14.5">
      <c r="B140" s="377">
        <f t="shared" si="5"/>
        <v>95</v>
      </c>
      <c r="C140" s="385" t="str" cm="1">
        <f t="array" aca="1" ref="C140" ca="1">IF(B140&lt;=$C$9,GetGetCDSName(B140),"")</f>
        <v>STGOBAIN_MMR.EUR.SU</v>
      </c>
      <c r="D140" s="345">
        <v>0</v>
      </c>
      <c r="E140" s="378">
        <v>1</v>
      </c>
      <c r="F140" s="297">
        <v>1</v>
      </c>
      <c r="G140" s="297">
        <v>0</v>
      </c>
      <c r="H140" s="297">
        <v>0</v>
      </c>
      <c r="I140" s="297">
        <v>1</v>
      </c>
      <c r="J140" s="297">
        <v>0</v>
      </c>
      <c r="K140" s="297"/>
      <c r="L140" s="297"/>
      <c r="M140" s="297"/>
      <c r="N140" s="379"/>
      <c r="O140" s="272"/>
      <c r="P140" s="272"/>
      <c r="Q140" s="272"/>
      <c r="R140" s="272"/>
      <c r="S140" s="272"/>
      <c r="T140" s="272"/>
      <c r="U140" s="272"/>
      <c r="V140" s="272"/>
      <c r="W140" s="272"/>
      <c r="X140" s="272"/>
      <c r="Y140" s="272"/>
      <c r="Z140" s="272"/>
      <c r="AA140" s="272"/>
      <c r="AB140" s="272"/>
      <c r="AC140" s="272"/>
      <c r="AD140" s="272"/>
      <c r="AE140" s="272"/>
    </row>
    <row r="141" spans="2:31" ht="14.5">
      <c r="B141" s="377">
        <f t="shared" si="5"/>
        <v>96</v>
      </c>
      <c r="C141" s="385" t="str" cm="1">
        <f t="array" aca="1" ref="C141" ca="1">IF(B141&lt;=$C$9,GetGetCDSName(B141),"")</f>
        <v>STMICRO_MMR.EUR.SU</v>
      </c>
      <c r="D141" s="345">
        <v>0</v>
      </c>
      <c r="E141" s="378">
        <v>0</v>
      </c>
      <c r="F141" s="297">
        <v>0</v>
      </c>
      <c r="G141" s="297">
        <v>0</v>
      </c>
      <c r="H141" s="297">
        <v>0</v>
      </c>
      <c r="I141" s="297">
        <v>0</v>
      </c>
      <c r="J141" s="297">
        <v>1</v>
      </c>
      <c r="K141" s="297"/>
      <c r="L141" s="297"/>
      <c r="M141" s="297"/>
      <c r="N141" s="379"/>
      <c r="O141" s="272"/>
      <c r="P141" s="272"/>
      <c r="Q141" s="272"/>
      <c r="R141" s="272"/>
      <c r="S141" s="272"/>
      <c r="T141" s="272"/>
      <c r="U141" s="272"/>
      <c r="V141" s="272"/>
      <c r="W141" s="272"/>
      <c r="X141" s="272"/>
      <c r="Y141" s="272"/>
      <c r="Z141" s="272"/>
      <c r="AA141" s="272"/>
      <c r="AB141" s="272"/>
      <c r="AC141" s="272"/>
      <c r="AD141" s="272"/>
      <c r="AE141" s="272"/>
    </row>
    <row r="142" spans="2:31" ht="14.5">
      <c r="B142" s="377">
        <f t="shared" si="5"/>
        <v>97</v>
      </c>
      <c r="C142" s="385" t="str" cm="1">
        <f t="array" aca="1" ref="C142" ca="1">IF(B142&lt;=$C$9,GetGetCDSName(B142),"")</f>
        <v>SUEDZUCKERAG_MMR.EUR.SU</v>
      </c>
      <c r="D142" s="345">
        <v>0</v>
      </c>
      <c r="E142" s="378">
        <v>1</v>
      </c>
      <c r="F142" s="297">
        <v>0</v>
      </c>
      <c r="G142" s="297">
        <v>0</v>
      </c>
      <c r="H142" s="297">
        <v>0</v>
      </c>
      <c r="I142" s="297">
        <v>0</v>
      </c>
      <c r="J142" s="297">
        <v>0</v>
      </c>
      <c r="K142" s="297"/>
      <c r="L142" s="297"/>
      <c r="M142" s="297"/>
      <c r="N142" s="379"/>
      <c r="O142" s="272"/>
      <c r="P142" s="272"/>
      <c r="Q142" s="272"/>
      <c r="R142" s="272"/>
      <c r="S142" s="272"/>
      <c r="T142" s="272"/>
      <c r="U142" s="272"/>
      <c r="V142" s="272"/>
      <c r="W142" s="272"/>
      <c r="X142" s="272"/>
      <c r="Y142" s="272"/>
      <c r="Z142" s="272"/>
      <c r="AA142" s="272"/>
      <c r="AB142" s="272"/>
      <c r="AC142" s="272"/>
      <c r="AD142" s="272"/>
      <c r="AE142" s="272"/>
    </row>
    <row r="143" spans="2:31" ht="14.5">
      <c r="B143" s="377">
        <f t="shared" si="5"/>
        <v>98</v>
      </c>
      <c r="C143" s="385" t="str" cm="1">
        <f t="array" aca="1" ref="C143" ca="1">IF(B143&lt;=$C$9,GetGetCDSName(B143),"")</f>
        <v>SUEZLYONNAISE_MMR.EUR.SU</v>
      </c>
      <c r="D143" s="345">
        <v>0</v>
      </c>
      <c r="E143" s="378">
        <v>0</v>
      </c>
      <c r="F143" s="297">
        <v>0</v>
      </c>
      <c r="G143" s="297">
        <v>1</v>
      </c>
      <c r="H143" s="297">
        <v>0</v>
      </c>
      <c r="I143" s="297">
        <v>0</v>
      </c>
      <c r="J143" s="297">
        <v>0</v>
      </c>
      <c r="K143" s="297"/>
      <c r="L143" s="297"/>
      <c r="M143" s="297"/>
      <c r="N143" s="379"/>
      <c r="O143" s="272"/>
      <c r="P143" s="272"/>
      <c r="Q143" s="272"/>
      <c r="R143" s="272"/>
      <c r="S143" s="272"/>
      <c r="T143" s="272"/>
      <c r="U143" s="272"/>
      <c r="V143" s="272"/>
      <c r="W143" s="272"/>
      <c r="X143" s="272"/>
      <c r="Y143" s="272"/>
      <c r="Z143" s="272"/>
      <c r="AA143" s="272"/>
      <c r="AB143" s="272"/>
      <c r="AC143" s="272"/>
      <c r="AD143" s="272"/>
      <c r="AE143" s="272"/>
    </row>
    <row r="144" spans="2:31" ht="14.5">
      <c r="B144" s="377">
        <f t="shared" si="5"/>
        <v>99</v>
      </c>
      <c r="C144" s="385" t="str" cm="1">
        <f t="array" aca="1" ref="C144" ca="1">IF(B144&lt;=$C$9,GetGetCDSName(B144),"")</f>
        <v>SVENSKACELLULOSAAB_MMR.EUR.SU</v>
      </c>
      <c r="D144" s="345">
        <v>0</v>
      </c>
      <c r="E144" s="378">
        <v>0</v>
      </c>
      <c r="F144" s="297">
        <v>0</v>
      </c>
      <c r="G144" s="297">
        <v>0</v>
      </c>
      <c r="H144" s="297">
        <v>0</v>
      </c>
      <c r="I144" s="297">
        <v>1</v>
      </c>
      <c r="J144" s="297">
        <v>0</v>
      </c>
      <c r="K144" s="297"/>
      <c r="L144" s="297"/>
      <c r="M144" s="297"/>
      <c r="N144" s="379"/>
      <c r="O144" s="272"/>
      <c r="P144" s="272"/>
      <c r="Q144" s="272"/>
      <c r="R144" s="272"/>
      <c r="S144" s="272"/>
      <c r="T144" s="272"/>
      <c r="U144" s="272"/>
      <c r="V144" s="272"/>
      <c r="W144" s="272"/>
      <c r="X144" s="272"/>
      <c r="Y144" s="272"/>
      <c r="Z144" s="272"/>
      <c r="AA144" s="272"/>
      <c r="AB144" s="272"/>
      <c r="AC144" s="272"/>
      <c r="AD144" s="272"/>
      <c r="AE144" s="272"/>
    </row>
    <row r="145" spans="2:31" ht="14.5">
      <c r="B145" s="377">
        <f t="shared" si="5"/>
        <v>100</v>
      </c>
      <c r="C145" s="385" t="str" cm="1">
        <f t="array" aca="1" ref="C145" ca="1">IF(B145&lt;=$C$9,GetGetCDSName(B145),"")</f>
        <v>SWISSRE_MMR.EUR.SU</v>
      </c>
      <c r="D145" s="345">
        <v>0</v>
      </c>
      <c r="E145" s="378">
        <v>0</v>
      </c>
      <c r="F145" s="297">
        <v>0</v>
      </c>
      <c r="G145" s="297">
        <v>1</v>
      </c>
      <c r="H145" s="297">
        <v>0</v>
      </c>
      <c r="I145" s="297">
        <v>1</v>
      </c>
      <c r="J145" s="297">
        <v>1</v>
      </c>
      <c r="K145" s="297"/>
      <c r="L145" s="297"/>
      <c r="M145" s="297"/>
      <c r="N145" s="379"/>
      <c r="O145" s="272"/>
      <c r="P145" s="272"/>
      <c r="Q145" s="272"/>
      <c r="R145" s="272"/>
      <c r="S145" s="272"/>
      <c r="T145" s="272"/>
      <c r="U145" s="272"/>
      <c r="V145" s="272"/>
      <c r="W145" s="272"/>
      <c r="X145" s="272"/>
      <c r="Y145" s="272"/>
      <c r="Z145" s="272"/>
      <c r="AA145" s="272"/>
      <c r="AB145" s="272"/>
      <c r="AC145" s="272"/>
      <c r="AD145" s="272"/>
      <c r="AE145" s="272"/>
    </row>
    <row r="146" spans="2:31" ht="14.5">
      <c r="B146" s="377">
        <f t="shared" si="5"/>
        <v>101</v>
      </c>
      <c r="C146" s="385" t="str" cm="1">
        <f t="array" aca="1" ref="C146" ca="1">IF(B146&lt;=$C$9,GetGetCDSName(B146),"")</f>
        <v>TATE&amp;LYLE_MMR.EUR.SU</v>
      </c>
      <c r="D146" s="345">
        <v>0</v>
      </c>
      <c r="E146" s="378">
        <v>0</v>
      </c>
      <c r="F146" s="297">
        <v>1</v>
      </c>
      <c r="G146" s="297">
        <v>1</v>
      </c>
      <c r="H146" s="297">
        <v>0</v>
      </c>
      <c r="I146" s="297">
        <v>0</v>
      </c>
      <c r="J146" s="297">
        <v>0</v>
      </c>
      <c r="K146" s="297"/>
      <c r="L146" s="297"/>
      <c r="M146" s="297"/>
      <c r="N146" s="379"/>
      <c r="O146" s="272"/>
      <c r="P146" s="272"/>
      <c r="Q146" s="272"/>
      <c r="R146" s="272"/>
      <c r="S146" s="272"/>
      <c r="T146" s="272"/>
      <c r="U146" s="272"/>
      <c r="V146" s="272"/>
      <c r="W146" s="272"/>
      <c r="X146" s="272"/>
      <c r="Y146" s="272"/>
      <c r="Z146" s="272"/>
      <c r="AA146" s="272"/>
      <c r="AB146" s="272"/>
      <c r="AC146" s="272"/>
      <c r="AD146" s="272"/>
      <c r="AE146" s="272"/>
    </row>
    <row r="147" spans="2:31" ht="14.5">
      <c r="B147" s="377">
        <f t="shared" si="5"/>
        <v>102</v>
      </c>
      <c r="C147" s="385" t="str" cm="1">
        <f t="array" aca="1" ref="C147" ca="1">IF(B147&lt;=$C$9,GetGetCDSName(B147),"")</f>
        <v>TELECOMITALIA_MMR.EUR.SU</v>
      </c>
      <c r="D147" s="345">
        <v>0</v>
      </c>
      <c r="E147" s="378">
        <v>1</v>
      </c>
      <c r="F147" s="297">
        <v>1</v>
      </c>
      <c r="G147" s="297">
        <v>0</v>
      </c>
      <c r="H147" s="297">
        <v>0</v>
      </c>
      <c r="I147" s="297">
        <v>0</v>
      </c>
      <c r="J147" s="297">
        <v>0</v>
      </c>
      <c r="K147" s="297"/>
      <c r="L147" s="297"/>
      <c r="M147" s="297"/>
      <c r="N147" s="379"/>
      <c r="O147" s="272"/>
      <c r="P147" s="272"/>
      <c r="Q147" s="272"/>
      <c r="R147" s="272"/>
      <c r="S147" s="272"/>
      <c r="T147" s="272"/>
      <c r="U147" s="272"/>
      <c r="V147" s="272"/>
      <c r="W147" s="272"/>
      <c r="X147" s="272"/>
      <c r="Y147" s="272"/>
      <c r="Z147" s="272"/>
      <c r="AA147" s="272"/>
      <c r="AB147" s="272"/>
      <c r="AC147" s="272"/>
      <c r="AD147" s="272"/>
      <c r="AE147" s="272"/>
    </row>
    <row r="148" spans="2:31" ht="14.5">
      <c r="B148" s="377">
        <f t="shared" si="5"/>
        <v>103</v>
      </c>
      <c r="C148" s="385" t="str" cm="1">
        <f t="array" aca="1" ref="C148" ca="1">IF(B148&lt;=$C$9,GetGetCDSName(B148),"")</f>
        <v>TELEFONICA_MMR.EUR.SU</v>
      </c>
      <c r="D148" s="345">
        <v>0</v>
      </c>
      <c r="E148" s="378">
        <v>0</v>
      </c>
      <c r="F148" s="297">
        <v>0</v>
      </c>
      <c r="G148" s="297">
        <v>0</v>
      </c>
      <c r="H148" s="297">
        <v>1</v>
      </c>
      <c r="I148" s="297">
        <v>0</v>
      </c>
      <c r="J148" s="297">
        <v>0</v>
      </c>
      <c r="K148" s="297"/>
      <c r="L148" s="297"/>
      <c r="M148" s="297"/>
      <c r="N148" s="379"/>
      <c r="O148" s="272"/>
      <c r="P148" s="272"/>
      <c r="Q148" s="272"/>
      <c r="R148" s="272"/>
      <c r="S148" s="272"/>
      <c r="T148" s="272"/>
      <c r="U148" s="272"/>
      <c r="V148" s="272"/>
      <c r="W148" s="272"/>
      <c r="X148" s="272"/>
      <c r="Y148" s="272"/>
      <c r="Z148" s="272"/>
      <c r="AA148" s="272"/>
      <c r="AB148" s="272"/>
      <c r="AC148" s="272"/>
      <c r="AD148" s="272"/>
      <c r="AE148" s="272"/>
    </row>
    <row r="149" spans="2:31" ht="14.5">
      <c r="B149" s="377">
        <f t="shared" si="5"/>
        <v>104</v>
      </c>
      <c r="C149" s="385" t="str" cm="1">
        <f t="array" aca="1" ref="C149" ca="1">IF(B149&lt;=$C$9,GetGetCDSName(B149),"")</f>
        <v>TELEKOMAUSTRIA_MMR.EUR.SU</v>
      </c>
      <c r="D149" s="345">
        <v>0</v>
      </c>
      <c r="E149" s="378">
        <v>0</v>
      </c>
      <c r="F149" s="297">
        <v>0</v>
      </c>
      <c r="G149" s="297">
        <v>0</v>
      </c>
      <c r="H149" s="297">
        <v>0</v>
      </c>
      <c r="I149" s="297">
        <v>0</v>
      </c>
      <c r="J149" s="297">
        <v>1</v>
      </c>
      <c r="K149" s="297"/>
      <c r="L149" s="297"/>
      <c r="M149" s="297"/>
      <c r="N149" s="379"/>
      <c r="O149" s="272"/>
      <c r="P149" s="272"/>
      <c r="Q149" s="272"/>
      <c r="R149" s="272"/>
      <c r="S149" s="272"/>
      <c r="T149" s="272"/>
      <c r="U149" s="272"/>
      <c r="V149" s="272"/>
      <c r="W149" s="272"/>
      <c r="X149" s="272"/>
      <c r="Y149" s="272"/>
      <c r="Z149" s="272"/>
      <c r="AA149" s="272"/>
      <c r="AB149" s="272"/>
      <c r="AC149" s="272"/>
      <c r="AD149" s="272"/>
      <c r="AE149" s="272"/>
    </row>
    <row r="150" spans="2:31" ht="14.5">
      <c r="B150" s="377">
        <f t="shared" si="5"/>
        <v>105</v>
      </c>
      <c r="C150" s="385" t="str" cm="1">
        <f t="array" aca="1" ref="C150" ca="1">IF(B150&lt;=$C$9,GetGetCDSName(B150),"")</f>
        <v>TELENOR_MMR.EUR.SU</v>
      </c>
      <c r="D150" s="345">
        <v>0</v>
      </c>
      <c r="E150" s="378">
        <v>0</v>
      </c>
      <c r="F150" s="297">
        <v>1</v>
      </c>
      <c r="G150" s="297">
        <v>0</v>
      </c>
      <c r="H150" s="297">
        <v>1</v>
      </c>
      <c r="I150" s="297">
        <v>1</v>
      </c>
      <c r="J150" s="297">
        <v>0</v>
      </c>
      <c r="K150" s="297"/>
      <c r="L150" s="297"/>
      <c r="M150" s="297"/>
      <c r="N150" s="379"/>
      <c r="O150" s="272"/>
      <c r="P150" s="272"/>
      <c r="Q150" s="272"/>
      <c r="R150" s="272"/>
      <c r="S150" s="272"/>
      <c r="T150" s="272"/>
      <c r="U150" s="272"/>
      <c r="V150" s="272"/>
      <c r="W150" s="272"/>
      <c r="X150" s="272"/>
      <c r="Y150" s="272"/>
      <c r="Z150" s="272"/>
      <c r="AA150" s="272"/>
      <c r="AB150" s="272"/>
      <c r="AC150" s="272"/>
      <c r="AD150" s="272"/>
      <c r="AE150" s="272"/>
    </row>
    <row r="151" spans="2:31" ht="14.5">
      <c r="B151" s="377">
        <f t="shared" si="5"/>
        <v>106</v>
      </c>
      <c r="C151" s="385" t="str" cm="1">
        <f t="array" aca="1" ref="C151" ca="1">IF(B151&lt;=$C$9,GetGetCDSName(B151),"")</f>
        <v>TELIA_MMR.EUR.SU</v>
      </c>
      <c r="D151" s="345">
        <v>0</v>
      </c>
      <c r="E151" s="378">
        <v>0</v>
      </c>
      <c r="F151" s="297">
        <v>0</v>
      </c>
      <c r="G151" s="297">
        <v>0</v>
      </c>
      <c r="H151" s="297">
        <v>0</v>
      </c>
      <c r="I151" s="297">
        <v>1</v>
      </c>
      <c r="J151" s="297">
        <v>0</v>
      </c>
      <c r="K151" s="297"/>
      <c r="L151" s="297"/>
      <c r="M151" s="297"/>
      <c r="N151" s="379"/>
      <c r="O151" s="272"/>
      <c r="P151" s="272"/>
      <c r="Q151" s="272"/>
      <c r="R151" s="272"/>
      <c r="S151" s="272"/>
      <c r="T151" s="272"/>
      <c r="U151" s="272"/>
      <c r="V151" s="272"/>
      <c r="W151" s="272"/>
      <c r="X151" s="272"/>
      <c r="Y151" s="272"/>
      <c r="Z151" s="272"/>
      <c r="AA151" s="272"/>
      <c r="AB151" s="272"/>
      <c r="AC151" s="272"/>
      <c r="AD151" s="272"/>
      <c r="AE151" s="272"/>
    </row>
    <row r="152" spans="2:31" ht="14.5">
      <c r="B152" s="377">
        <f t="shared" si="5"/>
        <v>107</v>
      </c>
      <c r="C152" s="385" t="str" cm="1">
        <f t="array" aca="1" ref="C152" ca="1">IF(B152&lt;=$C$9,GetGetCDSName(B152),"")</f>
        <v>TESCO_MMR.EUR.SU</v>
      </c>
      <c r="D152" s="345">
        <v>0</v>
      </c>
      <c r="E152" s="378">
        <v>0</v>
      </c>
      <c r="F152" s="297">
        <v>0</v>
      </c>
      <c r="G152" s="297">
        <v>1</v>
      </c>
      <c r="H152" s="297">
        <v>0</v>
      </c>
      <c r="I152" s="297">
        <v>0</v>
      </c>
      <c r="J152" s="297">
        <v>0</v>
      </c>
      <c r="K152" s="297"/>
      <c r="L152" s="297"/>
      <c r="M152" s="297"/>
      <c r="N152" s="379"/>
      <c r="O152" s="272"/>
      <c r="P152" s="272"/>
      <c r="Q152" s="272"/>
      <c r="R152" s="272"/>
      <c r="S152" s="272"/>
      <c r="T152" s="272"/>
      <c r="U152" s="272"/>
      <c r="V152" s="272"/>
      <c r="W152" s="272"/>
      <c r="X152" s="272"/>
      <c r="Y152" s="272"/>
      <c r="Z152" s="272"/>
      <c r="AA152" s="272"/>
      <c r="AB152" s="272"/>
      <c r="AC152" s="272"/>
      <c r="AD152" s="272"/>
      <c r="AE152" s="272"/>
    </row>
    <row r="153" spans="2:31" ht="14.5">
      <c r="B153" s="377">
        <f t="shared" si="5"/>
        <v>108</v>
      </c>
      <c r="C153" s="385" t="str" cm="1">
        <f t="array" aca="1" ref="C153" ca="1">IF(B153&lt;=$C$9,GetGetCDSName(B153),"")</f>
        <v>THYSSENKRUPPAG_MMR.EUR.SU</v>
      </c>
      <c r="D153" s="345">
        <v>0</v>
      </c>
      <c r="E153" s="378">
        <v>0</v>
      </c>
      <c r="F153" s="297">
        <v>0</v>
      </c>
      <c r="G153" s="297">
        <v>0</v>
      </c>
      <c r="H153" s="297">
        <v>1</v>
      </c>
      <c r="I153" s="297">
        <v>1</v>
      </c>
      <c r="J153" s="297">
        <v>1</v>
      </c>
      <c r="K153" s="297"/>
      <c r="L153" s="297"/>
      <c r="M153" s="297"/>
      <c r="N153" s="379"/>
      <c r="O153" s="272"/>
      <c r="P153" s="272"/>
      <c r="Q153" s="272"/>
      <c r="R153" s="272"/>
      <c r="S153" s="272"/>
      <c r="T153" s="272"/>
      <c r="U153" s="272"/>
      <c r="V153" s="272"/>
      <c r="W153" s="272"/>
      <c r="X153" s="272"/>
      <c r="Y153" s="272"/>
      <c r="Z153" s="272"/>
      <c r="AA153" s="272"/>
      <c r="AB153" s="272"/>
      <c r="AC153" s="272"/>
      <c r="AD153" s="272"/>
      <c r="AE153" s="272"/>
    </row>
    <row r="154" spans="2:31" ht="14.5">
      <c r="B154" s="377">
        <f t="shared" si="5"/>
        <v>109</v>
      </c>
      <c r="C154" s="385" t="str" cm="1">
        <f t="array" aca="1" ref="C154" ca="1">IF(B154&lt;=$C$9,GetGetCDSName(B154),"")</f>
        <v>UBS_MMR.EUR.SU</v>
      </c>
      <c r="D154" s="345">
        <v>0</v>
      </c>
      <c r="E154" s="378">
        <v>1</v>
      </c>
      <c r="F154" s="297">
        <v>0</v>
      </c>
      <c r="G154" s="297">
        <v>0</v>
      </c>
      <c r="H154" s="297">
        <v>0</v>
      </c>
      <c r="I154" s="297">
        <v>0</v>
      </c>
      <c r="J154" s="297">
        <v>0</v>
      </c>
      <c r="K154" s="297"/>
      <c r="L154" s="297"/>
      <c r="M154" s="297"/>
      <c r="N154" s="379"/>
      <c r="O154" s="272"/>
      <c r="P154" s="272"/>
      <c r="Q154" s="272"/>
      <c r="R154" s="272"/>
      <c r="S154" s="272"/>
      <c r="T154" s="272"/>
      <c r="U154" s="272"/>
      <c r="V154" s="272"/>
      <c r="W154" s="272"/>
      <c r="X154" s="272"/>
      <c r="Y154" s="272"/>
      <c r="Z154" s="272"/>
      <c r="AA154" s="272"/>
      <c r="AB154" s="272"/>
      <c r="AC154" s="272"/>
      <c r="AD154" s="272"/>
      <c r="AE154" s="272"/>
    </row>
    <row r="155" spans="2:31" ht="14.5">
      <c r="B155" s="377">
        <f t="shared" si="5"/>
        <v>110</v>
      </c>
      <c r="C155" s="385" t="str" cm="1">
        <f t="array" aca="1" ref="C155" ca="1">IF(B155&lt;=$C$9,GetGetCDSName(B155),"")</f>
        <v>UNICREDITOITALIANO_MMR.EUR.SU</v>
      </c>
      <c r="D155" s="345">
        <v>0</v>
      </c>
      <c r="E155" s="378">
        <v>1</v>
      </c>
      <c r="F155" s="297">
        <v>0</v>
      </c>
      <c r="G155" s="297">
        <v>0</v>
      </c>
      <c r="H155" s="297">
        <v>1</v>
      </c>
      <c r="I155" s="297">
        <v>1</v>
      </c>
      <c r="J155" s="297">
        <v>0</v>
      </c>
      <c r="K155" s="297"/>
      <c r="L155" s="297"/>
      <c r="M155" s="297"/>
      <c r="N155" s="379"/>
      <c r="O155" s="272"/>
      <c r="P155" s="272"/>
      <c r="Q155" s="272"/>
      <c r="R155" s="272"/>
      <c r="S155" s="272"/>
      <c r="T155" s="272"/>
      <c r="U155" s="272"/>
      <c r="V155" s="272"/>
      <c r="W155" s="272"/>
      <c r="X155" s="272"/>
      <c r="Y155" s="272"/>
      <c r="Z155" s="272"/>
      <c r="AA155" s="272"/>
      <c r="AB155" s="272"/>
      <c r="AC155" s="272"/>
      <c r="AD155" s="272"/>
      <c r="AE155" s="272"/>
    </row>
    <row r="156" spans="2:31" ht="14.5">
      <c r="B156" s="377">
        <f t="shared" si="5"/>
        <v>111</v>
      </c>
      <c r="C156" s="385" t="str" cm="1">
        <f t="array" aca="1" ref="C156" ca="1">IF(B156&lt;=$C$9,GetGetCDSName(B156),"")</f>
        <v>UNILEVER_MMR.EUR.SU</v>
      </c>
      <c r="D156" s="345">
        <v>0</v>
      </c>
      <c r="E156" s="378">
        <v>0</v>
      </c>
      <c r="F156" s="297">
        <v>0</v>
      </c>
      <c r="G156" s="297">
        <v>0</v>
      </c>
      <c r="H156" s="297">
        <v>0</v>
      </c>
      <c r="I156" s="297">
        <v>1</v>
      </c>
      <c r="J156" s="297">
        <v>1</v>
      </c>
      <c r="K156" s="297"/>
      <c r="L156" s="297"/>
      <c r="M156" s="297"/>
      <c r="N156" s="379"/>
      <c r="O156" s="272"/>
      <c r="P156" s="272"/>
      <c r="Q156" s="272"/>
      <c r="R156" s="272"/>
      <c r="S156" s="272"/>
      <c r="T156" s="272"/>
      <c r="U156" s="272"/>
      <c r="V156" s="272"/>
      <c r="W156" s="272"/>
      <c r="X156" s="272"/>
      <c r="Y156" s="272"/>
      <c r="Z156" s="272"/>
      <c r="AA156" s="272"/>
      <c r="AB156" s="272"/>
      <c r="AC156" s="272"/>
      <c r="AD156" s="272"/>
      <c r="AE156" s="272"/>
    </row>
    <row r="157" spans="2:31" ht="14.5">
      <c r="B157" s="377">
        <f t="shared" si="5"/>
        <v>112</v>
      </c>
      <c r="C157" s="385" t="str" cm="1">
        <f t="array" aca="1" ref="C157" ca="1">IF(B157&lt;=$C$9,GetGetCDSName(B157),"")</f>
        <v>UNIONFENOSA_MMR.EUR.SU</v>
      </c>
      <c r="D157" s="345">
        <v>0</v>
      </c>
      <c r="E157" s="378">
        <v>0</v>
      </c>
      <c r="F157" s="297">
        <v>0</v>
      </c>
      <c r="G157" s="297">
        <v>1</v>
      </c>
      <c r="H157" s="297">
        <v>1</v>
      </c>
      <c r="I157" s="297">
        <v>0</v>
      </c>
      <c r="J157" s="297">
        <v>0</v>
      </c>
      <c r="K157" s="297"/>
      <c r="L157" s="297"/>
      <c r="M157" s="297"/>
      <c r="N157" s="379"/>
      <c r="O157" s="272"/>
      <c r="P157" s="272"/>
      <c r="Q157" s="272"/>
      <c r="R157" s="272"/>
      <c r="S157" s="272"/>
      <c r="T157" s="272"/>
      <c r="U157" s="272"/>
      <c r="V157" s="272"/>
      <c r="W157" s="272"/>
      <c r="X157" s="272"/>
      <c r="Y157" s="272"/>
      <c r="Z157" s="272"/>
      <c r="AA157" s="272"/>
      <c r="AB157" s="272"/>
      <c r="AC157" s="272"/>
      <c r="AD157" s="272"/>
      <c r="AE157" s="272"/>
    </row>
    <row r="158" spans="2:31" ht="14.5">
      <c r="B158" s="377">
        <f t="shared" si="5"/>
        <v>113</v>
      </c>
      <c r="C158" s="385" t="str" cm="1">
        <f t="array" aca="1" ref="C158" ca="1">IF(B158&lt;=$C$9,GetGetCDSName(B158),"")</f>
        <v>UNITEDUTILITIES_MMR.EUR.SU</v>
      </c>
      <c r="D158" s="345">
        <v>0</v>
      </c>
      <c r="E158" s="378">
        <v>0</v>
      </c>
      <c r="F158" s="297">
        <v>0</v>
      </c>
      <c r="G158" s="297">
        <v>0</v>
      </c>
      <c r="H158" s="297">
        <v>0</v>
      </c>
      <c r="I158" s="297">
        <v>0</v>
      </c>
      <c r="J158" s="297">
        <v>1</v>
      </c>
      <c r="K158" s="297"/>
      <c r="L158" s="297"/>
      <c r="M158" s="297"/>
      <c r="N158" s="379"/>
      <c r="O158" s="272"/>
      <c r="P158" s="272"/>
      <c r="Q158" s="272"/>
      <c r="R158" s="272"/>
      <c r="S158" s="272"/>
      <c r="T158" s="272"/>
      <c r="U158" s="272"/>
      <c r="V158" s="272"/>
      <c r="W158" s="272"/>
      <c r="X158" s="272"/>
      <c r="Y158" s="272"/>
      <c r="Z158" s="272"/>
      <c r="AA158" s="272"/>
      <c r="AB158" s="272"/>
      <c r="AC158" s="272"/>
      <c r="AD158" s="272"/>
      <c r="AE158" s="272"/>
    </row>
    <row r="159" spans="2:31" ht="14.5">
      <c r="B159" s="377">
        <f t="shared" si="5"/>
        <v>114</v>
      </c>
      <c r="C159" s="385" t="str" cm="1">
        <f t="array" aca="1" ref="C159" ca="1">IF(B159&lt;=$C$9,GetGetCDSName(B159),"")</f>
        <v>UPMKYMMENE_MMR.EUR.SU</v>
      </c>
      <c r="D159" s="345">
        <v>0</v>
      </c>
      <c r="E159" s="378">
        <v>0</v>
      </c>
      <c r="F159" s="297">
        <v>1</v>
      </c>
      <c r="G159" s="297">
        <v>0</v>
      </c>
      <c r="H159" s="297">
        <v>0</v>
      </c>
      <c r="I159" s="297">
        <v>0</v>
      </c>
      <c r="J159" s="297">
        <v>0</v>
      </c>
      <c r="K159" s="297"/>
      <c r="L159" s="297"/>
      <c r="M159" s="297"/>
      <c r="N159" s="379"/>
      <c r="O159" s="272"/>
      <c r="P159" s="272"/>
      <c r="Q159" s="272"/>
      <c r="R159" s="272"/>
      <c r="S159" s="272"/>
      <c r="T159" s="272"/>
      <c r="U159" s="272"/>
      <c r="V159" s="272"/>
      <c r="W159" s="272"/>
      <c r="X159" s="272"/>
      <c r="Y159" s="272"/>
      <c r="Z159" s="272"/>
      <c r="AA159" s="272"/>
      <c r="AB159" s="272"/>
      <c r="AC159" s="272"/>
      <c r="AD159" s="272"/>
      <c r="AE159" s="272"/>
    </row>
    <row r="160" spans="2:31" ht="14.5">
      <c r="B160" s="377">
        <f t="shared" si="5"/>
        <v>115</v>
      </c>
      <c r="C160" s="385" t="str" cm="1">
        <f t="array" aca="1" ref="C160" ca="1">IF(B160&lt;=$C$9,GetGetCDSName(B160),"")</f>
        <v>VALEO_MMR.EUR.SU</v>
      </c>
      <c r="D160" s="345">
        <v>0</v>
      </c>
      <c r="E160" s="378">
        <v>0</v>
      </c>
      <c r="F160" s="297">
        <v>0</v>
      </c>
      <c r="G160" s="297">
        <v>1</v>
      </c>
      <c r="H160" s="297">
        <v>0</v>
      </c>
      <c r="I160" s="297">
        <v>0</v>
      </c>
      <c r="J160" s="297">
        <v>1</v>
      </c>
      <c r="K160" s="297"/>
      <c r="L160" s="297"/>
      <c r="M160" s="297"/>
      <c r="N160" s="379"/>
      <c r="O160" s="272"/>
      <c r="P160" s="272"/>
      <c r="Q160" s="272"/>
      <c r="R160" s="272"/>
      <c r="S160" s="272"/>
      <c r="T160" s="272"/>
      <c r="U160" s="272"/>
      <c r="V160" s="272"/>
      <c r="W160" s="272"/>
      <c r="X160" s="272"/>
      <c r="Y160" s="272"/>
      <c r="Z160" s="272"/>
      <c r="AA160" s="272"/>
      <c r="AB160" s="272"/>
      <c r="AC160" s="272"/>
      <c r="AD160" s="272"/>
      <c r="AE160" s="272"/>
    </row>
    <row r="161" spans="2:31" ht="14.5">
      <c r="B161" s="377">
        <f t="shared" si="5"/>
        <v>116</v>
      </c>
      <c r="C161" s="385" t="str" cm="1">
        <f t="array" aca="1" ref="C161" ca="1">IF(B161&lt;=$C$9,GetGetCDSName(B161),"")</f>
        <v>VATTENFALLAB_MMR.EUR.SU</v>
      </c>
      <c r="D161" s="345">
        <v>0</v>
      </c>
      <c r="E161" s="378">
        <v>0</v>
      </c>
      <c r="F161" s="297">
        <v>0</v>
      </c>
      <c r="G161" s="297">
        <v>0</v>
      </c>
      <c r="H161" s="297">
        <v>0</v>
      </c>
      <c r="I161" s="297">
        <v>0</v>
      </c>
      <c r="J161" s="297">
        <v>1</v>
      </c>
      <c r="K161" s="297"/>
      <c r="L161" s="297"/>
      <c r="M161" s="297"/>
      <c r="N161" s="379"/>
      <c r="O161" s="272"/>
      <c r="P161" s="272"/>
      <c r="Q161" s="272"/>
      <c r="R161" s="272"/>
      <c r="S161" s="272"/>
      <c r="T161" s="272"/>
      <c r="U161" s="272"/>
      <c r="V161" s="272"/>
      <c r="W161" s="272"/>
      <c r="X161" s="272"/>
      <c r="Y161" s="272"/>
      <c r="Z161" s="272"/>
      <c r="AA161" s="272"/>
      <c r="AB161" s="272"/>
      <c r="AC161" s="272"/>
      <c r="AD161" s="272"/>
      <c r="AE161" s="272"/>
    </row>
    <row r="162" spans="2:31" ht="14.5">
      <c r="B162" s="377">
        <f t="shared" si="5"/>
        <v>117</v>
      </c>
      <c r="C162" s="385" t="str" cm="1">
        <f t="array" aca="1" ref="C162" ca="1">IF(B162&lt;=$C$9,GetGetCDSName(B162),"")</f>
        <v>VEOLIAENVIRONNEMENT_MMR.EUR.SU</v>
      </c>
      <c r="D162" s="345">
        <v>0</v>
      </c>
      <c r="E162" s="378">
        <v>0</v>
      </c>
      <c r="F162" s="297">
        <v>0</v>
      </c>
      <c r="G162" s="297">
        <v>1</v>
      </c>
      <c r="H162" s="297">
        <v>0</v>
      </c>
      <c r="I162" s="297">
        <v>1</v>
      </c>
      <c r="J162" s="297">
        <v>0</v>
      </c>
      <c r="K162" s="297"/>
      <c r="L162" s="297"/>
      <c r="M162" s="297"/>
      <c r="N162" s="379"/>
      <c r="O162" s="272"/>
      <c r="P162" s="272"/>
      <c r="Q162" s="272"/>
      <c r="R162" s="272"/>
      <c r="S162" s="272"/>
      <c r="T162" s="272"/>
      <c r="U162" s="272"/>
      <c r="V162" s="272"/>
      <c r="W162" s="272"/>
      <c r="X162" s="272"/>
      <c r="Y162" s="272"/>
      <c r="Z162" s="272"/>
      <c r="AA162" s="272"/>
      <c r="AB162" s="272"/>
      <c r="AC162" s="272"/>
      <c r="AD162" s="272"/>
      <c r="AE162" s="272"/>
    </row>
    <row r="163" spans="2:31" ht="14.5">
      <c r="B163" s="377">
        <f t="shared" si="5"/>
        <v>118</v>
      </c>
      <c r="C163" s="385" t="str" cm="1">
        <f t="array" aca="1" ref="C163" ca="1">IF(B163&lt;=$C$9,GetGetCDSName(B163),"")</f>
        <v>VINCI_MMR.EUR.SU</v>
      </c>
      <c r="D163" s="345">
        <v>0</v>
      </c>
      <c r="E163" s="378">
        <v>0</v>
      </c>
      <c r="F163" s="297">
        <v>1</v>
      </c>
      <c r="G163" s="297">
        <v>0</v>
      </c>
      <c r="H163" s="297">
        <v>0</v>
      </c>
      <c r="I163" s="297">
        <v>0</v>
      </c>
      <c r="J163" s="297">
        <v>0</v>
      </c>
      <c r="K163" s="297"/>
      <c r="L163" s="297"/>
      <c r="M163" s="297"/>
      <c r="N163" s="379"/>
      <c r="O163" s="272"/>
      <c r="P163" s="272"/>
      <c r="Q163" s="272"/>
      <c r="R163" s="272"/>
      <c r="S163" s="272"/>
      <c r="T163" s="272"/>
      <c r="U163" s="272"/>
      <c r="V163" s="272"/>
      <c r="W163" s="272"/>
      <c r="X163" s="272"/>
      <c r="Y163" s="272"/>
      <c r="Z163" s="272"/>
      <c r="AA163" s="272"/>
      <c r="AB163" s="272"/>
      <c r="AC163" s="272"/>
      <c r="AD163" s="272"/>
      <c r="AE163" s="272"/>
    </row>
    <row r="164" spans="2:31" ht="14.5">
      <c r="B164" s="377">
        <f t="shared" si="5"/>
        <v>119</v>
      </c>
      <c r="C164" s="385" t="str" cm="1">
        <f t="array" aca="1" ref="C164" ca="1">IF(B164&lt;=$C$9,GetGetCDSName(B164),"")</f>
        <v>VIVENDI_MMR.EUR.SU</v>
      </c>
      <c r="D164" s="345">
        <v>0</v>
      </c>
      <c r="E164" s="378">
        <v>0</v>
      </c>
      <c r="F164" s="297">
        <v>0</v>
      </c>
      <c r="G164" s="297">
        <v>1</v>
      </c>
      <c r="H164" s="297">
        <v>0</v>
      </c>
      <c r="I164" s="297">
        <v>0</v>
      </c>
      <c r="J164" s="297">
        <v>0</v>
      </c>
      <c r="K164" s="297"/>
      <c r="L164" s="297"/>
      <c r="M164" s="297"/>
      <c r="N164" s="379"/>
      <c r="O164" s="272"/>
      <c r="P164" s="272"/>
      <c r="Q164" s="272"/>
      <c r="R164" s="272"/>
      <c r="S164" s="272"/>
      <c r="T164" s="272"/>
      <c r="U164" s="272"/>
      <c r="V164" s="272"/>
      <c r="W164" s="272"/>
      <c r="X164" s="272"/>
      <c r="Y164" s="272"/>
      <c r="Z164" s="272"/>
      <c r="AA164" s="272"/>
      <c r="AB164" s="272"/>
      <c r="AC164" s="272"/>
      <c r="AD164" s="272"/>
      <c r="AE164" s="272"/>
    </row>
    <row r="165" spans="2:31" ht="14.5">
      <c r="B165" s="377">
        <f t="shared" si="5"/>
        <v>120</v>
      </c>
      <c r="C165" s="385" t="str" cm="1">
        <f t="array" aca="1" ref="C165" ca="1">IF(B165&lt;=$C$9,GetGetCDSName(B165),"")</f>
        <v>VODAFONE_MMR.EUR.SU</v>
      </c>
      <c r="D165" s="345">
        <v>0</v>
      </c>
      <c r="E165" s="378">
        <v>1</v>
      </c>
      <c r="F165" s="297">
        <v>0</v>
      </c>
      <c r="G165" s="297">
        <v>0</v>
      </c>
      <c r="H165" s="297">
        <v>0</v>
      </c>
      <c r="I165" s="297">
        <v>0</v>
      </c>
      <c r="J165" s="297">
        <v>0</v>
      </c>
      <c r="K165" s="297"/>
      <c r="L165" s="297"/>
      <c r="M165" s="297"/>
      <c r="N165" s="379"/>
      <c r="O165" s="272"/>
      <c r="P165" s="272"/>
      <c r="Q165" s="272"/>
      <c r="R165" s="272"/>
      <c r="S165" s="272"/>
      <c r="T165" s="272"/>
      <c r="U165" s="272"/>
      <c r="V165" s="272"/>
      <c r="W165" s="272"/>
      <c r="X165" s="272"/>
      <c r="Y165" s="272"/>
      <c r="Z165" s="272"/>
      <c r="AA165" s="272"/>
      <c r="AB165" s="272"/>
      <c r="AC165" s="272"/>
      <c r="AD165" s="272"/>
      <c r="AE165" s="272"/>
    </row>
    <row r="166" spans="2:31" ht="14.5">
      <c r="B166" s="377">
        <f t="shared" si="5"/>
        <v>121</v>
      </c>
      <c r="C166" s="385" t="str" cm="1">
        <f t="array" aca="1" ref="C166" ca="1">IF(B166&lt;=$C$9,GetGetCDSName(B166),"")</f>
        <v>VOLVO_MMR.EUR.SU</v>
      </c>
      <c r="D166" s="345">
        <v>0</v>
      </c>
      <c r="E166" s="378">
        <v>0</v>
      </c>
      <c r="F166" s="297">
        <v>0</v>
      </c>
      <c r="G166" s="297">
        <v>0</v>
      </c>
      <c r="H166" s="297">
        <v>1</v>
      </c>
      <c r="I166" s="297">
        <v>0</v>
      </c>
      <c r="J166" s="297">
        <v>1</v>
      </c>
      <c r="K166" s="297"/>
      <c r="L166" s="297"/>
      <c r="M166" s="297"/>
      <c r="N166" s="379"/>
      <c r="O166" s="272"/>
      <c r="P166" s="272"/>
      <c r="Q166" s="272"/>
      <c r="R166" s="272"/>
      <c r="S166" s="272"/>
      <c r="T166" s="272"/>
      <c r="U166" s="272"/>
      <c r="V166" s="272"/>
      <c r="W166" s="272"/>
      <c r="X166" s="272"/>
      <c r="Y166" s="272"/>
      <c r="Z166" s="272"/>
      <c r="AA166" s="272"/>
      <c r="AB166" s="272"/>
      <c r="AC166" s="272"/>
      <c r="AD166" s="272"/>
      <c r="AE166" s="272"/>
    </row>
    <row r="167" spans="2:31" ht="14.5">
      <c r="B167" s="377">
        <f t="shared" si="5"/>
        <v>122</v>
      </c>
      <c r="C167" s="385" t="str" cm="1">
        <f t="array" aca="1" ref="C167" ca="1">IF(B167&lt;=$C$9,GetGetCDSName(B167),"")</f>
        <v>VW_MMR.EUR.SU</v>
      </c>
      <c r="D167" s="345">
        <v>0</v>
      </c>
      <c r="E167" s="378">
        <v>1</v>
      </c>
      <c r="F167" s="297">
        <v>0</v>
      </c>
      <c r="G167" s="297">
        <v>0</v>
      </c>
      <c r="H167" s="297">
        <v>0</v>
      </c>
      <c r="I167" s="297">
        <v>0</v>
      </c>
      <c r="J167" s="297">
        <v>0</v>
      </c>
      <c r="K167" s="297"/>
      <c r="L167" s="297"/>
      <c r="M167" s="297"/>
      <c r="N167" s="379"/>
      <c r="O167" s="272"/>
      <c r="P167" s="272"/>
      <c r="Q167" s="272"/>
      <c r="R167" s="272"/>
      <c r="S167" s="272"/>
      <c r="T167" s="272"/>
      <c r="U167" s="272"/>
      <c r="V167" s="272"/>
      <c r="W167" s="272"/>
      <c r="X167" s="272"/>
      <c r="Y167" s="272"/>
      <c r="Z167" s="272"/>
      <c r="AA167" s="272"/>
      <c r="AB167" s="272"/>
      <c r="AC167" s="272"/>
      <c r="AD167" s="272"/>
      <c r="AE167" s="272"/>
    </row>
    <row r="168" spans="2:31" ht="14.5">
      <c r="B168" s="377">
        <f t="shared" si="5"/>
        <v>123</v>
      </c>
      <c r="C168" s="385" t="str" cm="1">
        <f t="array" aca="1" ref="C168" ca="1">IF(B168&lt;=$C$9,GetGetCDSName(B168),"")</f>
        <v>WOLTERSKLUWERCVA_MMR.EUR.SU</v>
      </c>
      <c r="D168" s="345">
        <v>0</v>
      </c>
      <c r="E168" s="378">
        <v>0</v>
      </c>
      <c r="F168" s="297">
        <v>1</v>
      </c>
      <c r="G168" s="297">
        <v>0</v>
      </c>
      <c r="H168" s="297">
        <v>0</v>
      </c>
      <c r="I168" s="297">
        <v>0</v>
      </c>
      <c r="J168" s="297">
        <v>0</v>
      </c>
      <c r="K168" s="297"/>
      <c r="L168" s="297"/>
      <c r="M168" s="297"/>
      <c r="N168" s="379"/>
      <c r="O168" s="272"/>
      <c r="P168" s="272"/>
      <c r="Q168" s="272"/>
      <c r="R168" s="272"/>
      <c r="S168" s="272"/>
      <c r="T168" s="272"/>
      <c r="U168" s="272"/>
      <c r="V168" s="272"/>
      <c r="W168" s="272"/>
      <c r="X168" s="272"/>
      <c r="Y168" s="272"/>
      <c r="Z168" s="272"/>
      <c r="AA168" s="272"/>
      <c r="AB168" s="272"/>
      <c r="AC168" s="272"/>
      <c r="AD168" s="272"/>
      <c r="AE168" s="272"/>
    </row>
    <row r="169" spans="2:31" ht="14.5">
      <c r="B169" s="377">
        <f t="shared" si="5"/>
        <v>124</v>
      </c>
      <c r="C169" s="385" t="str" cm="1">
        <f t="array" aca="1" ref="C169" ca="1">IF(B169&lt;=$C$9,GetGetCDSName(B169),"")</f>
        <v>WPPGROUP_MMR.EUR.SU</v>
      </c>
      <c r="D169" s="345">
        <v>0</v>
      </c>
      <c r="E169" s="378">
        <v>1</v>
      </c>
      <c r="F169" s="297">
        <v>0</v>
      </c>
      <c r="G169" s="297">
        <v>1</v>
      </c>
      <c r="H169" s="297">
        <v>0</v>
      </c>
      <c r="I169" s="297">
        <v>1</v>
      </c>
      <c r="J169" s="297">
        <v>0</v>
      </c>
      <c r="K169" s="297"/>
      <c r="L169" s="297"/>
      <c r="M169" s="297"/>
      <c r="N169" s="379"/>
      <c r="O169" s="272"/>
      <c r="P169" s="272"/>
      <c r="Q169" s="272"/>
      <c r="R169" s="272"/>
      <c r="S169" s="272"/>
      <c r="T169" s="272"/>
      <c r="U169" s="272"/>
      <c r="V169" s="272"/>
      <c r="W169" s="272"/>
      <c r="X169" s="272"/>
      <c r="Y169" s="272"/>
      <c r="Z169" s="272"/>
      <c r="AA169" s="272"/>
      <c r="AB169" s="272"/>
      <c r="AC169" s="272"/>
      <c r="AD169" s="272"/>
      <c r="AE169" s="272"/>
    </row>
    <row r="170" spans="2:31" ht="14.5">
      <c r="B170" s="377">
        <f t="shared" si="5"/>
        <v>125</v>
      </c>
      <c r="C170" s="385" t="str" cm="1">
        <f t="array" aca="1" ref="C170" ca="1">IF(B170&lt;=$C$9,GetGetCDSName(B170),"")</f>
        <v>ZURICHINSURANCE_MMR.EUR.SU</v>
      </c>
      <c r="D170" s="345">
        <v>0</v>
      </c>
      <c r="E170" s="378">
        <v>0</v>
      </c>
      <c r="F170" s="297">
        <v>0</v>
      </c>
      <c r="G170" s="297">
        <v>0</v>
      </c>
      <c r="H170" s="297">
        <v>1</v>
      </c>
      <c r="I170" s="297">
        <v>0</v>
      </c>
      <c r="J170" s="297">
        <v>0</v>
      </c>
      <c r="K170" s="297"/>
      <c r="L170" s="297"/>
      <c r="M170" s="297"/>
      <c r="N170" s="379"/>
      <c r="O170" s="272"/>
      <c r="P170" s="272"/>
      <c r="Q170" s="272"/>
      <c r="R170" s="272"/>
      <c r="S170" s="272"/>
      <c r="T170" s="272"/>
      <c r="U170" s="272"/>
      <c r="V170" s="272"/>
      <c r="W170" s="272"/>
      <c r="X170" s="272"/>
      <c r="Y170" s="272"/>
      <c r="Z170" s="272"/>
      <c r="AA170" s="272"/>
      <c r="AB170" s="272"/>
      <c r="AC170" s="272"/>
      <c r="AD170" s="272"/>
      <c r="AE170" s="272"/>
    </row>
    <row r="171" spans="2:31" ht="14.5">
      <c r="B171" s="377">
        <f t="shared" si="5"/>
        <v>126</v>
      </c>
      <c r="C171" s="385" t="str" cm="1">
        <f t="array" aca="1" ref="C171" ca="1">IF(B171&lt;=$C$9,GetGetCDSName(B171),"")</f>
        <v/>
      </c>
      <c r="D171" s="345"/>
      <c r="E171" s="378"/>
      <c r="F171" s="297"/>
      <c r="G171" s="297"/>
      <c r="H171" s="297"/>
      <c r="I171" s="297"/>
      <c r="J171" s="297"/>
      <c r="K171" s="297"/>
      <c r="L171" s="297"/>
      <c r="M171" s="297"/>
      <c r="N171" s="379"/>
      <c r="O171" s="272"/>
      <c r="P171" s="272"/>
      <c r="Q171" s="272"/>
      <c r="R171" s="272"/>
      <c r="S171" s="272"/>
      <c r="T171" s="272"/>
      <c r="U171" s="272"/>
      <c r="V171" s="272"/>
      <c r="W171" s="272"/>
      <c r="X171" s="272"/>
      <c r="Y171" s="272"/>
      <c r="Z171" s="272"/>
      <c r="AA171" s="272"/>
      <c r="AB171" s="272"/>
      <c r="AC171" s="272"/>
      <c r="AD171" s="272"/>
      <c r="AE171" s="272"/>
    </row>
    <row r="172" spans="2:31" ht="14.5">
      <c r="B172" s="377">
        <f t="shared" si="5"/>
        <v>127</v>
      </c>
      <c r="C172" s="385" t="str" cm="1">
        <f t="array" aca="1" ref="C172" ca="1">IF(B172&lt;=$C$9,GetGetCDSName(B172),"")</f>
        <v/>
      </c>
      <c r="D172" s="345"/>
      <c r="E172" s="378"/>
      <c r="F172" s="297"/>
      <c r="G172" s="297"/>
      <c r="H172" s="297"/>
      <c r="I172" s="297"/>
      <c r="J172" s="297"/>
      <c r="K172" s="297"/>
      <c r="L172" s="297"/>
      <c r="M172" s="297"/>
      <c r="N172" s="379"/>
      <c r="O172" s="272"/>
      <c r="P172" s="272"/>
      <c r="Q172" s="272"/>
      <c r="R172" s="272"/>
      <c r="S172" s="272"/>
      <c r="T172" s="272"/>
      <c r="U172" s="272"/>
      <c r="V172" s="272"/>
      <c r="W172" s="272"/>
      <c r="X172" s="272"/>
      <c r="Y172" s="272"/>
      <c r="Z172" s="272"/>
      <c r="AA172" s="272"/>
      <c r="AB172" s="272"/>
      <c r="AC172" s="272"/>
      <c r="AD172" s="272"/>
      <c r="AE172" s="272"/>
    </row>
    <row r="173" spans="2:31" ht="14.5">
      <c r="B173" s="377">
        <f t="shared" si="5"/>
        <v>128</v>
      </c>
      <c r="C173" s="385" t="str" cm="1">
        <f t="array" aca="1" ref="C173" ca="1">IF(B173&lt;=$C$9,GetGetCDSName(B173),"")</f>
        <v/>
      </c>
      <c r="D173" s="345"/>
      <c r="E173" s="378"/>
      <c r="F173" s="297"/>
      <c r="G173" s="297"/>
      <c r="H173" s="297"/>
      <c r="I173" s="297"/>
      <c r="J173" s="297"/>
      <c r="K173" s="297"/>
      <c r="L173" s="297"/>
      <c r="M173" s="297"/>
      <c r="N173" s="379"/>
      <c r="O173" s="272"/>
      <c r="P173" s="272"/>
      <c r="Q173" s="272"/>
      <c r="R173" s="272"/>
      <c r="S173" s="272"/>
      <c r="T173" s="272"/>
      <c r="U173" s="272"/>
      <c r="V173" s="272"/>
      <c r="W173" s="272"/>
      <c r="X173" s="272"/>
      <c r="Y173" s="272"/>
      <c r="Z173" s="272"/>
      <c r="AA173" s="272"/>
      <c r="AB173" s="272"/>
      <c r="AC173" s="272"/>
      <c r="AD173" s="272"/>
      <c r="AE173" s="272"/>
    </row>
    <row r="174" spans="2:31" ht="14.5">
      <c r="B174" s="377">
        <f t="shared" si="5"/>
        <v>129</v>
      </c>
      <c r="C174" s="385" t="str" cm="1">
        <f t="array" aca="1" ref="C174" ca="1">IF(B174&lt;=$C$9,GetGetCDSName(B174),"")</f>
        <v/>
      </c>
      <c r="D174" s="345"/>
      <c r="E174" s="378"/>
      <c r="F174" s="297"/>
      <c r="G174" s="297"/>
      <c r="H174" s="297"/>
      <c r="I174" s="297"/>
      <c r="J174" s="297"/>
      <c r="K174" s="297"/>
      <c r="L174" s="297"/>
      <c r="M174" s="297"/>
      <c r="N174" s="379"/>
      <c r="O174" s="272"/>
      <c r="P174" s="272"/>
      <c r="Q174" s="272"/>
      <c r="R174" s="272"/>
      <c r="S174" s="272"/>
      <c r="T174" s="272"/>
      <c r="U174" s="272"/>
      <c r="V174" s="272"/>
      <c r="W174" s="272"/>
      <c r="X174" s="272"/>
      <c r="Y174" s="272"/>
      <c r="Z174" s="272"/>
      <c r="AA174" s="272"/>
      <c r="AB174" s="272"/>
      <c r="AC174" s="272"/>
      <c r="AD174" s="272"/>
      <c r="AE174" s="272"/>
    </row>
    <row r="175" spans="2:31" ht="14.5">
      <c r="B175" s="377">
        <f t="shared" ref="B175:B238" si="6">B174+1</f>
        <v>130</v>
      </c>
      <c r="C175" s="385" t="str" cm="1">
        <f t="array" aca="1" ref="C175" ca="1">IF(B175&lt;=$C$9,GetGetCDSName(B175),"")</f>
        <v/>
      </c>
      <c r="D175" s="345"/>
      <c r="E175" s="378"/>
      <c r="F175" s="297"/>
      <c r="G175" s="297"/>
      <c r="H175" s="297"/>
      <c r="I175" s="297"/>
      <c r="J175" s="297"/>
      <c r="K175" s="297"/>
      <c r="L175" s="297"/>
      <c r="M175" s="297"/>
      <c r="N175" s="379"/>
      <c r="O175" s="272"/>
      <c r="P175" s="272"/>
      <c r="Q175" s="272"/>
      <c r="R175" s="272"/>
      <c r="S175" s="272"/>
      <c r="T175" s="272"/>
      <c r="U175" s="272"/>
      <c r="V175" s="272"/>
      <c r="W175" s="272"/>
      <c r="X175" s="272"/>
      <c r="Y175" s="272"/>
      <c r="Z175" s="272"/>
      <c r="AA175" s="272"/>
      <c r="AB175" s="272"/>
      <c r="AC175" s="272"/>
      <c r="AD175" s="272"/>
      <c r="AE175" s="272"/>
    </row>
    <row r="176" spans="2:31" ht="14.5">
      <c r="B176" s="377">
        <f t="shared" si="6"/>
        <v>131</v>
      </c>
      <c r="C176" s="385" t="str" cm="1">
        <f t="array" aca="1" ref="C176" ca="1">IF(B176&lt;=$C$9,GetGetCDSName(B176),"")</f>
        <v/>
      </c>
      <c r="D176" s="345"/>
      <c r="E176" s="378"/>
      <c r="F176" s="297"/>
      <c r="G176" s="297"/>
      <c r="H176" s="297"/>
      <c r="I176" s="297"/>
      <c r="J176" s="297"/>
      <c r="K176" s="297"/>
      <c r="L176" s="297"/>
      <c r="M176" s="297"/>
      <c r="N176" s="379"/>
      <c r="O176" s="272"/>
      <c r="P176" s="272"/>
      <c r="Q176" s="272"/>
      <c r="R176" s="272"/>
      <c r="S176" s="272"/>
      <c r="T176" s="272"/>
      <c r="U176" s="272"/>
      <c r="V176" s="272"/>
      <c r="W176" s="272"/>
      <c r="X176" s="272"/>
      <c r="Y176" s="272"/>
      <c r="Z176" s="272"/>
      <c r="AA176" s="272"/>
      <c r="AB176" s="272"/>
      <c r="AC176" s="272"/>
      <c r="AD176" s="272"/>
      <c r="AE176" s="272"/>
    </row>
    <row r="177" spans="2:31" ht="14.5">
      <c r="B177" s="377">
        <f t="shared" si="6"/>
        <v>132</v>
      </c>
      <c r="C177" s="385" t="str" cm="1">
        <f t="array" aca="1" ref="C177" ca="1">IF(B177&lt;=$C$9,GetGetCDSName(B177),"")</f>
        <v/>
      </c>
      <c r="D177" s="345"/>
      <c r="E177" s="378"/>
      <c r="F177" s="297"/>
      <c r="G177" s="297"/>
      <c r="H177" s="297"/>
      <c r="I177" s="297"/>
      <c r="J177" s="297"/>
      <c r="K177" s="297"/>
      <c r="L177" s="297"/>
      <c r="M177" s="297"/>
      <c r="N177" s="379"/>
      <c r="O177" s="272"/>
      <c r="P177" s="272"/>
      <c r="Q177" s="272"/>
      <c r="R177" s="272"/>
      <c r="S177" s="272"/>
      <c r="T177" s="272"/>
      <c r="U177" s="272"/>
      <c r="V177" s="272"/>
      <c r="W177" s="272"/>
      <c r="X177" s="272"/>
      <c r="Y177" s="272"/>
      <c r="Z177" s="272"/>
      <c r="AA177" s="272"/>
      <c r="AB177" s="272"/>
      <c r="AC177" s="272"/>
      <c r="AD177" s="272"/>
      <c r="AE177" s="272"/>
    </row>
    <row r="178" spans="2:31" ht="14.5">
      <c r="B178" s="377">
        <f t="shared" si="6"/>
        <v>133</v>
      </c>
      <c r="C178" s="385" t="str" cm="1">
        <f t="array" aca="1" ref="C178" ca="1">IF(B178&lt;=$C$9,GetGetCDSName(B178),"")</f>
        <v/>
      </c>
      <c r="D178" s="345"/>
      <c r="E178" s="378"/>
      <c r="F178" s="297"/>
      <c r="G178" s="297"/>
      <c r="H178" s="297"/>
      <c r="I178" s="297"/>
      <c r="J178" s="297"/>
      <c r="K178" s="297"/>
      <c r="L178" s="297"/>
      <c r="M178" s="297"/>
      <c r="N178" s="379"/>
      <c r="O178" s="272"/>
      <c r="P178" s="272"/>
      <c r="Q178" s="272"/>
      <c r="R178" s="272"/>
      <c r="S178" s="272"/>
      <c r="T178" s="272"/>
      <c r="U178" s="272"/>
      <c r="V178" s="272"/>
      <c r="W178" s="272"/>
      <c r="X178" s="272"/>
      <c r="Y178" s="272"/>
      <c r="Z178" s="272"/>
      <c r="AA178" s="272"/>
      <c r="AB178" s="272"/>
      <c r="AC178" s="272"/>
      <c r="AD178" s="272"/>
      <c r="AE178" s="272"/>
    </row>
    <row r="179" spans="2:31" ht="14.5">
      <c r="B179" s="377">
        <f t="shared" si="6"/>
        <v>134</v>
      </c>
      <c r="C179" s="385" t="str" cm="1">
        <f t="array" aca="1" ref="C179" ca="1">IF(B179&lt;=$C$9,GetGetCDSName(B179),"")</f>
        <v/>
      </c>
      <c r="D179" s="345"/>
      <c r="E179" s="378"/>
      <c r="F179" s="297"/>
      <c r="G179" s="297"/>
      <c r="H179" s="297"/>
      <c r="I179" s="297"/>
      <c r="J179" s="297"/>
      <c r="K179" s="297"/>
      <c r="L179" s="297"/>
      <c r="M179" s="297"/>
      <c r="N179" s="379"/>
      <c r="O179" s="272"/>
      <c r="P179" s="272"/>
      <c r="Q179" s="272"/>
      <c r="R179" s="272"/>
      <c r="S179" s="272"/>
      <c r="T179" s="272"/>
      <c r="U179" s="272"/>
      <c r="V179" s="272"/>
      <c r="W179" s="272"/>
      <c r="X179" s="272"/>
      <c r="Y179" s="272"/>
      <c r="Z179" s="272"/>
      <c r="AA179" s="272"/>
      <c r="AB179" s="272"/>
      <c r="AC179" s="272"/>
      <c r="AD179" s="272"/>
      <c r="AE179" s="272"/>
    </row>
    <row r="180" spans="2:31" ht="14.5">
      <c r="B180" s="377">
        <f t="shared" si="6"/>
        <v>135</v>
      </c>
      <c r="C180" s="385" t="str" cm="1">
        <f t="array" aca="1" ref="C180" ca="1">IF(B180&lt;=$C$9,GetGetCDSName(B180),"")</f>
        <v/>
      </c>
      <c r="D180" s="345"/>
      <c r="E180" s="378"/>
      <c r="F180" s="297"/>
      <c r="G180" s="297"/>
      <c r="H180" s="297"/>
      <c r="I180" s="297"/>
      <c r="J180" s="297"/>
      <c r="K180" s="297"/>
      <c r="L180" s="297"/>
      <c r="M180" s="297"/>
      <c r="N180" s="379"/>
      <c r="O180" s="272"/>
      <c r="P180" s="272"/>
      <c r="Q180" s="272"/>
      <c r="R180" s="272"/>
      <c r="S180" s="272"/>
      <c r="T180" s="272"/>
      <c r="U180" s="272"/>
      <c r="V180" s="272"/>
      <c r="W180" s="272"/>
      <c r="X180" s="272"/>
      <c r="Y180" s="272"/>
      <c r="Z180" s="272"/>
      <c r="AA180" s="272"/>
      <c r="AB180" s="272"/>
      <c r="AC180" s="272"/>
      <c r="AD180" s="272"/>
      <c r="AE180" s="272"/>
    </row>
    <row r="181" spans="2:31" ht="14.5">
      <c r="B181" s="377">
        <f t="shared" si="6"/>
        <v>136</v>
      </c>
      <c r="C181" s="385" t="str" cm="1">
        <f t="array" aca="1" ref="C181" ca="1">IF(B181&lt;=$C$9,GetGetCDSName(B181),"")</f>
        <v/>
      </c>
      <c r="D181" s="345"/>
      <c r="E181" s="378"/>
      <c r="F181" s="297"/>
      <c r="G181" s="297"/>
      <c r="H181" s="297"/>
      <c r="I181" s="297"/>
      <c r="J181" s="297"/>
      <c r="K181" s="297"/>
      <c r="L181" s="297"/>
      <c r="M181" s="297"/>
      <c r="N181" s="379"/>
      <c r="O181" s="272"/>
      <c r="P181" s="272"/>
      <c r="Q181" s="272"/>
      <c r="R181" s="272"/>
      <c r="S181" s="272"/>
      <c r="T181" s="272"/>
      <c r="U181" s="272"/>
      <c r="V181" s="272"/>
      <c r="W181" s="272"/>
      <c r="X181" s="272"/>
      <c r="Y181" s="272"/>
      <c r="Z181" s="272"/>
      <c r="AA181" s="272"/>
      <c r="AB181" s="272"/>
      <c r="AC181" s="272"/>
      <c r="AD181" s="272"/>
      <c r="AE181" s="272"/>
    </row>
    <row r="182" spans="2:31" ht="14.5">
      <c r="B182" s="377">
        <f t="shared" si="6"/>
        <v>137</v>
      </c>
      <c r="C182" s="385" t="str" cm="1">
        <f t="array" aca="1" ref="C182" ca="1">IF(B182&lt;=$C$9,GetGetCDSName(B182),"")</f>
        <v/>
      </c>
      <c r="D182" s="345"/>
      <c r="E182" s="378"/>
      <c r="F182" s="297"/>
      <c r="G182" s="297"/>
      <c r="H182" s="297"/>
      <c r="I182" s="297"/>
      <c r="J182" s="297"/>
      <c r="K182" s="297"/>
      <c r="L182" s="297"/>
      <c r="M182" s="297"/>
      <c r="N182" s="379"/>
      <c r="O182" s="272"/>
      <c r="P182" s="272"/>
      <c r="Q182" s="272"/>
      <c r="R182" s="272"/>
      <c r="S182" s="272"/>
      <c r="T182" s="272"/>
      <c r="U182" s="272"/>
      <c r="V182" s="272"/>
      <c r="W182" s="272"/>
      <c r="X182" s="272"/>
      <c r="Y182" s="272"/>
      <c r="Z182" s="272"/>
      <c r="AA182" s="272"/>
      <c r="AB182" s="272"/>
      <c r="AC182" s="272"/>
      <c r="AD182" s="272"/>
      <c r="AE182" s="272"/>
    </row>
    <row r="183" spans="2:31" ht="14.5">
      <c r="B183" s="377">
        <f t="shared" si="6"/>
        <v>138</v>
      </c>
      <c r="C183" s="385" t="str" cm="1">
        <f t="array" aca="1" ref="C183" ca="1">IF(B183&lt;=$C$9,GetGetCDSName(B183),"")</f>
        <v/>
      </c>
      <c r="D183" s="345"/>
      <c r="E183" s="378"/>
      <c r="F183" s="297"/>
      <c r="G183" s="297"/>
      <c r="H183" s="297"/>
      <c r="I183" s="297"/>
      <c r="J183" s="297"/>
      <c r="K183" s="297"/>
      <c r="L183" s="297"/>
      <c r="M183" s="297"/>
      <c r="N183" s="379"/>
      <c r="O183" s="272"/>
      <c r="P183" s="272"/>
      <c r="Q183" s="272"/>
      <c r="R183" s="272"/>
      <c r="S183" s="272"/>
      <c r="T183" s="272"/>
      <c r="U183" s="272"/>
      <c r="V183" s="272"/>
      <c r="W183" s="272"/>
      <c r="X183" s="272"/>
      <c r="Y183" s="272"/>
      <c r="Z183" s="272"/>
      <c r="AA183" s="272"/>
      <c r="AB183" s="272"/>
      <c r="AC183" s="272"/>
      <c r="AD183" s="272"/>
      <c r="AE183" s="272"/>
    </row>
    <row r="184" spans="2:31" ht="14.5">
      <c r="B184" s="377">
        <f t="shared" si="6"/>
        <v>139</v>
      </c>
      <c r="C184" s="385" t="str" cm="1">
        <f t="array" aca="1" ref="C184" ca="1">IF(B184&lt;=$C$9,GetGetCDSName(B184),"")</f>
        <v/>
      </c>
      <c r="D184" s="345"/>
      <c r="E184" s="378"/>
      <c r="F184" s="297"/>
      <c r="G184" s="297"/>
      <c r="H184" s="297"/>
      <c r="I184" s="297"/>
      <c r="J184" s="297"/>
      <c r="K184" s="297"/>
      <c r="L184" s="297"/>
      <c r="M184" s="297"/>
      <c r="N184" s="379"/>
      <c r="O184" s="272"/>
      <c r="P184" s="272"/>
      <c r="Q184" s="272"/>
      <c r="R184" s="272"/>
      <c r="S184" s="272"/>
      <c r="T184" s="272"/>
      <c r="U184" s="272"/>
      <c r="V184" s="272"/>
      <c r="W184" s="272"/>
      <c r="X184" s="272"/>
      <c r="Y184" s="272"/>
      <c r="Z184" s="272"/>
      <c r="AA184" s="272"/>
      <c r="AB184" s="272"/>
      <c r="AC184" s="272"/>
      <c r="AD184" s="272"/>
      <c r="AE184" s="272"/>
    </row>
    <row r="185" spans="2:31" ht="14.5">
      <c r="B185" s="377">
        <f t="shared" si="6"/>
        <v>140</v>
      </c>
      <c r="C185" s="385" t="str" cm="1">
        <f t="array" aca="1" ref="C185" ca="1">IF(B185&lt;=$C$9,GetGetCDSName(B185),"")</f>
        <v/>
      </c>
      <c r="D185" s="345"/>
      <c r="E185" s="378"/>
      <c r="F185" s="297"/>
      <c r="G185" s="297"/>
      <c r="H185" s="297"/>
      <c r="I185" s="297"/>
      <c r="J185" s="297"/>
      <c r="K185" s="297"/>
      <c r="L185" s="297"/>
      <c r="M185" s="297"/>
      <c r="N185" s="379"/>
      <c r="O185" s="272"/>
      <c r="P185" s="272"/>
      <c r="Q185" s="272"/>
      <c r="R185" s="272"/>
      <c r="S185" s="272"/>
      <c r="T185" s="272"/>
      <c r="U185" s="272"/>
      <c r="V185" s="272"/>
      <c r="W185" s="272"/>
      <c r="X185" s="272"/>
      <c r="Y185" s="272"/>
      <c r="Z185" s="272"/>
      <c r="AA185" s="272"/>
      <c r="AB185" s="272"/>
      <c r="AC185" s="272"/>
      <c r="AD185" s="272"/>
      <c r="AE185" s="272"/>
    </row>
    <row r="186" spans="2:31" ht="14.5">
      <c r="B186" s="377">
        <f t="shared" si="6"/>
        <v>141</v>
      </c>
      <c r="C186" s="385" t="str" cm="1">
        <f t="array" aca="1" ref="C186" ca="1">IF(B186&lt;=$C$9,GetGetCDSName(B186),"")</f>
        <v/>
      </c>
      <c r="D186" s="345"/>
      <c r="E186" s="378"/>
      <c r="F186" s="297"/>
      <c r="G186" s="297"/>
      <c r="H186" s="297"/>
      <c r="I186" s="297"/>
      <c r="J186" s="297"/>
      <c r="K186" s="297"/>
      <c r="L186" s="297"/>
      <c r="M186" s="297"/>
      <c r="N186" s="379"/>
      <c r="O186" s="272"/>
      <c r="P186" s="272"/>
      <c r="Q186" s="272"/>
      <c r="R186" s="272"/>
      <c r="S186" s="272"/>
      <c r="T186" s="272"/>
      <c r="U186" s="272"/>
      <c r="V186" s="272"/>
      <c r="W186" s="272"/>
      <c r="X186" s="272"/>
      <c r="Y186" s="272"/>
      <c r="Z186" s="272"/>
      <c r="AA186" s="272"/>
      <c r="AB186" s="272"/>
      <c r="AC186" s="272"/>
      <c r="AD186" s="272"/>
      <c r="AE186" s="272"/>
    </row>
    <row r="187" spans="2:31" ht="14.5">
      <c r="B187" s="377">
        <f t="shared" si="6"/>
        <v>142</v>
      </c>
      <c r="C187" s="385" t="str" cm="1">
        <f t="array" aca="1" ref="C187" ca="1">IF(B187&lt;=$C$9,GetGetCDSName(B187),"")</f>
        <v/>
      </c>
      <c r="D187" s="345"/>
      <c r="E187" s="378"/>
      <c r="F187" s="297"/>
      <c r="G187" s="297"/>
      <c r="H187" s="297"/>
      <c r="I187" s="297"/>
      <c r="J187" s="297"/>
      <c r="K187" s="297"/>
      <c r="L187" s="297"/>
      <c r="M187" s="297"/>
      <c r="N187" s="379"/>
      <c r="O187" s="272"/>
      <c r="P187" s="272"/>
      <c r="Q187" s="272"/>
      <c r="R187" s="272"/>
      <c r="S187" s="272"/>
      <c r="T187" s="272"/>
      <c r="U187" s="272"/>
      <c r="V187" s="272"/>
      <c r="W187" s="272"/>
      <c r="X187" s="272"/>
      <c r="Y187" s="272"/>
      <c r="Z187" s="272"/>
      <c r="AA187" s="272"/>
      <c r="AB187" s="272"/>
      <c r="AC187" s="272"/>
      <c r="AD187" s="272"/>
      <c r="AE187" s="272"/>
    </row>
    <row r="188" spans="2:31" ht="14.5">
      <c r="B188" s="377">
        <f t="shared" si="6"/>
        <v>143</v>
      </c>
      <c r="C188" s="385" t="str" cm="1">
        <f t="array" aca="1" ref="C188" ca="1">IF(B188&lt;=$C$9,GetGetCDSName(B188),"")</f>
        <v/>
      </c>
      <c r="D188" s="345"/>
      <c r="E188" s="378"/>
      <c r="F188" s="297"/>
      <c r="G188" s="297"/>
      <c r="H188" s="297"/>
      <c r="I188" s="297"/>
      <c r="J188" s="297"/>
      <c r="K188" s="297"/>
      <c r="L188" s="297"/>
      <c r="M188" s="297"/>
      <c r="N188" s="379"/>
      <c r="O188" s="272"/>
      <c r="P188" s="272"/>
      <c r="Q188" s="272"/>
      <c r="R188" s="272"/>
      <c r="S188" s="272"/>
      <c r="T188" s="272"/>
      <c r="U188" s="272"/>
      <c r="V188" s="272"/>
      <c r="W188" s="272"/>
      <c r="X188" s="272"/>
      <c r="Y188" s="272"/>
      <c r="Z188" s="272"/>
      <c r="AA188" s="272"/>
      <c r="AB188" s="272"/>
      <c r="AC188" s="272"/>
      <c r="AD188" s="272"/>
      <c r="AE188" s="272"/>
    </row>
    <row r="189" spans="2:31" ht="14.5">
      <c r="B189" s="377">
        <f t="shared" si="6"/>
        <v>144</v>
      </c>
      <c r="C189" s="385" t="str" cm="1">
        <f t="array" aca="1" ref="C189" ca="1">IF(B189&lt;=$C$9,GetGetCDSName(B189),"")</f>
        <v/>
      </c>
      <c r="D189" s="345"/>
      <c r="E189" s="378"/>
      <c r="F189" s="297"/>
      <c r="G189" s="297"/>
      <c r="H189" s="297"/>
      <c r="I189" s="297"/>
      <c r="J189" s="297"/>
      <c r="K189" s="297"/>
      <c r="L189" s="297"/>
      <c r="M189" s="297"/>
      <c r="N189" s="379"/>
      <c r="O189" s="272"/>
      <c r="P189" s="272"/>
      <c r="Q189" s="272"/>
      <c r="R189" s="272"/>
      <c r="S189" s="272"/>
      <c r="T189" s="272"/>
      <c r="U189" s="272"/>
      <c r="V189" s="272"/>
      <c r="W189" s="272"/>
      <c r="X189" s="272"/>
      <c r="Y189" s="272"/>
      <c r="Z189" s="272"/>
      <c r="AA189" s="272"/>
      <c r="AB189" s="272"/>
      <c r="AC189" s="272"/>
      <c r="AD189" s="272"/>
      <c r="AE189" s="272"/>
    </row>
    <row r="190" spans="2:31" ht="14.5">
      <c r="B190" s="377">
        <f t="shared" si="6"/>
        <v>145</v>
      </c>
      <c r="C190" s="385" t="str" cm="1">
        <f t="array" aca="1" ref="C190" ca="1">IF(B190&lt;=$C$9,GetGetCDSName(B190),"")</f>
        <v/>
      </c>
      <c r="D190" s="345"/>
      <c r="E190" s="378"/>
      <c r="F190" s="297"/>
      <c r="G190" s="297"/>
      <c r="H190" s="297"/>
      <c r="I190" s="297"/>
      <c r="J190" s="297"/>
      <c r="K190" s="297"/>
      <c r="L190" s="297"/>
      <c r="M190" s="297"/>
      <c r="N190" s="379"/>
      <c r="O190" s="272"/>
      <c r="P190" s="272"/>
      <c r="Q190" s="272"/>
      <c r="R190" s="272"/>
      <c r="S190" s="272"/>
      <c r="T190" s="272"/>
      <c r="U190" s="272"/>
      <c r="V190" s="272"/>
      <c r="W190" s="272"/>
      <c r="X190" s="272"/>
      <c r="Y190" s="272"/>
      <c r="Z190" s="272"/>
      <c r="AA190" s="272"/>
      <c r="AB190" s="272"/>
      <c r="AC190" s="272"/>
      <c r="AD190" s="272"/>
      <c r="AE190" s="272"/>
    </row>
    <row r="191" spans="2:31" ht="14.5">
      <c r="B191" s="377">
        <f t="shared" si="6"/>
        <v>146</v>
      </c>
      <c r="C191" s="385" t="str" cm="1">
        <f t="array" aca="1" ref="C191" ca="1">IF(B191&lt;=$C$9,GetGetCDSName(B191),"")</f>
        <v/>
      </c>
      <c r="D191" s="345"/>
      <c r="E191" s="378"/>
      <c r="F191" s="297"/>
      <c r="G191" s="297"/>
      <c r="H191" s="297"/>
      <c r="I191" s="297"/>
      <c r="J191" s="297"/>
      <c r="K191" s="297"/>
      <c r="L191" s="297"/>
      <c r="M191" s="297"/>
      <c r="N191" s="379"/>
      <c r="O191" s="272"/>
      <c r="P191" s="272"/>
      <c r="Q191" s="272"/>
      <c r="R191" s="272"/>
      <c r="S191" s="272"/>
      <c r="T191" s="272"/>
      <c r="U191" s="272"/>
      <c r="V191" s="272"/>
      <c r="W191" s="272"/>
      <c r="X191" s="272"/>
      <c r="Y191" s="272"/>
      <c r="Z191" s="272"/>
      <c r="AA191" s="272"/>
      <c r="AB191" s="272"/>
      <c r="AC191" s="272"/>
      <c r="AD191" s="272"/>
      <c r="AE191" s="272"/>
    </row>
    <row r="192" spans="2:31" ht="14.5">
      <c r="B192" s="377">
        <f t="shared" si="6"/>
        <v>147</v>
      </c>
      <c r="C192" s="385" t="str" cm="1">
        <f t="array" aca="1" ref="C192" ca="1">IF(B192&lt;=$C$9,GetGetCDSName(B192),"")</f>
        <v/>
      </c>
      <c r="D192" s="345"/>
      <c r="E192" s="378"/>
      <c r="F192" s="297"/>
      <c r="G192" s="297"/>
      <c r="H192" s="297"/>
      <c r="I192" s="297"/>
      <c r="J192" s="297"/>
      <c r="K192" s="297"/>
      <c r="L192" s="297"/>
      <c r="M192" s="297"/>
      <c r="N192" s="379"/>
      <c r="O192" s="272"/>
      <c r="P192" s="272"/>
      <c r="Q192" s="272"/>
      <c r="R192" s="272"/>
      <c r="S192" s="272"/>
      <c r="T192" s="272"/>
      <c r="U192" s="272"/>
      <c r="V192" s="272"/>
      <c r="W192" s="272"/>
      <c r="X192" s="272"/>
      <c r="Y192" s="272"/>
      <c r="Z192" s="272"/>
      <c r="AA192" s="272"/>
      <c r="AB192" s="272"/>
      <c r="AC192" s="272"/>
      <c r="AD192" s="272"/>
      <c r="AE192" s="272"/>
    </row>
    <row r="193" spans="2:31" ht="14.5">
      <c r="B193" s="377">
        <f t="shared" si="6"/>
        <v>148</v>
      </c>
      <c r="C193" s="385" t="str" cm="1">
        <f t="array" aca="1" ref="C193" ca="1">IF(B193&lt;=$C$9,GetGetCDSName(B193),"")</f>
        <v/>
      </c>
      <c r="D193" s="345"/>
      <c r="E193" s="378"/>
      <c r="F193" s="297"/>
      <c r="G193" s="297"/>
      <c r="H193" s="297"/>
      <c r="I193" s="297"/>
      <c r="J193" s="297"/>
      <c r="K193" s="297"/>
      <c r="L193" s="297"/>
      <c r="M193" s="297"/>
      <c r="N193" s="379"/>
      <c r="O193" s="272"/>
      <c r="P193" s="272"/>
      <c r="Q193" s="272"/>
      <c r="R193" s="272"/>
      <c r="S193" s="272"/>
      <c r="T193" s="272"/>
      <c r="U193" s="272"/>
      <c r="V193" s="272"/>
      <c r="W193" s="272"/>
      <c r="X193" s="272"/>
      <c r="Y193" s="272"/>
      <c r="Z193" s="272"/>
      <c r="AA193" s="272"/>
      <c r="AB193" s="272"/>
      <c r="AC193" s="272"/>
      <c r="AD193" s="272"/>
      <c r="AE193" s="272"/>
    </row>
    <row r="194" spans="2:31" ht="14.5">
      <c r="B194" s="377">
        <f t="shared" si="6"/>
        <v>149</v>
      </c>
      <c r="C194" s="385" t="str" cm="1">
        <f t="array" aca="1" ref="C194" ca="1">IF(B194&lt;=$C$9,GetGetCDSName(B194),"")</f>
        <v/>
      </c>
      <c r="D194" s="345"/>
      <c r="E194" s="378"/>
      <c r="F194" s="297"/>
      <c r="G194" s="297"/>
      <c r="H194" s="297"/>
      <c r="I194" s="297"/>
      <c r="J194" s="297"/>
      <c r="K194" s="297"/>
      <c r="L194" s="297"/>
      <c r="M194" s="297"/>
      <c r="N194" s="379"/>
      <c r="O194" s="272"/>
      <c r="P194" s="272"/>
      <c r="Q194" s="272"/>
      <c r="R194" s="272"/>
      <c r="S194" s="272"/>
      <c r="T194" s="272"/>
      <c r="U194" s="272"/>
      <c r="V194" s="272"/>
      <c r="W194" s="272"/>
      <c r="X194" s="272"/>
      <c r="Y194" s="272"/>
      <c r="Z194" s="272"/>
      <c r="AA194" s="272"/>
      <c r="AB194" s="272"/>
      <c r="AC194" s="272"/>
      <c r="AD194" s="272"/>
      <c r="AE194" s="272"/>
    </row>
    <row r="195" spans="2:31" ht="14.5">
      <c r="B195" s="377">
        <f t="shared" si="6"/>
        <v>150</v>
      </c>
      <c r="C195" s="385" t="str" cm="1">
        <f t="array" aca="1" ref="C195" ca="1">IF(B195&lt;=$C$9,GetGetCDSName(B195),"")</f>
        <v/>
      </c>
      <c r="D195" s="345"/>
      <c r="E195" s="378"/>
      <c r="F195" s="297"/>
      <c r="G195" s="297"/>
      <c r="H195" s="297"/>
      <c r="I195" s="297"/>
      <c r="J195" s="297"/>
      <c r="K195" s="297"/>
      <c r="L195" s="297"/>
      <c r="M195" s="297"/>
      <c r="N195" s="379"/>
      <c r="O195" s="272"/>
      <c r="P195" s="272"/>
      <c r="Q195" s="272"/>
      <c r="R195" s="272"/>
      <c r="S195" s="272"/>
      <c r="T195" s="272"/>
      <c r="U195" s="272"/>
      <c r="V195" s="272"/>
      <c r="W195" s="272"/>
      <c r="X195" s="272"/>
      <c r="Y195" s="272"/>
      <c r="Z195" s="272"/>
      <c r="AA195" s="272"/>
      <c r="AB195" s="272"/>
      <c r="AC195" s="272"/>
      <c r="AD195" s="272"/>
      <c r="AE195" s="272"/>
    </row>
    <row r="196" spans="2:31" ht="14.5">
      <c r="B196" s="377">
        <f t="shared" si="6"/>
        <v>151</v>
      </c>
      <c r="C196" s="385" t="str" cm="1">
        <f t="array" aca="1" ref="C196" ca="1">IF(B196&lt;=$C$9,GetGetCDSName(B196),"")</f>
        <v/>
      </c>
      <c r="D196" s="345"/>
      <c r="E196" s="378"/>
      <c r="F196" s="297"/>
      <c r="G196" s="297"/>
      <c r="H196" s="297"/>
      <c r="I196" s="297"/>
      <c r="J196" s="297"/>
      <c r="K196" s="297"/>
      <c r="L196" s="297"/>
      <c r="M196" s="297"/>
      <c r="N196" s="379"/>
      <c r="O196" s="272"/>
      <c r="P196" s="272"/>
      <c r="Q196" s="272"/>
      <c r="R196" s="272"/>
      <c r="S196" s="272"/>
      <c r="T196" s="272"/>
      <c r="U196" s="272"/>
      <c r="V196" s="272"/>
      <c r="W196" s="272"/>
      <c r="X196" s="272"/>
      <c r="Y196" s="272"/>
      <c r="Z196" s="272"/>
      <c r="AA196" s="272"/>
      <c r="AB196" s="272"/>
      <c r="AC196" s="272"/>
      <c r="AD196" s="272"/>
      <c r="AE196" s="272"/>
    </row>
    <row r="197" spans="2:31" ht="14.5">
      <c r="B197" s="377">
        <f t="shared" si="6"/>
        <v>152</v>
      </c>
      <c r="C197" s="385" t="str" cm="1">
        <f t="array" aca="1" ref="C197" ca="1">IF(B197&lt;=$C$9,GetGetCDSName(B197),"")</f>
        <v/>
      </c>
      <c r="D197" s="345"/>
      <c r="E197" s="378"/>
      <c r="F197" s="297"/>
      <c r="G197" s="297"/>
      <c r="H197" s="297"/>
      <c r="I197" s="297"/>
      <c r="J197" s="297"/>
      <c r="K197" s="297"/>
      <c r="L197" s="297"/>
      <c r="M197" s="297"/>
      <c r="N197" s="379"/>
      <c r="O197" s="272"/>
      <c r="P197" s="272"/>
      <c r="Q197" s="272"/>
      <c r="R197" s="272"/>
      <c r="S197" s="272"/>
      <c r="T197" s="272"/>
      <c r="U197" s="272"/>
      <c r="V197" s="272"/>
      <c r="W197" s="272"/>
      <c r="X197" s="272"/>
      <c r="Y197" s="272"/>
      <c r="Z197" s="272"/>
      <c r="AA197" s="272"/>
      <c r="AB197" s="272"/>
      <c r="AC197" s="272"/>
      <c r="AD197" s="272"/>
      <c r="AE197" s="272"/>
    </row>
    <row r="198" spans="2:31" ht="14.5">
      <c r="B198" s="377">
        <f t="shared" si="6"/>
        <v>153</v>
      </c>
      <c r="C198" s="385" t="str" cm="1">
        <f t="array" aca="1" ref="C198" ca="1">IF(B198&lt;=$C$9,GetGetCDSName(B198),"")</f>
        <v/>
      </c>
      <c r="D198" s="345"/>
      <c r="E198" s="378"/>
      <c r="F198" s="297"/>
      <c r="G198" s="297"/>
      <c r="H198" s="297"/>
      <c r="I198" s="297"/>
      <c r="J198" s="297"/>
      <c r="K198" s="297"/>
      <c r="L198" s="297"/>
      <c r="M198" s="297"/>
      <c r="N198" s="379"/>
      <c r="O198" s="272"/>
      <c r="P198" s="272"/>
      <c r="Q198" s="272"/>
      <c r="R198" s="272"/>
      <c r="S198" s="272"/>
      <c r="T198" s="272"/>
      <c r="U198" s="272"/>
      <c r="V198" s="272"/>
      <c r="W198" s="272"/>
      <c r="X198" s="272"/>
      <c r="Y198" s="272"/>
      <c r="Z198" s="272"/>
      <c r="AA198" s="272"/>
      <c r="AB198" s="272"/>
      <c r="AC198" s="272"/>
      <c r="AD198" s="272"/>
      <c r="AE198" s="272"/>
    </row>
    <row r="199" spans="2:31" ht="14.5">
      <c r="B199" s="377">
        <f t="shared" si="6"/>
        <v>154</v>
      </c>
      <c r="C199" s="385" t="str" cm="1">
        <f t="array" aca="1" ref="C199" ca="1">IF(B199&lt;=$C$9,GetGetCDSName(B199),"")</f>
        <v/>
      </c>
      <c r="D199" s="345"/>
      <c r="E199" s="378"/>
      <c r="F199" s="297"/>
      <c r="G199" s="297"/>
      <c r="H199" s="297"/>
      <c r="I199" s="297"/>
      <c r="J199" s="297"/>
      <c r="K199" s="297"/>
      <c r="L199" s="297"/>
      <c r="M199" s="297"/>
      <c r="N199" s="379"/>
      <c r="O199" s="272"/>
      <c r="P199" s="272"/>
      <c r="Q199" s="272"/>
      <c r="R199" s="272"/>
      <c r="S199" s="272"/>
      <c r="T199" s="272"/>
      <c r="U199" s="272"/>
      <c r="V199" s="272"/>
      <c r="W199" s="272"/>
      <c r="X199" s="272"/>
      <c r="Y199" s="272"/>
      <c r="Z199" s="272"/>
      <c r="AA199" s="272"/>
      <c r="AB199" s="272"/>
      <c r="AC199" s="272"/>
      <c r="AD199" s="272"/>
      <c r="AE199" s="272"/>
    </row>
    <row r="200" spans="2:31" ht="14.5">
      <c r="B200" s="377">
        <f t="shared" si="6"/>
        <v>155</v>
      </c>
      <c r="C200" s="385" t="str" cm="1">
        <f t="array" aca="1" ref="C200" ca="1">IF(B200&lt;=$C$9,GetGetCDSName(B200),"")</f>
        <v/>
      </c>
      <c r="D200" s="345"/>
      <c r="E200" s="378"/>
      <c r="F200" s="297"/>
      <c r="G200" s="297"/>
      <c r="H200" s="297"/>
      <c r="I200" s="297"/>
      <c r="J200" s="297"/>
      <c r="K200" s="297"/>
      <c r="L200" s="297"/>
      <c r="M200" s="297"/>
      <c r="N200" s="379"/>
      <c r="O200" s="272"/>
      <c r="P200" s="272"/>
      <c r="Q200" s="272"/>
      <c r="R200" s="272"/>
      <c r="S200" s="272"/>
      <c r="T200" s="272"/>
      <c r="U200" s="272"/>
      <c r="V200" s="272"/>
      <c r="W200" s="272"/>
      <c r="X200" s="272"/>
      <c r="Y200" s="272"/>
      <c r="Z200" s="272"/>
      <c r="AA200" s="272"/>
      <c r="AB200" s="272"/>
      <c r="AC200" s="272"/>
      <c r="AD200" s="272"/>
      <c r="AE200" s="272"/>
    </row>
    <row r="201" spans="2:31" ht="14.5">
      <c r="B201" s="377">
        <f t="shared" si="6"/>
        <v>156</v>
      </c>
      <c r="C201" s="385" t="str" cm="1">
        <f t="array" aca="1" ref="C201" ca="1">IF(B201&lt;=$C$9,GetGetCDSName(B201),"")</f>
        <v/>
      </c>
      <c r="D201" s="345"/>
      <c r="E201" s="378"/>
      <c r="F201" s="297"/>
      <c r="G201" s="297"/>
      <c r="H201" s="297"/>
      <c r="I201" s="297"/>
      <c r="J201" s="297"/>
      <c r="K201" s="297"/>
      <c r="L201" s="297"/>
      <c r="M201" s="297"/>
      <c r="N201" s="379"/>
      <c r="O201" s="272"/>
      <c r="P201" s="272"/>
      <c r="Q201" s="272"/>
      <c r="R201" s="272"/>
      <c r="S201" s="272"/>
      <c r="T201" s="272"/>
      <c r="U201" s="272"/>
      <c r="V201" s="272"/>
      <c r="W201" s="272"/>
      <c r="X201" s="272"/>
      <c r="Y201" s="272"/>
      <c r="Z201" s="272"/>
      <c r="AA201" s="272"/>
      <c r="AB201" s="272"/>
      <c r="AC201" s="272"/>
      <c r="AD201" s="272"/>
      <c r="AE201" s="272"/>
    </row>
    <row r="202" spans="2:31" ht="14.5">
      <c r="B202" s="377">
        <f t="shared" si="6"/>
        <v>157</v>
      </c>
      <c r="C202" s="385" t="str" cm="1">
        <f t="array" aca="1" ref="C202" ca="1">IF(B202&lt;=$C$9,GetGetCDSName(B202),"")</f>
        <v/>
      </c>
      <c r="D202" s="345"/>
      <c r="E202" s="378"/>
      <c r="F202" s="297"/>
      <c r="G202" s="297"/>
      <c r="H202" s="297"/>
      <c r="I202" s="297"/>
      <c r="J202" s="297"/>
      <c r="K202" s="297"/>
      <c r="L202" s="297"/>
      <c r="M202" s="297"/>
      <c r="N202" s="379"/>
      <c r="O202" s="272"/>
      <c r="P202" s="272"/>
      <c r="Q202" s="272"/>
      <c r="R202" s="272"/>
      <c r="S202" s="272"/>
      <c r="T202" s="272"/>
      <c r="U202" s="272"/>
      <c r="V202" s="272"/>
      <c r="W202" s="272"/>
      <c r="X202" s="272"/>
      <c r="Y202" s="272"/>
      <c r="Z202" s="272"/>
      <c r="AA202" s="272"/>
      <c r="AB202" s="272"/>
      <c r="AC202" s="272"/>
      <c r="AD202" s="272"/>
      <c r="AE202" s="272"/>
    </row>
    <row r="203" spans="2:31" ht="14.5">
      <c r="B203" s="377">
        <f t="shared" si="6"/>
        <v>158</v>
      </c>
      <c r="C203" s="385" t="str" cm="1">
        <f t="array" aca="1" ref="C203" ca="1">IF(B203&lt;=$C$9,GetGetCDSName(B203),"")</f>
        <v/>
      </c>
      <c r="D203" s="345"/>
      <c r="E203" s="378"/>
      <c r="F203" s="297"/>
      <c r="G203" s="297"/>
      <c r="H203" s="297"/>
      <c r="I203" s="297"/>
      <c r="J203" s="297"/>
      <c r="K203" s="297"/>
      <c r="L203" s="297"/>
      <c r="M203" s="297"/>
      <c r="N203" s="379"/>
      <c r="O203" s="272"/>
      <c r="P203" s="272"/>
      <c r="Q203" s="272"/>
      <c r="R203" s="272"/>
      <c r="S203" s="272"/>
      <c r="T203" s="272"/>
      <c r="U203" s="272"/>
      <c r="V203" s="272"/>
      <c r="W203" s="272"/>
      <c r="X203" s="272"/>
      <c r="Y203" s="272"/>
      <c r="Z203" s="272"/>
      <c r="AA203" s="272"/>
      <c r="AB203" s="272"/>
      <c r="AC203" s="272"/>
      <c r="AD203" s="272"/>
      <c r="AE203" s="272"/>
    </row>
    <row r="204" spans="2:31" ht="14.5">
      <c r="B204" s="377">
        <f t="shared" si="6"/>
        <v>159</v>
      </c>
      <c r="C204" s="385" t="str" cm="1">
        <f t="array" aca="1" ref="C204" ca="1">IF(B204&lt;=$C$9,GetGetCDSName(B204),"")</f>
        <v/>
      </c>
      <c r="D204" s="345"/>
      <c r="E204" s="378"/>
      <c r="F204" s="297"/>
      <c r="G204" s="297"/>
      <c r="H204" s="297"/>
      <c r="I204" s="297"/>
      <c r="J204" s="297"/>
      <c r="K204" s="297"/>
      <c r="L204" s="297"/>
      <c r="M204" s="297"/>
      <c r="N204" s="379"/>
      <c r="O204" s="272"/>
      <c r="P204" s="272"/>
      <c r="Q204" s="272"/>
      <c r="R204" s="272"/>
      <c r="S204" s="272"/>
      <c r="T204" s="272"/>
      <c r="U204" s="272"/>
      <c r="V204" s="272"/>
      <c r="W204" s="272"/>
      <c r="X204" s="272"/>
      <c r="Y204" s="272"/>
      <c r="Z204" s="272"/>
      <c r="AA204" s="272"/>
      <c r="AB204" s="272"/>
      <c r="AC204" s="272"/>
      <c r="AD204" s="272"/>
      <c r="AE204" s="272"/>
    </row>
    <row r="205" spans="2:31" ht="14.5">
      <c r="B205" s="377">
        <f t="shared" si="6"/>
        <v>160</v>
      </c>
      <c r="C205" s="385" t="str" cm="1">
        <f t="array" aca="1" ref="C205" ca="1">IF(B205&lt;=$C$9,GetGetCDSName(B205),"")</f>
        <v/>
      </c>
      <c r="D205" s="345"/>
      <c r="E205" s="378"/>
      <c r="F205" s="297"/>
      <c r="G205" s="297"/>
      <c r="H205" s="297"/>
      <c r="I205" s="297"/>
      <c r="J205" s="297"/>
      <c r="K205" s="297"/>
      <c r="L205" s="297"/>
      <c r="M205" s="297"/>
      <c r="N205" s="379"/>
      <c r="O205" s="272"/>
      <c r="P205" s="272"/>
      <c r="Q205" s="272"/>
      <c r="R205" s="272"/>
      <c r="S205" s="272"/>
      <c r="T205" s="272"/>
      <c r="U205" s="272"/>
      <c r="V205" s="272"/>
      <c r="W205" s="272"/>
      <c r="X205" s="272"/>
      <c r="Y205" s="272"/>
      <c r="Z205" s="272"/>
      <c r="AA205" s="272"/>
      <c r="AB205" s="272"/>
      <c r="AC205" s="272"/>
      <c r="AD205" s="272"/>
      <c r="AE205" s="272"/>
    </row>
    <row r="206" spans="2:31" ht="14.5">
      <c r="B206" s="377">
        <f t="shared" si="6"/>
        <v>161</v>
      </c>
      <c r="C206" s="385" t="str" cm="1">
        <f t="array" aca="1" ref="C206" ca="1">IF(B206&lt;=$C$9,GetGetCDSName(B206),"")</f>
        <v/>
      </c>
      <c r="D206" s="345"/>
      <c r="E206" s="378"/>
      <c r="F206" s="297"/>
      <c r="G206" s="297"/>
      <c r="H206" s="297"/>
      <c r="I206" s="297"/>
      <c r="J206" s="297"/>
      <c r="K206" s="297"/>
      <c r="L206" s="297"/>
      <c r="M206" s="297"/>
      <c r="N206" s="379"/>
      <c r="O206" s="272"/>
      <c r="P206" s="272"/>
      <c r="Q206" s="272"/>
      <c r="R206" s="272"/>
      <c r="S206" s="272"/>
      <c r="T206" s="272"/>
      <c r="U206" s="272"/>
      <c r="V206" s="272"/>
      <c r="W206" s="272"/>
      <c r="X206" s="272"/>
      <c r="Y206" s="272"/>
      <c r="Z206" s="272"/>
      <c r="AA206" s="272"/>
      <c r="AB206" s="272"/>
      <c r="AC206" s="272"/>
      <c r="AD206" s="272"/>
      <c r="AE206" s="272"/>
    </row>
    <row r="207" spans="2:31" ht="14.5">
      <c r="B207" s="377">
        <f t="shared" si="6"/>
        <v>162</v>
      </c>
      <c r="C207" s="385" t="str" cm="1">
        <f t="array" aca="1" ref="C207" ca="1">IF(B207&lt;=$C$9,GetGetCDSName(B207),"")</f>
        <v/>
      </c>
      <c r="D207" s="345"/>
      <c r="E207" s="378"/>
      <c r="F207" s="297"/>
      <c r="G207" s="297"/>
      <c r="H207" s="297"/>
      <c r="I207" s="297"/>
      <c r="J207" s="297"/>
      <c r="K207" s="297"/>
      <c r="L207" s="297"/>
      <c r="M207" s="297"/>
      <c r="N207" s="379"/>
      <c r="O207" s="272"/>
      <c r="P207" s="272"/>
      <c r="Q207" s="272"/>
      <c r="R207" s="272"/>
      <c r="S207" s="272"/>
      <c r="T207" s="272"/>
      <c r="U207" s="272"/>
      <c r="V207" s="272"/>
      <c r="W207" s="272"/>
      <c r="X207" s="272"/>
      <c r="Y207" s="272"/>
      <c r="Z207" s="272"/>
      <c r="AA207" s="272"/>
      <c r="AB207" s="272"/>
      <c r="AC207" s="272"/>
      <c r="AD207" s="272"/>
      <c r="AE207" s="272"/>
    </row>
    <row r="208" spans="2:31" ht="14.5">
      <c r="B208" s="377">
        <f t="shared" si="6"/>
        <v>163</v>
      </c>
      <c r="C208" s="385" t="str" cm="1">
        <f t="array" aca="1" ref="C208" ca="1">IF(B208&lt;=$C$9,GetGetCDSName(B208),"")</f>
        <v/>
      </c>
      <c r="D208" s="345"/>
      <c r="E208" s="378"/>
      <c r="F208" s="297"/>
      <c r="G208" s="297"/>
      <c r="H208" s="297"/>
      <c r="I208" s="297"/>
      <c r="J208" s="297"/>
      <c r="K208" s="297"/>
      <c r="L208" s="297"/>
      <c r="M208" s="297"/>
      <c r="N208" s="379"/>
      <c r="O208" s="272"/>
      <c r="P208" s="272"/>
      <c r="Q208" s="272"/>
      <c r="R208" s="272"/>
      <c r="S208" s="272"/>
      <c r="T208" s="272"/>
      <c r="U208" s="272"/>
      <c r="V208" s="272"/>
      <c r="W208" s="272"/>
      <c r="X208" s="272"/>
      <c r="Y208" s="272"/>
      <c r="Z208" s="272"/>
      <c r="AA208" s="272"/>
      <c r="AB208" s="272"/>
      <c r="AC208" s="272"/>
      <c r="AD208" s="272"/>
      <c r="AE208" s="272"/>
    </row>
    <row r="209" spans="2:31" ht="14.5">
      <c r="B209" s="377">
        <f t="shared" si="6"/>
        <v>164</v>
      </c>
      <c r="C209" s="385" t="str" cm="1">
        <f t="array" aca="1" ref="C209" ca="1">IF(B209&lt;=$C$9,GetGetCDSName(B209),"")</f>
        <v/>
      </c>
      <c r="D209" s="345"/>
      <c r="E209" s="378"/>
      <c r="F209" s="297"/>
      <c r="G209" s="297"/>
      <c r="H209" s="297"/>
      <c r="I209" s="297"/>
      <c r="J209" s="297"/>
      <c r="K209" s="297"/>
      <c r="L209" s="297"/>
      <c r="M209" s="297"/>
      <c r="N209" s="379"/>
      <c r="O209" s="272"/>
      <c r="P209" s="272"/>
      <c r="Q209" s="272"/>
      <c r="R209" s="272"/>
      <c r="S209" s="272"/>
      <c r="T209" s="272"/>
      <c r="U209" s="272"/>
      <c r="V209" s="272"/>
      <c r="W209" s="272"/>
      <c r="X209" s="272"/>
      <c r="Y209" s="272"/>
      <c r="Z209" s="272"/>
      <c r="AA209" s="272"/>
      <c r="AB209" s="272"/>
      <c r="AC209" s="272"/>
      <c r="AD209" s="272"/>
      <c r="AE209" s="272"/>
    </row>
    <row r="210" spans="2:31" ht="14.5">
      <c r="B210" s="377">
        <f t="shared" si="6"/>
        <v>165</v>
      </c>
      <c r="C210" s="385" t="str" cm="1">
        <f t="array" aca="1" ref="C210" ca="1">IF(B210&lt;=$C$9,GetGetCDSName(B210),"")</f>
        <v/>
      </c>
      <c r="D210" s="345"/>
      <c r="E210" s="378"/>
      <c r="F210" s="297"/>
      <c r="G210" s="297"/>
      <c r="H210" s="297"/>
      <c r="I210" s="297"/>
      <c r="J210" s="297"/>
      <c r="K210" s="297"/>
      <c r="L210" s="297"/>
      <c r="M210" s="297"/>
      <c r="N210" s="379"/>
      <c r="O210" s="272"/>
      <c r="P210" s="272"/>
      <c r="Q210" s="272"/>
      <c r="R210" s="272"/>
      <c r="S210" s="272"/>
      <c r="T210" s="272"/>
      <c r="U210" s="272"/>
      <c r="V210" s="272"/>
      <c r="W210" s="272"/>
      <c r="X210" s="272"/>
      <c r="Y210" s="272"/>
      <c r="Z210" s="272"/>
      <c r="AA210" s="272"/>
      <c r="AB210" s="272"/>
      <c r="AC210" s="272"/>
      <c r="AD210" s="272"/>
      <c r="AE210" s="272"/>
    </row>
    <row r="211" spans="2:31" ht="14.5">
      <c r="B211" s="377">
        <f t="shared" si="6"/>
        <v>166</v>
      </c>
      <c r="C211" s="385" t="str" cm="1">
        <f t="array" aca="1" ref="C211" ca="1">IF(B211&lt;=$C$9,GetGetCDSName(B211),"")</f>
        <v/>
      </c>
      <c r="D211" s="345"/>
      <c r="E211" s="378"/>
      <c r="F211" s="297"/>
      <c r="G211" s="297"/>
      <c r="H211" s="297"/>
      <c r="I211" s="297"/>
      <c r="J211" s="297"/>
      <c r="K211" s="297"/>
      <c r="L211" s="297"/>
      <c r="M211" s="297"/>
      <c r="N211" s="379"/>
      <c r="O211" s="272"/>
      <c r="P211" s="272"/>
      <c r="Q211" s="272"/>
      <c r="R211" s="272"/>
      <c r="S211" s="272"/>
      <c r="T211" s="272"/>
      <c r="U211" s="272"/>
      <c r="V211" s="272"/>
      <c r="W211" s="272"/>
      <c r="X211" s="272"/>
      <c r="Y211" s="272"/>
      <c r="Z211" s="272"/>
      <c r="AA211" s="272"/>
      <c r="AB211" s="272"/>
      <c r="AC211" s="272"/>
      <c r="AD211" s="272"/>
      <c r="AE211" s="272"/>
    </row>
    <row r="212" spans="2:31" ht="14.5">
      <c r="B212" s="377">
        <f t="shared" si="6"/>
        <v>167</v>
      </c>
      <c r="C212" s="385" t="str" cm="1">
        <f t="array" aca="1" ref="C212" ca="1">IF(B212&lt;=$C$9,GetGetCDSName(B212),"")</f>
        <v/>
      </c>
      <c r="D212" s="345"/>
      <c r="E212" s="378"/>
      <c r="F212" s="297"/>
      <c r="G212" s="297"/>
      <c r="H212" s="297"/>
      <c r="I212" s="297"/>
      <c r="J212" s="297"/>
      <c r="K212" s="297"/>
      <c r="L212" s="297"/>
      <c r="M212" s="297"/>
      <c r="N212" s="379"/>
      <c r="O212" s="272"/>
      <c r="P212" s="272"/>
      <c r="Q212" s="272"/>
      <c r="R212" s="272"/>
      <c r="S212" s="272"/>
      <c r="T212" s="272"/>
      <c r="U212" s="272"/>
      <c r="V212" s="272"/>
      <c r="W212" s="272"/>
      <c r="X212" s="272"/>
      <c r="Y212" s="272"/>
      <c r="Z212" s="272"/>
      <c r="AA212" s="272"/>
      <c r="AB212" s="272"/>
      <c r="AC212" s="272"/>
      <c r="AD212" s="272"/>
      <c r="AE212" s="272"/>
    </row>
    <row r="213" spans="2:31" ht="14.5">
      <c r="B213" s="377">
        <f t="shared" si="6"/>
        <v>168</v>
      </c>
      <c r="C213" s="385" t="str" cm="1">
        <f t="array" aca="1" ref="C213" ca="1">IF(B213&lt;=$C$9,GetGetCDSName(B213),"")</f>
        <v/>
      </c>
      <c r="D213" s="345"/>
      <c r="E213" s="378"/>
      <c r="F213" s="297"/>
      <c r="G213" s="297"/>
      <c r="H213" s="297"/>
      <c r="I213" s="297"/>
      <c r="J213" s="297"/>
      <c r="K213" s="297"/>
      <c r="L213" s="297"/>
      <c r="M213" s="297"/>
      <c r="N213" s="379"/>
      <c r="O213" s="272"/>
      <c r="P213" s="272"/>
      <c r="Q213" s="272"/>
      <c r="R213" s="272"/>
      <c r="S213" s="272"/>
      <c r="T213" s="272"/>
      <c r="U213" s="272"/>
      <c r="V213" s="272"/>
      <c r="W213" s="272"/>
      <c r="X213" s="272"/>
      <c r="Y213" s="272"/>
      <c r="Z213" s="272"/>
      <c r="AA213" s="272"/>
      <c r="AB213" s="272"/>
      <c r="AC213" s="272"/>
      <c r="AD213" s="272"/>
      <c r="AE213" s="272"/>
    </row>
    <row r="214" spans="2:31" ht="14.5">
      <c r="B214" s="377">
        <f t="shared" si="6"/>
        <v>169</v>
      </c>
      <c r="C214" s="385" t="str" cm="1">
        <f t="array" aca="1" ref="C214" ca="1">IF(B214&lt;=$C$9,GetGetCDSName(B214),"")</f>
        <v/>
      </c>
      <c r="D214" s="345"/>
      <c r="E214" s="378"/>
      <c r="F214" s="297"/>
      <c r="G214" s="297"/>
      <c r="H214" s="297"/>
      <c r="I214" s="297"/>
      <c r="J214" s="297"/>
      <c r="K214" s="297"/>
      <c r="L214" s="297"/>
      <c r="M214" s="297"/>
      <c r="N214" s="379"/>
      <c r="O214" s="272"/>
      <c r="P214" s="272"/>
      <c r="Q214" s="272"/>
      <c r="R214" s="272"/>
      <c r="S214" s="272"/>
      <c r="T214" s="272"/>
      <c r="U214" s="272"/>
      <c r="V214" s="272"/>
      <c r="W214" s="272"/>
      <c r="X214" s="272"/>
      <c r="Y214" s="272"/>
      <c r="Z214" s="272"/>
      <c r="AA214" s="272"/>
      <c r="AB214" s="272"/>
      <c r="AC214" s="272"/>
      <c r="AD214" s="272"/>
      <c r="AE214" s="272"/>
    </row>
    <row r="215" spans="2:31" ht="14.5">
      <c r="B215" s="377">
        <f t="shared" si="6"/>
        <v>170</v>
      </c>
      <c r="C215" s="385" t="str" cm="1">
        <f t="array" aca="1" ref="C215" ca="1">IF(B215&lt;=$C$9,GetGetCDSName(B215),"")</f>
        <v/>
      </c>
      <c r="D215" s="345"/>
      <c r="E215" s="378"/>
      <c r="F215" s="297"/>
      <c r="G215" s="297"/>
      <c r="H215" s="297"/>
      <c r="I215" s="297"/>
      <c r="J215" s="297"/>
      <c r="K215" s="297"/>
      <c r="L215" s="297"/>
      <c r="M215" s="297"/>
      <c r="N215" s="379"/>
      <c r="O215" s="272"/>
      <c r="P215" s="272"/>
      <c r="Q215" s="272"/>
      <c r="R215" s="272"/>
      <c r="S215" s="272"/>
      <c r="T215" s="272"/>
      <c r="U215" s="272"/>
      <c r="V215" s="272"/>
      <c r="W215" s="272"/>
      <c r="X215" s="272"/>
      <c r="Y215" s="272"/>
      <c r="Z215" s="272"/>
      <c r="AA215" s="272"/>
      <c r="AB215" s="272"/>
      <c r="AC215" s="272"/>
      <c r="AD215" s="272"/>
      <c r="AE215" s="272"/>
    </row>
    <row r="216" spans="2:31" ht="14.5">
      <c r="B216" s="377">
        <f t="shared" si="6"/>
        <v>171</v>
      </c>
      <c r="C216" s="385" t="str" cm="1">
        <f t="array" aca="1" ref="C216" ca="1">IF(B216&lt;=$C$9,GetGetCDSName(B216),"")</f>
        <v/>
      </c>
      <c r="D216" s="345"/>
      <c r="E216" s="378"/>
      <c r="F216" s="297"/>
      <c r="G216" s="297"/>
      <c r="H216" s="297"/>
      <c r="I216" s="297"/>
      <c r="J216" s="297"/>
      <c r="K216" s="297"/>
      <c r="L216" s="297"/>
      <c r="M216" s="297"/>
      <c r="N216" s="379"/>
      <c r="O216" s="272"/>
      <c r="P216" s="272"/>
      <c r="Q216" s="272"/>
      <c r="R216" s="272"/>
      <c r="S216" s="272"/>
      <c r="T216" s="272"/>
      <c r="U216" s="272"/>
      <c r="V216" s="272"/>
      <c r="W216" s="272"/>
      <c r="X216" s="272"/>
      <c r="Y216" s="272"/>
      <c r="Z216" s="272"/>
      <c r="AA216" s="272"/>
      <c r="AB216" s="272"/>
      <c r="AC216" s="272"/>
      <c r="AD216" s="272"/>
      <c r="AE216" s="272"/>
    </row>
    <row r="217" spans="2:31" ht="14.5">
      <c r="B217" s="377">
        <f t="shared" si="6"/>
        <v>172</v>
      </c>
      <c r="C217" s="385" t="str" cm="1">
        <f t="array" aca="1" ref="C217" ca="1">IF(B217&lt;=$C$9,GetGetCDSName(B217),"")</f>
        <v/>
      </c>
      <c r="D217" s="345"/>
      <c r="E217" s="378"/>
      <c r="F217" s="297"/>
      <c r="G217" s="297"/>
      <c r="H217" s="297"/>
      <c r="I217" s="297"/>
      <c r="J217" s="297"/>
      <c r="K217" s="297"/>
      <c r="L217" s="297"/>
      <c r="M217" s="297"/>
      <c r="N217" s="379"/>
      <c r="O217" s="272"/>
      <c r="P217" s="272"/>
      <c r="Q217" s="272"/>
      <c r="R217" s="272"/>
      <c r="S217" s="272"/>
      <c r="T217" s="272"/>
      <c r="U217" s="272"/>
      <c r="V217" s="272"/>
      <c r="W217" s="272"/>
      <c r="X217" s="272"/>
      <c r="Y217" s="272"/>
      <c r="Z217" s="272"/>
      <c r="AA217" s="272"/>
      <c r="AB217" s="272"/>
      <c r="AC217" s="272"/>
      <c r="AD217" s="272"/>
      <c r="AE217" s="272"/>
    </row>
    <row r="218" spans="2:31" ht="14.5">
      <c r="B218" s="377">
        <f t="shared" si="6"/>
        <v>173</v>
      </c>
      <c r="C218" s="385" t="str" cm="1">
        <f t="array" aca="1" ref="C218" ca="1">IF(B218&lt;=$C$9,GetGetCDSName(B218),"")</f>
        <v/>
      </c>
      <c r="D218" s="345"/>
      <c r="E218" s="378"/>
      <c r="F218" s="297"/>
      <c r="G218" s="297"/>
      <c r="H218" s="297"/>
      <c r="I218" s="297"/>
      <c r="J218" s="297"/>
      <c r="K218" s="297"/>
      <c r="L218" s="297"/>
      <c r="M218" s="297"/>
      <c r="N218" s="379"/>
      <c r="O218" s="272"/>
      <c r="P218" s="272"/>
      <c r="Q218" s="272"/>
      <c r="R218" s="272"/>
      <c r="S218" s="272"/>
      <c r="T218" s="272"/>
      <c r="U218" s="272"/>
      <c r="V218" s="272"/>
      <c r="W218" s="272"/>
      <c r="X218" s="272"/>
      <c r="Y218" s="272"/>
      <c r="Z218" s="272"/>
      <c r="AA218" s="272"/>
      <c r="AB218" s="272"/>
      <c r="AC218" s="272"/>
      <c r="AD218" s="272"/>
      <c r="AE218" s="272"/>
    </row>
    <row r="219" spans="2:31" ht="14.5">
      <c r="B219" s="377">
        <f t="shared" si="6"/>
        <v>174</v>
      </c>
      <c r="C219" s="385" t="str" cm="1">
        <f t="array" aca="1" ref="C219" ca="1">IF(B219&lt;=$C$9,GetGetCDSName(B219),"")</f>
        <v/>
      </c>
      <c r="D219" s="345"/>
      <c r="E219" s="378"/>
      <c r="F219" s="297"/>
      <c r="G219" s="297"/>
      <c r="H219" s="297"/>
      <c r="I219" s="297"/>
      <c r="J219" s="297"/>
      <c r="K219" s="297"/>
      <c r="L219" s="297"/>
      <c r="M219" s="297"/>
      <c r="N219" s="379"/>
      <c r="O219" s="272"/>
      <c r="P219" s="272"/>
      <c r="Q219" s="272"/>
      <c r="R219" s="272"/>
      <c r="S219" s="272"/>
      <c r="T219" s="272"/>
      <c r="U219" s="272"/>
      <c r="V219" s="272"/>
      <c r="W219" s="272"/>
      <c r="X219" s="272"/>
      <c r="Y219" s="272"/>
      <c r="Z219" s="272"/>
      <c r="AA219" s="272"/>
      <c r="AB219" s="272"/>
      <c r="AC219" s="272"/>
      <c r="AD219" s="272"/>
      <c r="AE219" s="272"/>
    </row>
    <row r="220" spans="2:31" ht="14.5">
      <c r="B220" s="377">
        <f t="shared" si="6"/>
        <v>175</v>
      </c>
      <c r="C220" s="385" t="str" cm="1">
        <f t="array" aca="1" ref="C220" ca="1">IF(B220&lt;=$C$9,GetGetCDSName(B220),"")</f>
        <v/>
      </c>
      <c r="D220" s="345"/>
      <c r="E220" s="378"/>
      <c r="F220" s="297"/>
      <c r="G220" s="297"/>
      <c r="H220" s="297"/>
      <c r="I220" s="297"/>
      <c r="J220" s="297"/>
      <c r="K220" s="297"/>
      <c r="L220" s="297"/>
      <c r="M220" s="297"/>
      <c r="N220" s="379"/>
      <c r="O220" s="272"/>
      <c r="P220" s="272"/>
      <c r="Q220" s="272"/>
      <c r="R220" s="272"/>
      <c r="S220" s="272"/>
      <c r="T220" s="272"/>
      <c r="U220" s="272"/>
      <c r="V220" s="272"/>
      <c r="W220" s="272"/>
      <c r="X220" s="272"/>
      <c r="Y220" s="272"/>
      <c r="Z220" s="272"/>
      <c r="AA220" s="272"/>
      <c r="AB220" s="272"/>
      <c r="AC220" s="272"/>
      <c r="AD220" s="272"/>
      <c r="AE220" s="272"/>
    </row>
    <row r="221" spans="2:31" ht="14.5">
      <c r="B221" s="377">
        <f t="shared" si="6"/>
        <v>176</v>
      </c>
      <c r="C221" s="385" t="str" cm="1">
        <f t="array" aca="1" ref="C221" ca="1">IF(B221&lt;=$C$9,GetGetCDSName(B221),"")</f>
        <v/>
      </c>
      <c r="D221" s="345"/>
      <c r="E221" s="378"/>
      <c r="F221" s="297"/>
      <c r="G221" s="297"/>
      <c r="H221" s="297"/>
      <c r="I221" s="297"/>
      <c r="J221" s="297"/>
      <c r="K221" s="297"/>
      <c r="L221" s="297"/>
      <c r="M221" s="297"/>
      <c r="N221" s="379"/>
      <c r="O221" s="272"/>
      <c r="P221" s="272"/>
      <c r="Q221" s="272"/>
      <c r="R221" s="272"/>
      <c r="S221" s="272"/>
      <c r="T221" s="272"/>
      <c r="U221" s="272"/>
      <c r="V221" s="272"/>
      <c r="W221" s="272"/>
      <c r="X221" s="272"/>
      <c r="Y221" s="272"/>
      <c r="Z221" s="272"/>
      <c r="AA221" s="272"/>
      <c r="AB221" s="272"/>
      <c r="AC221" s="272"/>
      <c r="AD221" s="272"/>
      <c r="AE221" s="272"/>
    </row>
    <row r="222" spans="2:31" ht="14.5">
      <c r="B222" s="377">
        <f t="shared" si="6"/>
        <v>177</v>
      </c>
      <c r="C222" s="385" t="str" cm="1">
        <f t="array" aca="1" ref="C222" ca="1">IF(B222&lt;=$C$9,GetGetCDSName(B222),"")</f>
        <v/>
      </c>
      <c r="D222" s="345"/>
      <c r="E222" s="378"/>
      <c r="F222" s="297"/>
      <c r="G222" s="297"/>
      <c r="H222" s="297"/>
      <c r="I222" s="297"/>
      <c r="J222" s="297"/>
      <c r="K222" s="297"/>
      <c r="L222" s="297"/>
      <c r="M222" s="297"/>
      <c r="N222" s="379"/>
      <c r="O222" s="272"/>
      <c r="P222" s="272"/>
      <c r="Q222" s="272"/>
      <c r="R222" s="272"/>
      <c r="S222" s="272"/>
      <c r="T222" s="272"/>
      <c r="U222" s="272"/>
      <c r="V222" s="272"/>
      <c r="W222" s="272"/>
      <c r="X222" s="272"/>
      <c r="Y222" s="272"/>
      <c r="Z222" s="272"/>
      <c r="AA222" s="272"/>
      <c r="AB222" s="272"/>
      <c r="AC222" s="272"/>
      <c r="AD222" s="272"/>
      <c r="AE222" s="272"/>
    </row>
    <row r="223" spans="2:31" ht="14.5">
      <c r="B223" s="377">
        <f t="shared" si="6"/>
        <v>178</v>
      </c>
      <c r="C223" s="385" t="str" cm="1">
        <f t="array" aca="1" ref="C223" ca="1">IF(B223&lt;=$C$9,GetGetCDSName(B223),"")</f>
        <v/>
      </c>
      <c r="D223" s="345"/>
      <c r="E223" s="378"/>
      <c r="F223" s="297"/>
      <c r="G223" s="297"/>
      <c r="H223" s="297"/>
      <c r="I223" s="297"/>
      <c r="J223" s="297"/>
      <c r="K223" s="297"/>
      <c r="L223" s="297"/>
      <c r="M223" s="297"/>
      <c r="N223" s="379"/>
      <c r="O223" s="272"/>
      <c r="P223" s="272"/>
      <c r="Q223" s="272"/>
      <c r="R223" s="272"/>
      <c r="S223" s="272"/>
      <c r="T223" s="272"/>
      <c r="U223" s="272"/>
      <c r="V223" s="272"/>
      <c r="W223" s="272"/>
      <c r="X223" s="272"/>
      <c r="Y223" s="272"/>
      <c r="Z223" s="272"/>
      <c r="AA223" s="272"/>
      <c r="AB223" s="272"/>
      <c r="AC223" s="272"/>
      <c r="AD223" s="272"/>
      <c r="AE223" s="272"/>
    </row>
    <row r="224" spans="2:31" ht="14.5">
      <c r="B224" s="377">
        <f t="shared" si="6"/>
        <v>179</v>
      </c>
      <c r="C224" s="385" t="str" cm="1">
        <f t="array" aca="1" ref="C224" ca="1">IF(B224&lt;=$C$9,GetGetCDSName(B224),"")</f>
        <v/>
      </c>
      <c r="D224" s="345"/>
      <c r="E224" s="378"/>
      <c r="F224" s="297"/>
      <c r="G224" s="297"/>
      <c r="H224" s="297"/>
      <c r="I224" s="297"/>
      <c r="J224" s="297"/>
      <c r="K224" s="297"/>
      <c r="L224" s="297"/>
      <c r="M224" s="297"/>
      <c r="N224" s="379"/>
      <c r="O224" s="272"/>
      <c r="P224" s="272"/>
      <c r="Q224" s="272"/>
      <c r="R224" s="272"/>
      <c r="S224" s="272"/>
      <c r="T224" s="272"/>
      <c r="U224" s="272"/>
      <c r="V224" s="272"/>
      <c r="W224" s="272"/>
      <c r="X224" s="272"/>
      <c r="Y224" s="272"/>
      <c r="Z224" s="272"/>
      <c r="AA224" s="272"/>
      <c r="AB224" s="272"/>
      <c r="AC224" s="272"/>
      <c r="AD224" s="272"/>
      <c r="AE224" s="272"/>
    </row>
    <row r="225" spans="2:31" ht="14.5">
      <c r="B225" s="377">
        <f t="shared" si="6"/>
        <v>180</v>
      </c>
      <c r="C225" s="385" t="str" cm="1">
        <f t="array" aca="1" ref="C225" ca="1">IF(B225&lt;=$C$9,GetGetCDSName(B225),"")</f>
        <v/>
      </c>
      <c r="D225" s="345"/>
      <c r="E225" s="378"/>
      <c r="F225" s="297"/>
      <c r="G225" s="297"/>
      <c r="H225" s="297"/>
      <c r="I225" s="297"/>
      <c r="J225" s="297"/>
      <c r="K225" s="297"/>
      <c r="L225" s="297"/>
      <c r="M225" s="297"/>
      <c r="N225" s="379"/>
      <c r="O225" s="272"/>
      <c r="P225" s="272"/>
      <c r="Q225" s="272"/>
      <c r="R225" s="272"/>
      <c r="S225" s="272"/>
      <c r="T225" s="272"/>
      <c r="U225" s="272"/>
      <c r="V225" s="272"/>
      <c r="W225" s="272"/>
      <c r="X225" s="272"/>
      <c r="Y225" s="272"/>
      <c r="Z225" s="272"/>
      <c r="AA225" s="272"/>
      <c r="AB225" s="272"/>
      <c r="AC225" s="272"/>
      <c r="AD225" s="272"/>
      <c r="AE225" s="272"/>
    </row>
    <row r="226" spans="2:31" ht="14.5">
      <c r="B226" s="377">
        <f t="shared" si="6"/>
        <v>181</v>
      </c>
      <c r="C226" s="385" t="str" cm="1">
        <f t="array" aca="1" ref="C226" ca="1">IF(B226&lt;=$C$9,GetGetCDSName(B226),"")</f>
        <v/>
      </c>
      <c r="D226" s="345"/>
      <c r="E226" s="378"/>
      <c r="F226" s="297"/>
      <c r="G226" s="297"/>
      <c r="H226" s="297"/>
      <c r="I226" s="297"/>
      <c r="J226" s="297"/>
      <c r="K226" s="297"/>
      <c r="L226" s="297"/>
      <c r="M226" s="297"/>
      <c r="N226" s="379"/>
      <c r="O226" s="272"/>
      <c r="P226" s="272"/>
      <c r="Q226" s="272"/>
      <c r="R226" s="272"/>
      <c r="S226" s="272"/>
      <c r="T226" s="272"/>
      <c r="U226" s="272"/>
      <c r="V226" s="272"/>
      <c r="W226" s="272"/>
      <c r="X226" s="272"/>
      <c r="Y226" s="272"/>
      <c r="Z226" s="272"/>
      <c r="AA226" s="272"/>
      <c r="AB226" s="272"/>
      <c r="AC226" s="272"/>
      <c r="AD226" s="272"/>
      <c r="AE226" s="272"/>
    </row>
    <row r="227" spans="2:31" ht="14.5">
      <c r="B227" s="377">
        <f t="shared" si="6"/>
        <v>182</v>
      </c>
      <c r="C227" s="385" t="str" cm="1">
        <f t="array" aca="1" ref="C227" ca="1">IF(B227&lt;=$C$9,GetGetCDSName(B227),"")</f>
        <v/>
      </c>
      <c r="D227" s="345"/>
      <c r="E227" s="378"/>
      <c r="F227" s="297"/>
      <c r="G227" s="297"/>
      <c r="H227" s="297"/>
      <c r="I227" s="297"/>
      <c r="J227" s="297"/>
      <c r="K227" s="297"/>
      <c r="L227" s="297"/>
      <c r="M227" s="297"/>
      <c r="N227" s="379"/>
      <c r="O227" s="272"/>
      <c r="P227" s="272"/>
      <c r="Q227" s="272"/>
      <c r="R227" s="272"/>
      <c r="S227" s="272"/>
      <c r="T227" s="272"/>
      <c r="U227" s="272"/>
      <c r="V227" s="272"/>
      <c r="W227" s="272"/>
      <c r="X227" s="272"/>
      <c r="Y227" s="272"/>
      <c r="Z227" s="272"/>
      <c r="AA227" s="272"/>
      <c r="AB227" s="272"/>
      <c r="AC227" s="272"/>
      <c r="AD227" s="272"/>
      <c r="AE227" s="272"/>
    </row>
    <row r="228" spans="2:31" ht="14.5">
      <c r="B228" s="377">
        <f t="shared" si="6"/>
        <v>183</v>
      </c>
      <c r="C228" s="385" t="str" cm="1">
        <f t="array" aca="1" ref="C228" ca="1">IF(B228&lt;=$C$9,GetGetCDSName(B228),"")</f>
        <v/>
      </c>
      <c r="D228" s="345"/>
      <c r="E228" s="378"/>
      <c r="F228" s="297"/>
      <c r="G228" s="297"/>
      <c r="H228" s="297"/>
      <c r="I228" s="297"/>
      <c r="J228" s="297"/>
      <c r="K228" s="297"/>
      <c r="L228" s="297"/>
      <c r="M228" s="297"/>
      <c r="N228" s="379"/>
      <c r="O228" s="272"/>
      <c r="P228" s="272"/>
      <c r="Q228" s="272"/>
      <c r="R228" s="272"/>
      <c r="S228" s="272"/>
      <c r="T228" s="272"/>
      <c r="U228" s="272"/>
      <c r="V228" s="272"/>
      <c r="W228" s="272"/>
      <c r="X228" s="272"/>
      <c r="Y228" s="272"/>
      <c r="Z228" s="272"/>
      <c r="AA228" s="272"/>
      <c r="AB228" s="272"/>
      <c r="AC228" s="272"/>
      <c r="AD228" s="272"/>
      <c r="AE228" s="272"/>
    </row>
    <row r="229" spans="2:31" ht="14.5">
      <c r="B229" s="377">
        <f t="shared" si="6"/>
        <v>184</v>
      </c>
      <c r="C229" s="385" t="str" cm="1">
        <f t="array" aca="1" ref="C229" ca="1">IF(B229&lt;=$C$9,GetGetCDSName(B229),"")</f>
        <v/>
      </c>
      <c r="D229" s="345"/>
      <c r="E229" s="378"/>
      <c r="F229" s="297"/>
      <c r="G229" s="297"/>
      <c r="H229" s="297"/>
      <c r="I229" s="297"/>
      <c r="J229" s="297"/>
      <c r="K229" s="297"/>
      <c r="L229" s="297"/>
      <c r="M229" s="297"/>
      <c r="N229" s="379"/>
      <c r="O229" s="272"/>
      <c r="P229" s="272"/>
      <c r="Q229" s="272"/>
      <c r="R229" s="272"/>
      <c r="S229" s="272"/>
      <c r="T229" s="272"/>
      <c r="U229" s="272"/>
      <c r="V229" s="272"/>
      <c r="W229" s="272"/>
      <c r="X229" s="272"/>
      <c r="Y229" s="272"/>
      <c r="Z229" s="272"/>
      <c r="AA229" s="272"/>
      <c r="AB229" s="272"/>
      <c r="AC229" s="272"/>
      <c r="AD229" s="272"/>
      <c r="AE229" s="272"/>
    </row>
    <row r="230" spans="2:31" ht="14.5">
      <c r="B230" s="377">
        <f t="shared" si="6"/>
        <v>185</v>
      </c>
      <c r="C230" s="385" t="str" cm="1">
        <f t="array" aca="1" ref="C230" ca="1">IF(B230&lt;=$C$9,GetGetCDSName(B230),"")</f>
        <v/>
      </c>
      <c r="D230" s="345"/>
      <c r="E230" s="378"/>
      <c r="F230" s="297"/>
      <c r="G230" s="297"/>
      <c r="H230" s="297"/>
      <c r="I230" s="297"/>
      <c r="J230" s="297"/>
      <c r="K230" s="297"/>
      <c r="L230" s="297"/>
      <c r="M230" s="297"/>
      <c r="N230" s="379"/>
      <c r="O230" s="272"/>
      <c r="P230" s="272"/>
      <c r="Q230" s="272"/>
      <c r="R230" s="272"/>
      <c r="S230" s="272"/>
      <c r="T230" s="272"/>
      <c r="U230" s="272"/>
      <c r="V230" s="272"/>
      <c r="W230" s="272"/>
      <c r="X230" s="272"/>
      <c r="Y230" s="272"/>
      <c r="Z230" s="272"/>
      <c r="AA230" s="272"/>
      <c r="AB230" s="272"/>
      <c r="AC230" s="272"/>
      <c r="AD230" s="272"/>
      <c r="AE230" s="272"/>
    </row>
    <row r="231" spans="2:31" ht="14.5">
      <c r="B231" s="377">
        <f t="shared" si="6"/>
        <v>186</v>
      </c>
      <c r="C231" s="385" t="str" cm="1">
        <f t="array" aca="1" ref="C231" ca="1">IF(B231&lt;=$C$9,GetGetCDSName(B231),"")</f>
        <v/>
      </c>
      <c r="D231" s="345"/>
      <c r="E231" s="378"/>
      <c r="F231" s="297"/>
      <c r="G231" s="297"/>
      <c r="H231" s="297"/>
      <c r="I231" s="297"/>
      <c r="J231" s="297"/>
      <c r="K231" s="297"/>
      <c r="L231" s="297"/>
      <c r="M231" s="297"/>
      <c r="N231" s="379"/>
      <c r="O231" s="272"/>
      <c r="P231" s="272"/>
      <c r="Q231" s="272"/>
      <c r="R231" s="272"/>
      <c r="S231" s="272"/>
      <c r="T231" s="272"/>
      <c r="U231" s="272"/>
      <c r="V231" s="272"/>
      <c r="W231" s="272"/>
      <c r="X231" s="272"/>
      <c r="Y231" s="272"/>
      <c r="Z231" s="272"/>
      <c r="AA231" s="272"/>
      <c r="AB231" s="272"/>
      <c r="AC231" s="272"/>
      <c r="AD231" s="272"/>
      <c r="AE231" s="272"/>
    </row>
    <row r="232" spans="2:31" ht="14.5">
      <c r="B232" s="377">
        <f t="shared" si="6"/>
        <v>187</v>
      </c>
      <c r="C232" s="385" t="str" cm="1">
        <f t="array" aca="1" ref="C232" ca="1">IF(B232&lt;=$C$9,GetGetCDSName(B232),"")</f>
        <v/>
      </c>
      <c r="D232" s="345"/>
      <c r="E232" s="378"/>
      <c r="F232" s="297"/>
      <c r="G232" s="297"/>
      <c r="H232" s="297"/>
      <c r="I232" s="297"/>
      <c r="J232" s="297"/>
      <c r="K232" s="297"/>
      <c r="L232" s="297"/>
      <c r="M232" s="297"/>
      <c r="N232" s="379"/>
      <c r="O232" s="272"/>
      <c r="P232" s="272"/>
      <c r="Q232" s="272"/>
      <c r="R232" s="272"/>
      <c r="S232" s="272"/>
      <c r="T232" s="272"/>
      <c r="U232" s="272"/>
      <c r="V232" s="272"/>
      <c r="W232" s="272"/>
      <c r="X232" s="272"/>
      <c r="Y232" s="272"/>
      <c r="Z232" s="272"/>
      <c r="AA232" s="272"/>
      <c r="AB232" s="272"/>
      <c r="AC232" s="272"/>
      <c r="AD232" s="272"/>
      <c r="AE232" s="272"/>
    </row>
    <row r="233" spans="2:31" ht="14.5">
      <c r="B233" s="377">
        <f t="shared" si="6"/>
        <v>188</v>
      </c>
      <c r="C233" s="385" t="str" cm="1">
        <f t="array" aca="1" ref="C233" ca="1">IF(B233&lt;=$C$9,GetGetCDSName(B233),"")</f>
        <v/>
      </c>
      <c r="D233" s="345"/>
      <c r="E233" s="378"/>
      <c r="F233" s="297"/>
      <c r="G233" s="297"/>
      <c r="H233" s="297"/>
      <c r="I233" s="297"/>
      <c r="J233" s="297"/>
      <c r="K233" s="297"/>
      <c r="L233" s="297"/>
      <c r="M233" s="297"/>
      <c r="N233" s="379"/>
      <c r="O233" s="272"/>
      <c r="P233" s="272"/>
      <c r="Q233" s="272"/>
      <c r="R233" s="272"/>
      <c r="S233" s="272"/>
      <c r="T233" s="272"/>
      <c r="U233" s="272"/>
      <c r="V233" s="272"/>
      <c r="W233" s="272"/>
      <c r="X233" s="272"/>
      <c r="Y233" s="272"/>
      <c r="Z233" s="272"/>
      <c r="AA233" s="272"/>
      <c r="AB233" s="272"/>
      <c r="AC233" s="272"/>
      <c r="AD233" s="272"/>
      <c r="AE233" s="272"/>
    </row>
    <row r="234" spans="2:31" ht="14.5">
      <c r="B234" s="377">
        <f t="shared" si="6"/>
        <v>189</v>
      </c>
      <c r="C234" s="385" t="str" cm="1">
        <f t="array" aca="1" ref="C234" ca="1">IF(B234&lt;=$C$9,GetGetCDSName(B234),"")</f>
        <v/>
      </c>
      <c r="D234" s="345"/>
      <c r="E234" s="378"/>
      <c r="F234" s="297"/>
      <c r="G234" s="297"/>
      <c r="H234" s="297"/>
      <c r="I234" s="297"/>
      <c r="J234" s="297"/>
      <c r="K234" s="297"/>
      <c r="L234" s="297"/>
      <c r="M234" s="297"/>
      <c r="N234" s="379"/>
      <c r="O234" s="272"/>
      <c r="P234" s="272"/>
      <c r="Q234" s="272"/>
      <c r="R234" s="272"/>
      <c r="S234" s="272"/>
      <c r="T234" s="272"/>
      <c r="U234" s="272"/>
      <c r="V234" s="272"/>
      <c r="W234" s="272"/>
      <c r="X234" s="272"/>
      <c r="Y234" s="272"/>
      <c r="Z234" s="272"/>
      <c r="AA234" s="272"/>
      <c r="AB234" s="272"/>
      <c r="AC234" s="272"/>
      <c r="AD234" s="272"/>
      <c r="AE234" s="272"/>
    </row>
    <row r="235" spans="2:31" ht="14.5">
      <c r="B235" s="377">
        <f t="shared" si="6"/>
        <v>190</v>
      </c>
      <c r="C235" s="385" t="str" cm="1">
        <f t="array" aca="1" ref="C235" ca="1">IF(B235&lt;=$C$9,GetGetCDSName(B235),"")</f>
        <v/>
      </c>
      <c r="D235" s="345"/>
      <c r="E235" s="378"/>
      <c r="F235" s="297"/>
      <c r="G235" s="297"/>
      <c r="H235" s="297"/>
      <c r="I235" s="297"/>
      <c r="J235" s="297"/>
      <c r="K235" s="297"/>
      <c r="L235" s="297"/>
      <c r="M235" s="297"/>
      <c r="N235" s="379"/>
      <c r="O235" s="272"/>
      <c r="P235" s="272"/>
      <c r="Q235" s="272"/>
      <c r="R235" s="272"/>
      <c r="S235" s="272"/>
      <c r="T235" s="272"/>
      <c r="U235" s="272"/>
      <c r="V235" s="272"/>
      <c r="W235" s="272"/>
      <c r="X235" s="272"/>
      <c r="Y235" s="272"/>
      <c r="Z235" s="272"/>
      <c r="AA235" s="272"/>
      <c r="AB235" s="272"/>
      <c r="AC235" s="272"/>
      <c r="AD235" s="272"/>
      <c r="AE235" s="272"/>
    </row>
    <row r="236" spans="2:31" ht="14.5">
      <c r="B236" s="377">
        <f t="shared" si="6"/>
        <v>191</v>
      </c>
      <c r="C236" s="385" t="str" cm="1">
        <f t="array" aca="1" ref="C236" ca="1">IF(B236&lt;=$C$9,GetGetCDSName(B236),"")</f>
        <v/>
      </c>
      <c r="D236" s="345"/>
      <c r="E236" s="378"/>
      <c r="F236" s="297"/>
      <c r="G236" s="297"/>
      <c r="H236" s="297"/>
      <c r="I236" s="297"/>
      <c r="J236" s="297"/>
      <c r="K236" s="297"/>
      <c r="L236" s="297"/>
      <c r="M236" s="297"/>
      <c r="N236" s="379"/>
      <c r="O236" s="272"/>
      <c r="P236" s="272"/>
      <c r="Q236" s="272"/>
      <c r="R236" s="272"/>
      <c r="S236" s="272"/>
      <c r="T236" s="272"/>
      <c r="U236" s="272"/>
      <c r="V236" s="272"/>
      <c r="W236" s="272"/>
      <c r="X236" s="272"/>
      <c r="Y236" s="272"/>
      <c r="Z236" s="272"/>
      <c r="AA236" s="272"/>
      <c r="AB236" s="272"/>
      <c r="AC236" s="272"/>
      <c r="AD236" s="272"/>
      <c r="AE236" s="272"/>
    </row>
    <row r="237" spans="2:31" ht="14.5">
      <c r="B237" s="377">
        <f t="shared" si="6"/>
        <v>192</v>
      </c>
      <c r="C237" s="385" t="str" cm="1">
        <f t="array" aca="1" ref="C237" ca="1">IF(B237&lt;=$C$9,GetGetCDSName(B237),"")</f>
        <v/>
      </c>
      <c r="D237" s="345"/>
      <c r="E237" s="378"/>
      <c r="F237" s="297"/>
      <c r="G237" s="297"/>
      <c r="H237" s="297"/>
      <c r="I237" s="297"/>
      <c r="J237" s="297"/>
      <c r="K237" s="297"/>
      <c r="L237" s="297"/>
      <c r="M237" s="297"/>
      <c r="N237" s="379"/>
      <c r="O237" s="272"/>
      <c r="P237" s="272"/>
      <c r="Q237" s="272"/>
      <c r="R237" s="272"/>
      <c r="S237" s="272"/>
      <c r="T237" s="272"/>
      <c r="U237" s="272"/>
      <c r="V237" s="272"/>
      <c r="W237" s="272"/>
      <c r="X237" s="272"/>
      <c r="Y237" s="272"/>
      <c r="Z237" s="272"/>
      <c r="AA237" s="272"/>
      <c r="AB237" s="272"/>
      <c r="AC237" s="272"/>
      <c r="AD237" s="272"/>
      <c r="AE237" s="272"/>
    </row>
    <row r="238" spans="2:31" ht="14.5">
      <c r="B238" s="377">
        <f t="shared" si="6"/>
        <v>193</v>
      </c>
      <c r="C238" s="385" t="str" cm="1">
        <f t="array" aca="1" ref="C238" ca="1">IF(B238&lt;=$C$9,GetGetCDSName(B238),"")</f>
        <v/>
      </c>
      <c r="D238" s="345"/>
      <c r="E238" s="378"/>
      <c r="F238" s="297"/>
      <c r="G238" s="297"/>
      <c r="H238" s="297"/>
      <c r="I238" s="297"/>
      <c r="J238" s="297"/>
      <c r="K238" s="297"/>
      <c r="L238" s="297"/>
      <c r="M238" s="297"/>
      <c r="N238" s="379"/>
      <c r="O238" s="272"/>
      <c r="P238" s="272"/>
      <c r="Q238" s="272"/>
      <c r="R238" s="272"/>
      <c r="S238" s="272"/>
      <c r="T238" s="272"/>
      <c r="U238" s="272"/>
      <c r="V238" s="272"/>
      <c r="W238" s="272"/>
      <c r="X238" s="272"/>
      <c r="Y238" s="272"/>
      <c r="Z238" s="272"/>
      <c r="AA238" s="272"/>
      <c r="AB238" s="272"/>
      <c r="AC238" s="272"/>
      <c r="AD238" s="272"/>
      <c r="AE238" s="272"/>
    </row>
    <row r="239" spans="2:31" ht="14.5">
      <c r="B239" s="377">
        <f t="shared" ref="B239:B302" si="7">B238+1</f>
        <v>194</v>
      </c>
      <c r="C239" s="385" t="str" cm="1">
        <f t="array" aca="1" ref="C239" ca="1">IF(B239&lt;=$C$9,GetGetCDSName(B239),"")</f>
        <v/>
      </c>
      <c r="D239" s="345"/>
      <c r="E239" s="378"/>
      <c r="F239" s="297"/>
      <c r="G239" s="297"/>
      <c r="H239" s="297"/>
      <c r="I239" s="297"/>
      <c r="J239" s="297"/>
      <c r="K239" s="297"/>
      <c r="L239" s="297"/>
      <c r="M239" s="297"/>
      <c r="N239" s="379"/>
      <c r="O239" s="272"/>
      <c r="P239" s="272"/>
      <c r="Q239" s="272"/>
      <c r="R239" s="272"/>
      <c r="S239" s="272"/>
      <c r="T239" s="272"/>
      <c r="U239" s="272"/>
      <c r="V239" s="272"/>
      <c r="W239" s="272"/>
      <c r="X239" s="272"/>
      <c r="Y239" s="272"/>
      <c r="Z239" s="272"/>
      <c r="AA239" s="272"/>
      <c r="AB239" s="272"/>
      <c r="AC239" s="272"/>
      <c r="AD239" s="272"/>
      <c r="AE239" s="272"/>
    </row>
    <row r="240" spans="2:31" ht="14.5">
      <c r="B240" s="377">
        <f t="shared" si="7"/>
        <v>195</v>
      </c>
      <c r="C240" s="385" t="str" cm="1">
        <f t="array" aca="1" ref="C240" ca="1">IF(B240&lt;=$C$9,GetGetCDSName(B240),"")</f>
        <v/>
      </c>
      <c r="D240" s="345"/>
      <c r="E240" s="378"/>
      <c r="F240" s="297"/>
      <c r="G240" s="297"/>
      <c r="H240" s="297"/>
      <c r="I240" s="297"/>
      <c r="J240" s="297"/>
      <c r="K240" s="297"/>
      <c r="L240" s="297"/>
      <c r="M240" s="297"/>
      <c r="N240" s="379"/>
      <c r="O240" s="272"/>
      <c r="P240" s="272"/>
      <c r="Q240" s="272"/>
      <c r="R240" s="272"/>
      <c r="S240" s="272"/>
      <c r="T240" s="272"/>
      <c r="U240" s="272"/>
      <c r="V240" s="272"/>
      <c r="W240" s="272"/>
      <c r="X240" s="272"/>
      <c r="Y240" s="272"/>
      <c r="Z240" s="272"/>
      <c r="AA240" s="272"/>
      <c r="AB240" s="272"/>
      <c r="AC240" s="272"/>
      <c r="AD240" s="272"/>
      <c r="AE240" s="272"/>
    </row>
    <row r="241" spans="2:31" ht="14.5">
      <c r="B241" s="377">
        <f t="shared" si="7"/>
        <v>196</v>
      </c>
      <c r="C241" s="385" t="str" cm="1">
        <f t="array" aca="1" ref="C241" ca="1">IF(B241&lt;=$C$9,GetGetCDSName(B241),"")</f>
        <v/>
      </c>
      <c r="D241" s="345"/>
      <c r="E241" s="378"/>
      <c r="F241" s="297"/>
      <c r="G241" s="297"/>
      <c r="H241" s="297"/>
      <c r="I241" s="297"/>
      <c r="J241" s="297"/>
      <c r="K241" s="297"/>
      <c r="L241" s="297"/>
      <c r="M241" s="297"/>
      <c r="N241" s="379"/>
      <c r="O241" s="272"/>
      <c r="P241" s="272"/>
      <c r="Q241" s="272"/>
      <c r="R241" s="272"/>
      <c r="S241" s="272"/>
      <c r="T241" s="272"/>
      <c r="U241" s="272"/>
      <c r="V241" s="272"/>
      <c r="W241" s="272"/>
      <c r="X241" s="272"/>
      <c r="Y241" s="272"/>
      <c r="Z241" s="272"/>
      <c r="AA241" s="272"/>
      <c r="AB241" s="272"/>
      <c r="AC241" s="272"/>
      <c r="AD241" s="272"/>
      <c r="AE241" s="272"/>
    </row>
    <row r="242" spans="2:31" ht="14.5">
      <c r="B242" s="377">
        <f t="shared" si="7"/>
        <v>197</v>
      </c>
      <c r="C242" s="385" t="str" cm="1">
        <f t="array" aca="1" ref="C242" ca="1">IF(B242&lt;=$C$9,GetGetCDSName(B242),"")</f>
        <v/>
      </c>
      <c r="D242" s="345"/>
      <c r="E242" s="378"/>
      <c r="F242" s="297"/>
      <c r="G242" s="297"/>
      <c r="H242" s="297"/>
      <c r="I242" s="297"/>
      <c r="J242" s="297"/>
      <c r="K242" s="297"/>
      <c r="L242" s="297"/>
      <c r="M242" s="297"/>
      <c r="N242" s="379"/>
      <c r="O242" s="272"/>
      <c r="P242" s="272"/>
      <c r="Q242" s="272"/>
      <c r="R242" s="272"/>
      <c r="S242" s="272"/>
      <c r="T242" s="272"/>
      <c r="U242" s="272"/>
      <c r="V242" s="272"/>
      <c r="W242" s="272"/>
      <c r="X242" s="272"/>
      <c r="Y242" s="272"/>
      <c r="Z242" s="272"/>
      <c r="AA242" s="272"/>
      <c r="AB242" s="272"/>
      <c r="AC242" s="272"/>
      <c r="AD242" s="272"/>
      <c r="AE242" s="272"/>
    </row>
    <row r="243" spans="2:31" ht="14.5">
      <c r="B243" s="377">
        <f t="shared" si="7"/>
        <v>198</v>
      </c>
      <c r="C243" s="385" t="str" cm="1">
        <f t="array" aca="1" ref="C243" ca="1">IF(B243&lt;=$C$9,GetGetCDSName(B243),"")</f>
        <v/>
      </c>
      <c r="D243" s="345"/>
      <c r="E243" s="378"/>
      <c r="F243" s="297"/>
      <c r="G243" s="297"/>
      <c r="H243" s="297"/>
      <c r="I243" s="297"/>
      <c r="J243" s="297"/>
      <c r="K243" s="297"/>
      <c r="L243" s="297"/>
      <c r="M243" s="297"/>
      <c r="N243" s="379"/>
      <c r="O243" s="272"/>
      <c r="P243" s="272"/>
      <c r="Q243" s="272"/>
      <c r="R243" s="272"/>
      <c r="S243" s="272"/>
      <c r="T243" s="272"/>
      <c r="U243" s="272"/>
      <c r="V243" s="272"/>
      <c r="W243" s="272"/>
      <c r="X243" s="272"/>
      <c r="Y243" s="272"/>
      <c r="Z243" s="272"/>
      <c r="AA243" s="272"/>
      <c r="AB243" s="272"/>
      <c r="AC243" s="272"/>
      <c r="AD243" s="272"/>
      <c r="AE243" s="272"/>
    </row>
    <row r="244" spans="2:31" ht="14.5">
      <c r="B244" s="377">
        <f t="shared" si="7"/>
        <v>199</v>
      </c>
      <c r="C244" s="385" t="str" cm="1">
        <f t="array" aca="1" ref="C244" ca="1">IF(B244&lt;=$C$9,GetGetCDSName(B244),"")</f>
        <v/>
      </c>
      <c r="D244" s="345"/>
      <c r="E244" s="378"/>
      <c r="F244" s="297"/>
      <c r="G244" s="297"/>
      <c r="H244" s="297"/>
      <c r="I244" s="297"/>
      <c r="J244" s="297"/>
      <c r="K244" s="297"/>
      <c r="L244" s="297"/>
      <c r="M244" s="297"/>
      <c r="N244" s="379"/>
      <c r="O244" s="272"/>
      <c r="P244" s="272"/>
      <c r="Q244" s="272"/>
      <c r="R244" s="272"/>
      <c r="S244" s="272"/>
      <c r="T244" s="272"/>
      <c r="U244" s="272"/>
      <c r="V244" s="272"/>
      <c r="W244" s="272"/>
      <c r="X244" s="272"/>
      <c r="Y244" s="272"/>
      <c r="Z244" s="272"/>
      <c r="AA244" s="272"/>
      <c r="AB244" s="272"/>
      <c r="AC244" s="272"/>
      <c r="AD244" s="272"/>
      <c r="AE244" s="272"/>
    </row>
    <row r="245" spans="2:31" ht="14.5">
      <c r="B245" s="377">
        <f t="shared" si="7"/>
        <v>200</v>
      </c>
      <c r="C245" s="385" t="str" cm="1">
        <f t="array" aca="1" ref="C245" ca="1">IF(B245&lt;=$C$9,GetGetCDSName(B245),"")</f>
        <v/>
      </c>
      <c r="D245" s="345"/>
      <c r="E245" s="378"/>
      <c r="F245" s="297"/>
      <c r="G245" s="297"/>
      <c r="H245" s="297"/>
      <c r="I245" s="297"/>
      <c r="J245" s="297"/>
      <c r="K245" s="297"/>
      <c r="L245" s="297"/>
      <c r="M245" s="297"/>
      <c r="N245" s="379"/>
      <c r="O245" s="272"/>
      <c r="P245" s="272"/>
      <c r="Q245" s="272"/>
      <c r="R245" s="272"/>
      <c r="S245" s="272"/>
      <c r="T245" s="272"/>
      <c r="U245" s="272"/>
      <c r="V245" s="272"/>
      <c r="W245" s="272"/>
      <c r="X245" s="272"/>
      <c r="Y245" s="272"/>
      <c r="Z245" s="272"/>
      <c r="AA245" s="272"/>
      <c r="AB245" s="272"/>
      <c r="AC245" s="272"/>
      <c r="AD245" s="272"/>
      <c r="AE245" s="272"/>
    </row>
    <row r="246" spans="2:31" ht="14.5">
      <c r="B246" s="377">
        <f t="shared" si="7"/>
        <v>201</v>
      </c>
      <c r="C246" s="385" t="str" cm="1">
        <f t="array" aca="1" ref="C246" ca="1">IF(B246&lt;=$C$9,GetGetCDSName(B246),"")</f>
        <v/>
      </c>
      <c r="D246" s="345"/>
      <c r="E246" s="378"/>
      <c r="F246" s="297"/>
      <c r="G246" s="297"/>
      <c r="H246" s="297"/>
      <c r="I246" s="297"/>
      <c r="J246" s="297"/>
      <c r="K246" s="297"/>
      <c r="L246" s="297"/>
      <c r="M246" s="297"/>
      <c r="N246" s="379"/>
      <c r="O246" s="272"/>
      <c r="P246" s="272"/>
      <c r="Q246" s="272"/>
      <c r="R246" s="272"/>
      <c r="S246" s="272"/>
      <c r="T246" s="272"/>
      <c r="U246" s="272"/>
      <c r="V246" s="272"/>
      <c r="W246" s="272"/>
      <c r="X246" s="272"/>
      <c r="Y246" s="272"/>
      <c r="Z246" s="272"/>
      <c r="AA246" s="272"/>
      <c r="AB246" s="272"/>
      <c r="AC246" s="272"/>
      <c r="AD246" s="272"/>
      <c r="AE246" s="272"/>
    </row>
    <row r="247" spans="2:31" ht="14.5">
      <c r="B247" s="377">
        <f t="shared" si="7"/>
        <v>202</v>
      </c>
      <c r="C247" s="385" t="str" cm="1">
        <f t="array" aca="1" ref="C247" ca="1">IF(B247&lt;=$C$9,GetGetCDSName(B247),"")</f>
        <v/>
      </c>
      <c r="D247" s="345"/>
      <c r="E247" s="378"/>
      <c r="F247" s="297"/>
      <c r="G247" s="297"/>
      <c r="H247" s="297"/>
      <c r="I247" s="297"/>
      <c r="J247" s="297"/>
      <c r="K247" s="297"/>
      <c r="L247" s="297"/>
      <c r="M247" s="297"/>
      <c r="N247" s="379"/>
      <c r="O247" s="272"/>
      <c r="P247" s="272"/>
      <c r="Q247" s="272"/>
      <c r="R247" s="272"/>
      <c r="S247" s="272"/>
      <c r="T247" s="272"/>
      <c r="U247" s="272"/>
      <c r="V247" s="272"/>
      <c r="W247" s="272"/>
      <c r="X247" s="272"/>
      <c r="Y247" s="272"/>
      <c r="Z247" s="272"/>
      <c r="AA247" s="272"/>
      <c r="AB247" s="272"/>
      <c r="AC247" s="272"/>
      <c r="AD247" s="272"/>
      <c r="AE247" s="272"/>
    </row>
    <row r="248" spans="2:31" ht="14.5">
      <c r="B248" s="377">
        <f t="shared" si="7"/>
        <v>203</v>
      </c>
      <c r="C248" s="385" t="str" cm="1">
        <f t="array" aca="1" ref="C248" ca="1">IF(B248&lt;=$C$9,GetGetCDSName(B248),"")</f>
        <v/>
      </c>
      <c r="D248" s="345"/>
      <c r="E248" s="378"/>
      <c r="F248" s="297"/>
      <c r="G248" s="297"/>
      <c r="H248" s="297"/>
      <c r="I248" s="297"/>
      <c r="J248" s="297"/>
      <c r="K248" s="297"/>
      <c r="L248" s="297"/>
      <c r="M248" s="297"/>
      <c r="N248" s="379"/>
      <c r="O248" s="272"/>
      <c r="P248" s="272"/>
      <c r="Q248" s="272"/>
      <c r="R248" s="272"/>
      <c r="S248" s="272"/>
      <c r="T248" s="272"/>
      <c r="U248" s="272"/>
      <c r="V248" s="272"/>
      <c r="W248" s="272"/>
      <c r="X248" s="272"/>
      <c r="Y248" s="272"/>
      <c r="Z248" s="272"/>
      <c r="AA248" s="272"/>
      <c r="AB248" s="272"/>
      <c r="AC248" s="272"/>
      <c r="AD248" s="272"/>
      <c r="AE248" s="272"/>
    </row>
    <row r="249" spans="2:31" ht="14.5">
      <c r="B249" s="377">
        <f t="shared" si="7"/>
        <v>204</v>
      </c>
      <c r="C249" s="385" t="str" cm="1">
        <f t="array" aca="1" ref="C249" ca="1">IF(B249&lt;=$C$9,GetGetCDSName(B249),"")</f>
        <v/>
      </c>
      <c r="D249" s="345"/>
      <c r="E249" s="378"/>
      <c r="F249" s="297"/>
      <c r="G249" s="297"/>
      <c r="H249" s="297"/>
      <c r="I249" s="297"/>
      <c r="J249" s="297"/>
      <c r="K249" s="297"/>
      <c r="L249" s="297"/>
      <c r="M249" s="297"/>
      <c r="N249" s="379"/>
      <c r="O249" s="272"/>
      <c r="P249" s="272"/>
      <c r="Q249" s="272"/>
      <c r="R249" s="272"/>
      <c r="S249" s="272"/>
      <c r="T249" s="272"/>
      <c r="U249" s="272"/>
      <c r="V249" s="272"/>
      <c r="W249" s="272"/>
      <c r="X249" s="272"/>
      <c r="Y249" s="272"/>
      <c r="Z249" s="272"/>
      <c r="AA249" s="272"/>
      <c r="AB249" s="272"/>
      <c r="AC249" s="272"/>
      <c r="AD249" s="272"/>
      <c r="AE249" s="272"/>
    </row>
    <row r="250" spans="2:31" ht="14.5">
      <c r="B250" s="377">
        <f t="shared" si="7"/>
        <v>205</v>
      </c>
      <c r="C250" s="385" t="str" cm="1">
        <f t="array" aca="1" ref="C250" ca="1">IF(B250&lt;=$C$9,GetGetCDSName(B250),"")</f>
        <v/>
      </c>
      <c r="D250" s="345"/>
      <c r="E250" s="378"/>
      <c r="F250" s="297"/>
      <c r="G250" s="297"/>
      <c r="H250" s="297"/>
      <c r="I250" s="297"/>
      <c r="J250" s="297"/>
      <c r="K250" s="297"/>
      <c r="L250" s="297"/>
      <c r="M250" s="297"/>
      <c r="N250" s="379"/>
      <c r="O250" s="272"/>
      <c r="P250" s="272"/>
      <c r="Q250" s="272"/>
      <c r="R250" s="272"/>
      <c r="S250" s="272"/>
      <c r="T250" s="272"/>
      <c r="U250" s="272"/>
      <c r="V250" s="272"/>
      <c r="W250" s="272"/>
      <c r="X250" s="272"/>
      <c r="Y250" s="272"/>
      <c r="Z250" s="272"/>
      <c r="AA250" s="272"/>
      <c r="AB250" s="272"/>
      <c r="AC250" s="272"/>
      <c r="AD250" s="272"/>
      <c r="AE250" s="272"/>
    </row>
    <row r="251" spans="2:31" ht="14.5">
      <c r="B251" s="377">
        <f t="shared" si="7"/>
        <v>206</v>
      </c>
      <c r="C251" s="385" t="str" cm="1">
        <f t="array" aca="1" ref="C251" ca="1">IF(B251&lt;=$C$9,GetGetCDSName(B251),"")</f>
        <v/>
      </c>
      <c r="D251" s="345"/>
      <c r="E251" s="378"/>
      <c r="F251" s="297"/>
      <c r="G251" s="297"/>
      <c r="H251" s="297"/>
      <c r="I251" s="297"/>
      <c r="J251" s="297"/>
      <c r="K251" s="297"/>
      <c r="L251" s="297"/>
      <c r="M251" s="297"/>
      <c r="N251" s="379"/>
      <c r="O251" s="272"/>
      <c r="P251" s="272"/>
      <c r="Q251" s="272"/>
      <c r="R251" s="272"/>
      <c r="S251" s="272"/>
      <c r="T251" s="272"/>
      <c r="U251" s="272"/>
      <c r="V251" s="272"/>
      <c r="W251" s="272"/>
      <c r="X251" s="272"/>
      <c r="Y251" s="272"/>
      <c r="Z251" s="272"/>
      <c r="AA251" s="272"/>
      <c r="AB251" s="272"/>
      <c r="AC251" s="272"/>
      <c r="AD251" s="272"/>
      <c r="AE251" s="272"/>
    </row>
    <row r="252" spans="2:31" ht="14.5">
      <c r="B252" s="377">
        <f t="shared" si="7"/>
        <v>207</v>
      </c>
      <c r="C252" s="385" t="str" cm="1">
        <f t="array" aca="1" ref="C252" ca="1">IF(B252&lt;=$C$9,GetGetCDSName(B252),"")</f>
        <v/>
      </c>
      <c r="D252" s="345"/>
      <c r="E252" s="378"/>
      <c r="F252" s="297"/>
      <c r="G252" s="297"/>
      <c r="H252" s="297"/>
      <c r="I252" s="297"/>
      <c r="J252" s="297"/>
      <c r="K252" s="297"/>
      <c r="L252" s="297"/>
      <c r="M252" s="297"/>
      <c r="N252" s="379"/>
      <c r="O252" s="272"/>
      <c r="P252" s="272"/>
      <c r="Q252" s="272"/>
      <c r="R252" s="272"/>
      <c r="S252" s="272"/>
      <c r="T252" s="272"/>
      <c r="U252" s="272"/>
      <c r="V252" s="272"/>
      <c r="W252" s="272"/>
      <c r="X252" s="272"/>
      <c r="Y252" s="272"/>
      <c r="Z252" s="272"/>
      <c r="AA252" s="272"/>
      <c r="AB252" s="272"/>
      <c r="AC252" s="272"/>
      <c r="AD252" s="272"/>
      <c r="AE252" s="272"/>
    </row>
    <row r="253" spans="2:31" ht="14.5">
      <c r="B253" s="377">
        <f t="shared" si="7"/>
        <v>208</v>
      </c>
      <c r="C253" s="385" t="str" cm="1">
        <f t="array" aca="1" ref="C253" ca="1">IF(B253&lt;=$C$9,GetGetCDSName(B253),"")</f>
        <v/>
      </c>
      <c r="D253" s="345"/>
      <c r="E253" s="378"/>
      <c r="F253" s="297"/>
      <c r="G253" s="297"/>
      <c r="H253" s="297"/>
      <c r="I253" s="297"/>
      <c r="J253" s="297"/>
      <c r="K253" s="297"/>
      <c r="L253" s="297"/>
      <c r="M253" s="297"/>
      <c r="N253" s="379"/>
      <c r="O253" s="272"/>
      <c r="P253" s="272"/>
      <c r="Q253" s="272"/>
      <c r="R253" s="272"/>
      <c r="S253" s="272"/>
      <c r="T253" s="272"/>
      <c r="U253" s="272"/>
      <c r="V253" s="272"/>
      <c r="W253" s="272"/>
      <c r="X253" s="272"/>
      <c r="Y253" s="272"/>
      <c r="Z253" s="272"/>
      <c r="AA253" s="272"/>
      <c r="AB253" s="272"/>
      <c r="AC253" s="272"/>
      <c r="AD253" s="272"/>
      <c r="AE253" s="272"/>
    </row>
    <row r="254" spans="2:31" ht="14.5">
      <c r="B254" s="377">
        <f t="shared" si="7"/>
        <v>209</v>
      </c>
      <c r="C254" s="385" t="str" cm="1">
        <f t="array" aca="1" ref="C254" ca="1">IF(B254&lt;=$C$9,GetGetCDSName(B254),"")</f>
        <v/>
      </c>
      <c r="D254" s="345"/>
      <c r="E254" s="378"/>
      <c r="F254" s="297"/>
      <c r="G254" s="297"/>
      <c r="H254" s="297"/>
      <c r="I254" s="297"/>
      <c r="J254" s="297"/>
      <c r="K254" s="297"/>
      <c r="L254" s="297"/>
      <c r="M254" s="297"/>
      <c r="N254" s="379"/>
      <c r="O254" s="272"/>
      <c r="P254" s="272"/>
      <c r="Q254" s="272"/>
      <c r="R254" s="272"/>
      <c r="S254" s="272"/>
      <c r="T254" s="272"/>
      <c r="U254" s="272"/>
      <c r="V254" s="272"/>
      <c r="W254" s="272"/>
      <c r="X254" s="272"/>
      <c r="Y254" s="272"/>
      <c r="Z254" s="272"/>
      <c r="AA254" s="272"/>
      <c r="AB254" s="272"/>
      <c r="AC254" s="272"/>
      <c r="AD254" s="272"/>
      <c r="AE254" s="272"/>
    </row>
    <row r="255" spans="2:31" ht="14.5">
      <c r="B255" s="377">
        <f t="shared" si="7"/>
        <v>210</v>
      </c>
      <c r="C255" s="385" t="str" cm="1">
        <f t="array" aca="1" ref="C255" ca="1">IF(B255&lt;=$C$9,GetGetCDSName(B255),"")</f>
        <v/>
      </c>
      <c r="D255" s="345"/>
      <c r="E255" s="378"/>
      <c r="F255" s="297"/>
      <c r="G255" s="297"/>
      <c r="H255" s="297"/>
      <c r="I255" s="297"/>
      <c r="J255" s="297"/>
      <c r="K255" s="297"/>
      <c r="L255" s="297"/>
      <c r="M255" s="297"/>
      <c r="N255" s="379"/>
      <c r="O255" s="272"/>
      <c r="P255" s="272"/>
      <c r="Q255" s="272"/>
      <c r="R255" s="272"/>
      <c r="S255" s="272"/>
      <c r="T255" s="272"/>
      <c r="U255" s="272"/>
      <c r="V255" s="272"/>
      <c r="W255" s="272"/>
      <c r="X255" s="272"/>
      <c r="Y255" s="272"/>
      <c r="Z255" s="272"/>
      <c r="AA255" s="272"/>
      <c r="AB255" s="272"/>
      <c r="AC255" s="272"/>
      <c r="AD255" s="272"/>
      <c r="AE255" s="272"/>
    </row>
    <row r="256" spans="2:31" ht="14.5">
      <c r="B256" s="377">
        <f t="shared" si="7"/>
        <v>211</v>
      </c>
      <c r="C256" s="385" t="str" cm="1">
        <f t="array" aca="1" ref="C256" ca="1">IF(B256&lt;=$C$9,GetGetCDSName(B256),"")</f>
        <v/>
      </c>
      <c r="D256" s="345"/>
      <c r="E256" s="378"/>
      <c r="F256" s="297"/>
      <c r="G256" s="297"/>
      <c r="H256" s="297"/>
      <c r="I256" s="297"/>
      <c r="J256" s="297"/>
      <c r="K256" s="297"/>
      <c r="L256" s="297"/>
      <c r="M256" s="297"/>
      <c r="N256" s="379"/>
      <c r="O256" s="272"/>
      <c r="P256" s="272"/>
      <c r="Q256" s="272"/>
      <c r="R256" s="272"/>
      <c r="S256" s="272"/>
      <c r="T256" s="272"/>
      <c r="U256" s="272"/>
      <c r="V256" s="272"/>
      <c r="W256" s="272"/>
      <c r="X256" s="272"/>
      <c r="Y256" s="272"/>
      <c r="Z256" s="272"/>
      <c r="AA256" s="272"/>
      <c r="AB256" s="272"/>
      <c r="AC256" s="272"/>
      <c r="AD256" s="272"/>
      <c r="AE256" s="272"/>
    </row>
    <row r="257" spans="2:31" ht="14.5">
      <c r="B257" s="377">
        <f t="shared" si="7"/>
        <v>212</v>
      </c>
      <c r="C257" s="385" t="str" cm="1">
        <f t="array" aca="1" ref="C257" ca="1">IF(B257&lt;=$C$9,GetGetCDSName(B257),"")</f>
        <v/>
      </c>
      <c r="D257" s="345"/>
      <c r="E257" s="378"/>
      <c r="F257" s="297"/>
      <c r="G257" s="297"/>
      <c r="H257" s="297"/>
      <c r="I257" s="297"/>
      <c r="J257" s="297"/>
      <c r="K257" s="297"/>
      <c r="L257" s="297"/>
      <c r="M257" s="297"/>
      <c r="N257" s="379"/>
      <c r="O257" s="272"/>
      <c r="P257" s="272"/>
      <c r="Q257" s="272"/>
      <c r="R257" s="272"/>
      <c r="S257" s="272"/>
      <c r="T257" s="272"/>
      <c r="U257" s="272"/>
      <c r="V257" s="272"/>
      <c r="W257" s="272"/>
      <c r="X257" s="272"/>
      <c r="Y257" s="272"/>
      <c r="Z257" s="272"/>
      <c r="AA257" s="272"/>
      <c r="AB257" s="272"/>
      <c r="AC257" s="272"/>
      <c r="AD257" s="272"/>
      <c r="AE257" s="272"/>
    </row>
    <row r="258" spans="2:31" ht="14.5">
      <c r="B258" s="377">
        <f t="shared" si="7"/>
        <v>213</v>
      </c>
      <c r="C258" s="385" t="str" cm="1">
        <f t="array" aca="1" ref="C258" ca="1">IF(B258&lt;=$C$9,GetGetCDSName(B258),"")</f>
        <v/>
      </c>
      <c r="D258" s="345"/>
      <c r="E258" s="378"/>
      <c r="F258" s="297"/>
      <c r="G258" s="297"/>
      <c r="H258" s="297"/>
      <c r="I258" s="297"/>
      <c r="J258" s="297"/>
      <c r="K258" s="297"/>
      <c r="L258" s="297"/>
      <c r="M258" s="297"/>
      <c r="N258" s="379"/>
      <c r="O258" s="272"/>
      <c r="P258" s="272"/>
      <c r="Q258" s="272"/>
      <c r="R258" s="272"/>
      <c r="S258" s="272"/>
      <c r="T258" s="272"/>
      <c r="U258" s="272"/>
      <c r="V258" s="272"/>
      <c r="W258" s="272"/>
      <c r="X258" s="272"/>
      <c r="Y258" s="272"/>
      <c r="Z258" s="272"/>
      <c r="AA258" s="272"/>
      <c r="AB258" s="272"/>
      <c r="AC258" s="272"/>
      <c r="AD258" s="272"/>
      <c r="AE258" s="272"/>
    </row>
    <row r="259" spans="2:31" ht="14.5">
      <c r="B259" s="377">
        <f t="shared" si="7"/>
        <v>214</v>
      </c>
      <c r="C259" s="385" t="str" cm="1">
        <f t="array" aca="1" ref="C259" ca="1">IF(B259&lt;=$C$9,GetGetCDSName(B259),"")</f>
        <v/>
      </c>
      <c r="D259" s="345"/>
      <c r="E259" s="378"/>
      <c r="F259" s="297"/>
      <c r="G259" s="297"/>
      <c r="H259" s="297"/>
      <c r="I259" s="297"/>
      <c r="J259" s="297"/>
      <c r="K259" s="297"/>
      <c r="L259" s="297"/>
      <c r="M259" s="297"/>
      <c r="N259" s="379"/>
      <c r="O259" s="272"/>
      <c r="P259" s="272"/>
      <c r="Q259" s="272"/>
      <c r="R259" s="272"/>
      <c r="S259" s="272"/>
      <c r="T259" s="272"/>
      <c r="U259" s="272"/>
      <c r="V259" s="272"/>
      <c r="W259" s="272"/>
      <c r="X259" s="272"/>
      <c r="Y259" s="272"/>
      <c r="Z259" s="272"/>
      <c r="AA259" s="272"/>
      <c r="AB259" s="272"/>
      <c r="AC259" s="272"/>
      <c r="AD259" s="272"/>
      <c r="AE259" s="272"/>
    </row>
    <row r="260" spans="2:31" ht="14.5">
      <c r="B260" s="377">
        <f t="shared" si="7"/>
        <v>215</v>
      </c>
      <c r="C260" s="385" t="str" cm="1">
        <f t="array" aca="1" ref="C260" ca="1">IF(B260&lt;=$C$9,GetGetCDSName(B260),"")</f>
        <v/>
      </c>
      <c r="D260" s="345"/>
      <c r="E260" s="378"/>
      <c r="F260" s="297"/>
      <c r="G260" s="297"/>
      <c r="H260" s="297"/>
      <c r="I260" s="297"/>
      <c r="J260" s="297"/>
      <c r="K260" s="297"/>
      <c r="L260" s="297"/>
      <c r="M260" s="297"/>
      <c r="N260" s="379"/>
      <c r="O260" s="272"/>
      <c r="P260" s="272"/>
      <c r="Q260" s="272"/>
      <c r="R260" s="272"/>
      <c r="S260" s="272"/>
      <c r="T260" s="272"/>
      <c r="U260" s="272"/>
      <c r="V260" s="272"/>
      <c r="W260" s="272"/>
      <c r="X260" s="272"/>
      <c r="Y260" s="272"/>
      <c r="Z260" s="272"/>
      <c r="AA260" s="272"/>
      <c r="AB260" s="272"/>
      <c r="AC260" s="272"/>
      <c r="AD260" s="272"/>
      <c r="AE260" s="272"/>
    </row>
    <row r="261" spans="2:31" ht="14.5">
      <c r="B261" s="377">
        <f t="shared" si="7"/>
        <v>216</v>
      </c>
      <c r="C261" s="385" t="str" cm="1">
        <f t="array" aca="1" ref="C261" ca="1">IF(B261&lt;=$C$9,GetGetCDSName(B261),"")</f>
        <v/>
      </c>
      <c r="D261" s="345"/>
      <c r="E261" s="378"/>
      <c r="F261" s="297"/>
      <c r="G261" s="297"/>
      <c r="H261" s="297"/>
      <c r="I261" s="297"/>
      <c r="J261" s="297"/>
      <c r="K261" s="297"/>
      <c r="L261" s="297"/>
      <c r="M261" s="297"/>
      <c r="N261" s="379"/>
      <c r="O261" s="272"/>
      <c r="P261" s="272"/>
      <c r="Q261" s="272"/>
      <c r="R261" s="272"/>
      <c r="S261" s="272"/>
      <c r="T261" s="272"/>
      <c r="U261" s="272"/>
      <c r="V261" s="272"/>
      <c r="W261" s="272"/>
      <c r="X261" s="272"/>
      <c r="Y261" s="272"/>
      <c r="Z261" s="272"/>
      <c r="AA261" s="272"/>
      <c r="AB261" s="272"/>
      <c r="AC261" s="272"/>
      <c r="AD261" s="272"/>
      <c r="AE261" s="272"/>
    </row>
    <row r="262" spans="2:31" ht="14.5">
      <c r="B262" s="377">
        <f t="shared" si="7"/>
        <v>217</v>
      </c>
      <c r="C262" s="385" t="str" cm="1">
        <f t="array" aca="1" ref="C262" ca="1">IF(B262&lt;=$C$9,GetGetCDSName(B262),"")</f>
        <v/>
      </c>
      <c r="D262" s="345"/>
      <c r="E262" s="378"/>
      <c r="F262" s="297"/>
      <c r="G262" s="297"/>
      <c r="H262" s="297"/>
      <c r="I262" s="297"/>
      <c r="J262" s="297"/>
      <c r="K262" s="297"/>
      <c r="L262" s="297"/>
      <c r="M262" s="297"/>
      <c r="N262" s="379"/>
      <c r="O262" s="272"/>
      <c r="P262" s="272"/>
      <c r="Q262" s="272"/>
      <c r="R262" s="272"/>
      <c r="S262" s="272"/>
      <c r="T262" s="272"/>
      <c r="U262" s="272"/>
      <c r="V262" s="272"/>
      <c r="W262" s="272"/>
      <c r="X262" s="272"/>
      <c r="Y262" s="272"/>
      <c r="Z262" s="272"/>
      <c r="AA262" s="272"/>
      <c r="AB262" s="272"/>
      <c r="AC262" s="272"/>
      <c r="AD262" s="272"/>
      <c r="AE262" s="272"/>
    </row>
    <row r="263" spans="2:31" ht="14.5">
      <c r="B263" s="377">
        <f t="shared" si="7"/>
        <v>218</v>
      </c>
      <c r="C263" s="385" t="str" cm="1">
        <f t="array" aca="1" ref="C263" ca="1">IF(B263&lt;=$C$9,GetGetCDSName(B263),"")</f>
        <v/>
      </c>
      <c r="D263" s="345"/>
      <c r="E263" s="378"/>
      <c r="F263" s="297"/>
      <c r="G263" s="297"/>
      <c r="H263" s="297"/>
      <c r="I263" s="297"/>
      <c r="J263" s="297"/>
      <c r="K263" s="297"/>
      <c r="L263" s="297"/>
      <c r="M263" s="297"/>
      <c r="N263" s="379"/>
      <c r="O263" s="272"/>
      <c r="P263" s="272"/>
      <c r="Q263" s="272"/>
      <c r="R263" s="272"/>
      <c r="S263" s="272"/>
      <c r="T263" s="272"/>
      <c r="U263" s="272"/>
      <c r="V263" s="272"/>
      <c r="W263" s="272"/>
      <c r="X263" s="272"/>
      <c r="Y263" s="272"/>
      <c r="Z263" s="272"/>
      <c r="AA263" s="272"/>
      <c r="AB263" s="272"/>
      <c r="AC263" s="272"/>
      <c r="AD263" s="272"/>
      <c r="AE263" s="272"/>
    </row>
    <row r="264" spans="2:31" ht="14.5">
      <c r="B264" s="377">
        <f t="shared" si="7"/>
        <v>219</v>
      </c>
      <c r="C264" s="385" t="str" cm="1">
        <f t="array" aca="1" ref="C264" ca="1">IF(B264&lt;=$C$9,GetGetCDSName(B264),"")</f>
        <v/>
      </c>
      <c r="D264" s="345"/>
      <c r="E264" s="378"/>
      <c r="F264" s="297"/>
      <c r="G264" s="297"/>
      <c r="H264" s="297"/>
      <c r="I264" s="297"/>
      <c r="J264" s="297"/>
      <c r="K264" s="297"/>
      <c r="L264" s="297"/>
      <c r="M264" s="297"/>
      <c r="N264" s="379"/>
      <c r="O264" s="272"/>
      <c r="P264" s="272"/>
      <c r="Q264" s="272"/>
      <c r="R264" s="272"/>
      <c r="S264" s="272"/>
      <c r="T264" s="272"/>
      <c r="U264" s="272"/>
      <c r="V264" s="272"/>
      <c r="W264" s="272"/>
      <c r="X264" s="272"/>
      <c r="Y264" s="272"/>
      <c r="Z264" s="272"/>
      <c r="AA264" s="272"/>
      <c r="AB264" s="272"/>
      <c r="AC264" s="272"/>
      <c r="AD264" s="272"/>
      <c r="AE264" s="272"/>
    </row>
    <row r="265" spans="2:31" ht="14.5">
      <c r="B265" s="377">
        <f t="shared" si="7"/>
        <v>220</v>
      </c>
      <c r="C265" s="385" t="str" cm="1">
        <f t="array" aca="1" ref="C265" ca="1">IF(B265&lt;=$C$9,GetGetCDSName(B265),"")</f>
        <v/>
      </c>
      <c r="D265" s="345"/>
      <c r="E265" s="378"/>
      <c r="F265" s="297"/>
      <c r="G265" s="297"/>
      <c r="H265" s="297"/>
      <c r="I265" s="297"/>
      <c r="J265" s="297"/>
      <c r="K265" s="297"/>
      <c r="L265" s="297"/>
      <c r="M265" s="297"/>
      <c r="N265" s="379"/>
      <c r="O265" s="272"/>
      <c r="P265" s="272"/>
      <c r="Q265" s="272"/>
      <c r="R265" s="272"/>
      <c r="S265" s="272"/>
      <c r="T265" s="272"/>
      <c r="U265" s="272"/>
      <c r="V265" s="272"/>
      <c r="W265" s="272"/>
      <c r="X265" s="272"/>
      <c r="Y265" s="272"/>
      <c r="Z265" s="272"/>
      <c r="AA265" s="272"/>
      <c r="AB265" s="272"/>
      <c r="AC265" s="272"/>
      <c r="AD265" s="272"/>
      <c r="AE265" s="272"/>
    </row>
    <row r="266" spans="2:31" ht="14.5">
      <c r="B266" s="377">
        <f t="shared" si="7"/>
        <v>221</v>
      </c>
      <c r="C266" s="385" t="str" cm="1">
        <f t="array" aca="1" ref="C266" ca="1">IF(B266&lt;=$C$9,GetGetCDSName(B266),"")</f>
        <v/>
      </c>
      <c r="D266" s="345"/>
      <c r="E266" s="378"/>
      <c r="F266" s="297"/>
      <c r="G266" s="297"/>
      <c r="H266" s="297"/>
      <c r="I266" s="297"/>
      <c r="J266" s="297"/>
      <c r="K266" s="297"/>
      <c r="L266" s="297"/>
      <c r="M266" s="297"/>
      <c r="N266" s="379"/>
      <c r="O266" s="272"/>
      <c r="P266" s="272"/>
      <c r="Q266" s="272"/>
      <c r="R266" s="272"/>
      <c r="S266" s="272"/>
      <c r="T266" s="272"/>
      <c r="U266" s="272"/>
      <c r="V266" s="272"/>
      <c r="W266" s="272"/>
      <c r="X266" s="272"/>
      <c r="Y266" s="272"/>
      <c r="Z266" s="272"/>
      <c r="AA266" s="272"/>
      <c r="AB266" s="272"/>
      <c r="AC266" s="272"/>
      <c r="AD266" s="272"/>
      <c r="AE266" s="272"/>
    </row>
    <row r="267" spans="2:31" ht="14.5">
      <c r="B267" s="377">
        <f t="shared" si="7"/>
        <v>222</v>
      </c>
      <c r="C267" s="385" t="str" cm="1">
        <f t="array" aca="1" ref="C267" ca="1">IF(B267&lt;=$C$9,GetGetCDSName(B267),"")</f>
        <v/>
      </c>
      <c r="D267" s="345"/>
      <c r="E267" s="378"/>
      <c r="F267" s="297"/>
      <c r="G267" s="297"/>
      <c r="H267" s="297"/>
      <c r="I267" s="297"/>
      <c r="J267" s="297"/>
      <c r="K267" s="297"/>
      <c r="L267" s="297"/>
      <c r="M267" s="297"/>
      <c r="N267" s="379"/>
      <c r="O267" s="272"/>
      <c r="P267" s="272"/>
      <c r="Q267" s="272"/>
      <c r="R267" s="272"/>
      <c r="S267" s="272"/>
      <c r="T267" s="272"/>
      <c r="U267" s="272"/>
      <c r="V267" s="272"/>
      <c r="W267" s="272"/>
      <c r="X267" s="272"/>
      <c r="Y267" s="272"/>
      <c r="Z267" s="272"/>
      <c r="AA267" s="272"/>
      <c r="AB267" s="272"/>
      <c r="AC267" s="272"/>
      <c r="AD267" s="272"/>
      <c r="AE267" s="272"/>
    </row>
    <row r="268" spans="2:31" ht="14.5">
      <c r="B268" s="377">
        <f t="shared" si="7"/>
        <v>223</v>
      </c>
      <c r="C268" s="385" t="str" cm="1">
        <f t="array" aca="1" ref="C268" ca="1">IF(B268&lt;=$C$9,GetGetCDSName(B268),"")</f>
        <v/>
      </c>
      <c r="D268" s="345"/>
      <c r="E268" s="378"/>
      <c r="F268" s="297"/>
      <c r="G268" s="297"/>
      <c r="H268" s="297"/>
      <c r="I268" s="297"/>
      <c r="J268" s="297"/>
      <c r="K268" s="297"/>
      <c r="L268" s="297"/>
      <c r="M268" s="297"/>
      <c r="N268" s="379"/>
      <c r="O268" s="272"/>
      <c r="P268" s="272"/>
      <c r="Q268" s="272"/>
      <c r="R268" s="272"/>
      <c r="S268" s="272"/>
      <c r="T268" s="272"/>
      <c r="U268" s="272"/>
      <c r="V268" s="272"/>
      <c r="W268" s="272"/>
      <c r="X268" s="272"/>
      <c r="Y268" s="272"/>
      <c r="Z268" s="272"/>
      <c r="AA268" s="272"/>
      <c r="AB268" s="272"/>
      <c r="AC268" s="272"/>
      <c r="AD268" s="272"/>
      <c r="AE268" s="272"/>
    </row>
    <row r="269" spans="2:31" ht="14.5">
      <c r="B269" s="377">
        <f t="shared" si="7"/>
        <v>224</v>
      </c>
      <c r="C269" s="385" t="str" cm="1">
        <f t="array" aca="1" ref="C269" ca="1">IF(B269&lt;=$C$9,GetGetCDSName(B269),"")</f>
        <v/>
      </c>
      <c r="D269" s="345"/>
      <c r="E269" s="378"/>
      <c r="F269" s="297"/>
      <c r="G269" s="297"/>
      <c r="H269" s="297"/>
      <c r="I269" s="297"/>
      <c r="J269" s="297"/>
      <c r="K269" s="297"/>
      <c r="L269" s="297"/>
      <c r="M269" s="297"/>
      <c r="N269" s="379"/>
      <c r="O269" s="272"/>
      <c r="P269" s="272"/>
      <c r="Q269" s="272"/>
      <c r="R269" s="272"/>
      <c r="S269" s="272"/>
      <c r="T269" s="272"/>
      <c r="U269" s="272"/>
      <c r="V269" s="272"/>
      <c r="W269" s="272"/>
      <c r="X269" s="272"/>
      <c r="Y269" s="272"/>
      <c r="Z269" s="272"/>
      <c r="AA269" s="272"/>
      <c r="AB269" s="272"/>
      <c r="AC269" s="272"/>
      <c r="AD269" s="272"/>
      <c r="AE269" s="272"/>
    </row>
    <row r="270" spans="2:31" ht="14.5">
      <c r="B270" s="377">
        <f t="shared" si="7"/>
        <v>225</v>
      </c>
      <c r="C270" s="385" t="str" cm="1">
        <f t="array" aca="1" ref="C270" ca="1">IF(B270&lt;=$C$9,GetGetCDSName(B270),"")</f>
        <v/>
      </c>
      <c r="D270" s="345"/>
      <c r="E270" s="378"/>
      <c r="F270" s="297"/>
      <c r="G270" s="297"/>
      <c r="H270" s="297"/>
      <c r="I270" s="297"/>
      <c r="J270" s="297"/>
      <c r="K270" s="297"/>
      <c r="L270" s="297"/>
      <c r="M270" s="297"/>
      <c r="N270" s="379"/>
      <c r="O270" s="272"/>
      <c r="P270" s="272"/>
      <c r="Q270" s="272"/>
      <c r="R270" s="272"/>
      <c r="S270" s="272"/>
      <c r="T270" s="272"/>
      <c r="U270" s="272"/>
      <c r="V270" s="272"/>
      <c r="W270" s="272"/>
      <c r="X270" s="272"/>
      <c r="Y270" s="272"/>
      <c r="Z270" s="272"/>
      <c r="AA270" s="272"/>
      <c r="AB270" s="272"/>
      <c r="AC270" s="272"/>
      <c r="AD270" s="272"/>
      <c r="AE270" s="272"/>
    </row>
    <row r="271" spans="2:31" ht="14.5">
      <c r="B271" s="377">
        <f t="shared" si="7"/>
        <v>226</v>
      </c>
      <c r="C271" s="385" t="str" cm="1">
        <f t="array" aca="1" ref="C271" ca="1">IF(B271&lt;=$C$9,GetGetCDSName(B271),"")</f>
        <v/>
      </c>
      <c r="D271" s="345"/>
      <c r="E271" s="378"/>
      <c r="F271" s="297"/>
      <c r="G271" s="297"/>
      <c r="H271" s="297"/>
      <c r="I271" s="297"/>
      <c r="J271" s="297"/>
      <c r="K271" s="297"/>
      <c r="L271" s="297"/>
      <c r="M271" s="297"/>
      <c r="N271" s="379"/>
      <c r="O271" s="272"/>
      <c r="P271" s="272"/>
      <c r="Q271" s="272"/>
      <c r="R271" s="272"/>
      <c r="S271" s="272"/>
      <c r="T271" s="272"/>
      <c r="U271" s="272"/>
      <c r="V271" s="272"/>
      <c r="W271" s="272"/>
      <c r="X271" s="272"/>
      <c r="Y271" s="272"/>
      <c r="Z271" s="272"/>
      <c r="AA271" s="272"/>
      <c r="AB271" s="272"/>
      <c r="AC271" s="272"/>
      <c r="AD271" s="272"/>
      <c r="AE271" s="272"/>
    </row>
    <row r="272" spans="2:31" ht="14.5">
      <c r="B272" s="377">
        <f t="shared" si="7"/>
        <v>227</v>
      </c>
      <c r="C272" s="385" t="str" cm="1">
        <f t="array" aca="1" ref="C272" ca="1">IF(B272&lt;=$C$9,GetGetCDSName(B272),"")</f>
        <v/>
      </c>
      <c r="D272" s="345"/>
      <c r="E272" s="378"/>
      <c r="F272" s="297"/>
      <c r="G272" s="297"/>
      <c r="H272" s="297"/>
      <c r="I272" s="297"/>
      <c r="J272" s="297"/>
      <c r="K272" s="297"/>
      <c r="L272" s="297"/>
      <c r="M272" s="297"/>
      <c r="N272" s="379"/>
      <c r="O272" s="272"/>
      <c r="P272" s="272"/>
      <c r="Q272" s="272"/>
      <c r="R272" s="272"/>
      <c r="S272" s="272"/>
      <c r="T272" s="272"/>
      <c r="U272" s="272"/>
      <c r="V272" s="272"/>
      <c r="W272" s="272"/>
      <c r="X272" s="272"/>
      <c r="Y272" s="272"/>
      <c r="Z272" s="272"/>
      <c r="AA272" s="272"/>
      <c r="AB272" s="272"/>
      <c r="AC272" s="272"/>
      <c r="AD272" s="272"/>
      <c r="AE272" s="272"/>
    </row>
    <row r="273" spans="2:31" ht="14.5">
      <c r="B273" s="377">
        <f t="shared" si="7"/>
        <v>228</v>
      </c>
      <c r="C273" s="385" t="str" cm="1">
        <f t="array" aca="1" ref="C273" ca="1">IF(B273&lt;=$C$9,GetGetCDSName(B273),"")</f>
        <v/>
      </c>
      <c r="D273" s="345"/>
      <c r="E273" s="378"/>
      <c r="F273" s="297"/>
      <c r="G273" s="297"/>
      <c r="H273" s="297"/>
      <c r="I273" s="297"/>
      <c r="J273" s="297"/>
      <c r="K273" s="297"/>
      <c r="L273" s="297"/>
      <c r="M273" s="297"/>
      <c r="N273" s="379"/>
      <c r="O273" s="272"/>
      <c r="P273" s="272"/>
      <c r="Q273" s="272"/>
      <c r="R273" s="272"/>
      <c r="S273" s="272"/>
      <c r="T273" s="272"/>
      <c r="U273" s="272"/>
      <c r="V273" s="272"/>
      <c r="W273" s="272"/>
      <c r="X273" s="272"/>
      <c r="Y273" s="272"/>
      <c r="Z273" s="272"/>
      <c r="AA273" s="272"/>
      <c r="AB273" s="272"/>
      <c r="AC273" s="272"/>
      <c r="AD273" s="272"/>
      <c r="AE273" s="272"/>
    </row>
    <row r="274" spans="2:31" ht="14.5">
      <c r="B274" s="377">
        <f t="shared" si="7"/>
        <v>229</v>
      </c>
      <c r="C274" s="385" t="str" cm="1">
        <f t="array" aca="1" ref="C274" ca="1">IF(B274&lt;=$C$9,GetGetCDSName(B274),"")</f>
        <v/>
      </c>
      <c r="D274" s="345"/>
      <c r="E274" s="378"/>
      <c r="F274" s="297"/>
      <c r="G274" s="297"/>
      <c r="H274" s="297"/>
      <c r="I274" s="297"/>
      <c r="J274" s="297"/>
      <c r="K274" s="297"/>
      <c r="L274" s="297"/>
      <c r="M274" s="297"/>
      <c r="N274" s="379"/>
      <c r="O274" s="272"/>
      <c r="P274" s="272"/>
      <c r="Q274" s="272"/>
      <c r="R274" s="272"/>
      <c r="S274" s="272"/>
      <c r="T274" s="272"/>
      <c r="U274" s="272"/>
      <c r="V274" s="272"/>
      <c r="W274" s="272"/>
      <c r="X274" s="272"/>
      <c r="Y274" s="272"/>
      <c r="Z274" s="272"/>
      <c r="AA274" s="272"/>
      <c r="AB274" s="272"/>
      <c r="AC274" s="272"/>
      <c r="AD274" s="272"/>
      <c r="AE274" s="272"/>
    </row>
    <row r="275" spans="2:31" ht="14.5">
      <c r="B275" s="377">
        <f t="shared" si="7"/>
        <v>230</v>
      </c>
      <c r="C275" s="385" t="str" cm="1">
        <f t="array" aca="1" ref="C275" ca="1">IF(B275&lt;=$C$9,GetGetCDSName(B275),"")</f>
        <v/>
      </c>
      <c r="D275" s="345"/>
      <c r="E275" s="378"/>
      <c r="F275" s="297"/>
      <c r="G275" s="297"/>
      <c r="H275" s="297"/>
      <c r="I275" s="297"/>
      <c r="J275" s="297"/>
      <c r="K275" s="297"/>
      <c r="L275" s="297"/>
      <c r="M275" s="297"/>
      <c r="N275" s="379"/>
      <c r="O275" s="272"/>
      <c r="P275" s="272"/>
      <c r="Q275" s="272"/>
      <c r="R275" s="272"/>
      <c r="S275" s="272"/>
      <c r="T275" s="272"/>
      <c r="U275" s="272"/>
      <c r="V275" s="272"/>
      <c r="W275" s="272"/>
      <c r="X275" s="272"/>
      <c r="Y275" s="272"/>
      <c r="Z275" s="272"/>
      <c r="AA275" s="272"/>
      <c r="AB275" s="272"/>
      <c r="AC275" s="272"/>
      <c r="AD275" s="272"/>
      <c r="AE275" s="272"/>
    </row>
    <row r="276" spans="2:31" ht="14.5">
      <c r="B276" s="377">
        <f t="shared" si="7"/>
        <v>231</v>
      </c>
      <c r="C276" s="385" t="str" cm="1">
        <f t="array" aca="1" ref="C276" ca="1">IF(B276&lt;=$C$9,GetGetCDSName(B276),"")</f>
        <v/>
      </c>
      <c r="D276" s="345"/>
      <c r="E276" s="378"/>
      <c r="F276" s="297"/>
      <c r="G276" s="297"/>
      <c r="H276" s="297"/>
      <c r="I276" s="297"/>
      <c r="J276" s="297"/>
      <c r="K276" s="297"/>
      <c r="L276" s="297"/>
      <c r="M276" s="297"/>
      <c r="N276" s="379"/>
      <c r="O276" s="272"/>
      <c r="P276" s="272"/>
      <c r="Q276" s="272"/>
      <c r="R276" s="272"/>
      <c r="S276" s="272"/>
      <c r="T276" s="272"/>
      <c r="U276" s="272"/>
      <c r="V276" s="272"/>
      <c r="W276" s="272"/>
      <c r="X276" s="272"/>
      <c r="Y276" s="272"/>
      <c r="Z276" s="272"/>
      <c r="AA276" s="272"/>
      <c r="AB276" s="272"/>
      <c r="AC276" s="272"/>
      <c r="AD276" s="272"/>
      <c r="AE276" s="272"/>
    </row>
    <row r="277" spans="2:31" ht="14.5">
      <c r="B277" s="377">
        <f t="shared" si="7"/>
        <v>232</v>
      </c>
      <c r="C277" s="385" t="str" cm="1">
        <f t="array" aca="1" ref="C277" ca="1">IF(B277&lt;=$C$9,GetGetCDSName(B277),"")</f>
        <v/>
      </c>
      <c r="D277" s="345"/>
      <c r="E277" s="378"/>
      <c r="F277" s="297"/>
      <c r="G277" s="297"/>
      <c r="H277" s="297"/>
      <c r="I277" s="297"/>
      <c r="J277" s="297"/>
      <c r="K277" s="297"/>
      <c r="L277" s="297"/>
      <c r="M277" s="297"/>
      <c r="N277" s="379"/>
      <c r="O277" s="272"/>
      <c r="P277" s="272"/>
      <c r="Q277" s="272"/>
      <c r="R277" s="272"/>
      <c r="S277" s="272"/>
      <c r="T277" s="272"/>
      <c r="U277" s="272"/>
      <c r="V277" s="272"/>
      <c r="W277" s="272"/>
      <c r="X277" s="272"/>
      <c r="Y277" s="272"/>
      <c r="Z277" s="272"/>
      <c r="AA277" s="272"/>
      <c r="AB277" s="272"/>
      <c r="AC277" s="272"/>
      <c r="AD277" s="272"/>
      <c r="AE277" s="272"/>
    </row>
    <row r="278" spans="2:31" ht="14.5">
      <c r="B278" s="377">
        <f t="shared" si="7"/>
        <v>233</v>
      </c>
      <c r="C278" s="385" t="str" cm="1">
        <f t="array" aca="1" ref="C278" ca="1">IF(B278&lt;=$C$9,GetGetCDSName(B278),"")</f>
        <v/>
      </c>
      <c r="D278" s="345"/>
      <c r="E278" s="378"/>
      <c r="F278" s="297"/>
      <c r="G278" s="297"/>
      <c r="H278" s="297"/>
      <c r="I278" s="297"/>
      <c r="J278" s="297"/>
      <c r="K278" s="297"/>
      <c r="L278" s="297"/>
      <c r="M278" s="297"/>
      <c r="N278" s="379"/>
      <c r="O278" s="272"/>
      <c r="P278" s="272"/>
      <c r="Q278" s="272"/>
      <c r="R278" s="272"/>
      <c r="S278" s="272"/>
      <c r="T278" s="272"/>
      <c r="U278" s="272"/>
      <c r="V278" s="272"/>
      <c r="W278" s="272"/>
      <c r="X278" s="272"/>
      <c r="Y278" s="272"/>
      <c r="Z278" s="272"/>
      <c r="AA278" s="272"/>
      <c r="AB278" s="272"/>
      <c r="AC278" s="272"/>
      <c r="AD278" s="272"/>
      <c r="AE278" s="272"/>
    </row>
    <row r="279" spans="2:31" ht="14.5">
      <c r="B279" s="377">
        <f t="shared" si="7"/>
        <v>234</v>
      </c>
      <c r="C279" s="385" t="str" cm="1">
        <f t="array" aca="1" ref="C279" ca="1">IF(B279&lt;=$C$9,GetGetCDSName(B279),"")</f>
        <v/>
      </c>
      <c r="D279" s="345"/>
      <c r="E279" s="378"/>
      <c r="F279" s="297"/>
      <c r="G279" s="297"/>
      <c r="H279" s="297"/>
      <c r="I279" s="297"/>
      <c r="J279" s="297"/>
      <c r="K279" s="297"/>
      <c r="L279" s="297"/>
      <c r="M279" s="297"/>
      <c r="N279" s="379"/>
      <c r="O279" s="272"/>
      <c r="P279" s="272"/>
      <c r="Q279" s="272"/>
      <c r="R279" s="272"/>
      <c r="S279" s="272"/>
      <c r="T279" s="272"/>
      <c r="U279" s="272"/>
      <c r="V279" s="272"/>
      <c r="W279" s="272"/>
      <c r="X279" s="272"/>
      <c r="Y279" s="272"/>
      <c r="Z279" s="272"/>
      <c r="AA279" s="272"/>
      <c r="AB279" s="272"/>
      <c r="AC279" s="272"/>
      <c r="AD279" s="272"/>
      <c r="AE279" s="272"/>
    </row>
    <row r="280" spans="2:31" ht="14.5">
      <c r="B280" s="377">
        <f t="shared" si="7"/>
        <v>235</v>
      </c>
      <c r="C280" s="385" t="str" cm="1">
        <f t="array" aca="1" ref="C280" ca="1">IF(B280&lt;=$C$9,GetGetCDSName(B280),"")</f>
        <v/>
      </c>
      <c r="D280" s="345"/>
      <c r="E280" s="378"/>
      <c r="F280" s="297"/>
      <c r="G280" s="297"/>
      <c r="H280" s="297"/>
      <c r="I280" s="297"/>
      <c r="J280" s="297"/>
      <c r="K280" s="297"/>
      <c r="L280" s="297"/>
      <c r="M280" s="297"/>
      <c r="N280" s="379"/>
      <c r="O280" s="272"/>
      <c r="P280" s="272"/>
      <c r="Q280" s="272"/>
      <c r="R280" s="272"/>
      <c r="S280" s="272"/>
      <c r="T280" s="272"/>
      <c r="U280" s="272"/>
      <c r="V280" s="272"/>
      <c r="W280" s="272"/>
      <c r="X280" s="272"/>
      <c r="Y280" s="272"/>
      <c r="Z280" s="272"/>
      <c r="AA280" s="272"/>
      <c r="AB280" s="272"/>
      <c r="AC280" s="272"/>
      <c r="AD280" s="272"/>
      <c r="AE280" s="272"/>
    </row>
    <row r="281" spans="2:31" ht="14.5">
      <c r="B281" s="377">
        <f t="shared" si="7"/>
        <v>236</v>
      </c>
      <c r="C281" s="385" t="str" cm="1">
        <f t="array" aca="1" ref="C281" ca="1">IF(B281&lt;=$C$9,GetGetCDSName(B281),"")</f>
        <v/>
      </c>
      <c r="D281" s="345"/>
      <c r="E281" s="378"/>
      <c r="F281" s="297"/>
      <c r="G281" s="297"/>
      <c r="H281" s="297"/>
      <c r="I281" s="297"/>
      <c r="J281" s="297"/>
      <c r="K281" s="297"/>
      <c r="L281" s="297"/>
      <c r="M281" s="297"/>
      <c r="N281" s="379"/>
      <c r="O281" s="272"/>
      <c r="P281" s="272"/>
      <c r="Q281" s="272"/>
      <c r="R281" s="272"/>
      <c r="S281" s="272"/>
      <c r="T281" s="272"/>
      <c r="U281" s="272"/>
      <c r="V281" s="272"/>
      <c r="W281" s="272"/>
      <c r="X281" s="272"/>
      <c r="Y281" s="272"/>
      <c r="Z281" s="272"/>
      <c r="AA281" s="272"/>
      <c r="AB281" s="272"/>
      <c r="AC281" s="272"/>
      <c r="AD281" s="272"/>
      <c r="AE281" s="272"/>
    </row>
    <row r="282" spans="2:31" ht="14.5">
      <c r="B282" s="377">
        <f t="shared" si="7"/>
        <v>237</v>
      </c>
      <c r="C282" s="385" t="str" cm="1">
        <f t="array" aca="1" ref="C282" ca="1">IF(B282&lt;=$C$9,GetGetCDSName(B282),"")</f>
        <v/>
      </c>
      <c r="D282" s="345"/>
      <c r="E282" s="378"/>
      <c r="F282" s="297"/>
      <c r="G282" s="297"/>
      <c r="H282" s="297"/>
      <c r="I282" s="297"/>
      <c r="J282" s="297"/>
      <c r="K282" s="297"/>
      <c r="L282" s="297"/>
      <c r="M282" s="297"/>
      <c r="N282" s="379"/>
      <c r="O282" s="272"/>
      <c r="P282" s="272"/>
      <c r="Q282" s="272"/>
      <c r="R282" s="272"/>
      <c r="S282" s="272"/>
      <c r="T282" s="272"/>
      <c r="U282" s="272"/>
      <c r="V282" s="272"/>
      <c r="W282" s="272"/>
      <c r="X282" s="272"/>
      <c r="Y282" s="272"/>
      <c r="Z282" s="272"/>
      <c r="AA282" s="272"/>
      <c r="AB282" s="272"/>
      <c r="AC282" s="272"/>
      <c r="AD282" s="272"/>
      <c r="AE282" s="272"/>
    </row>
    <row r="283" spans="2:31" ht="14.5">
      <c r="B283" s="377">
        <f t="shared" si="7"/>
        <v>238</v>
      </c>
      <c r="C283" s="385" t="str" cm="1">
        <f t="array" aca="1" ref="C283" ca="1">IF(B283&lt;=$C$9,GetGetCDSName(B283),"")</f>
        <v/>
      </c>
      <c r="D283" s="345"/>
      <c r="E283" s="378"/>
      <c r="F283" s="297"/>
      <c r="G283" s="297"/>
      <c r="H283" s="297"/>
      <c r="I283" s="297"/>
      <c r="J283" s="297"/>
      <c r="K283" s="297"/>
      <c r="L283" s="297"/>
      <c r="M283" s="297"/>
      <c r="N283" s="379"/>
      <c r="O283" s="272"/>
      <c r="P283" s="272"/>
      <c r="Q283" s="272"/>
      <c r="R283" s="272"/>
      <c r="S283" s="272"/>
      <c r="T283" s="272"/>
      <c r="U283" s="272"/>
      <c r="V283" s="272"/>
      <c r="W283" s="272"/>
      <c r="X283" s="272"/>
      <c r="Y283" s="272"/>
      <c r="Z283" s="272"/>
      <c r="AA283" s="272"/>
      <c r="AB283" s="272"/>
      <c r="AC283" s="272"/>
      <c r="AD283" s="272"/>
      <c r="AE283" s="272"/>
    </row>
    <row r="284" spans="2:31" ht="14.5">
      <c r="B284" s="377">
        <f t="shared" si="7"/>
        <v>239</v>
      </c>
      <c r="C284" s="385" t="str" cm="1">
        <f t="array" aca="1" ref="C284" ca="1">IF(B284&lt;=$C$9,GetGetCDSName(B284),"")</f>
        <v/>
      </c>
      <c r="D284" s="345"/>
      <c r="E284" s="378"/>
      <c r="F284" s="297"/>
      <c r="G284" s="297"/>
      <c r="H284" s="297"/>
      <c r="I284" s="297"/>
      <c r="J284" s="297"/>
      <c r="K284" s="297"/>
      <c r="L284" s="297"/>
      <c r="M284" s="297"/>
      <c r="N284" s="379"/>
      <c r="O284" s="272"/>
      <c r="P284" s="272"/>
      <c r="Q284" s="272"/>
      <c r="R284" s="272"/>
      <c r="S284" s="272"/>
      <c r="T284" s="272"/>
      <c r="U284" s="272"/>
      <c r="V284" s="272"/>
      <c r="W284" s="272"/>
      <c r="X284" s="272"/>
      <c r="Y284" s="272"/>
      <c r="Z284" s="272"/>
      <c r="AA284" s="272"/>
      <c r="AB284" s="272"/>
      <c r="AC284" s="272"/>
      <c r="AD284" s="272"/>
      <c r="AE284" s="272"/>
    </row>
    <row r="285" spans="2:31" ht="14.5">
      <c r="B285" s="377">
        <f t="shared" si="7"/>
        <v>240</v>
      </c>
      <c r="C285" s="385" t="str" cm="1">
        <f t="array" aca="1" ref="C285" ca="1">IF(B285&lt;=$C$9,GetGetCDSName(B285),"")</f>
        <v/>
      </c>
      <c r="D285" s="345"/>
      <c r="E285" s="378"/>
      <c r="F285" s="297"/>
      <c r="G285" s="297"/>
      <c r="H285" s="297"/>
      <c r="I285" s="297"/>
      <c r="J285" s="297"/>
      <c r="K285" s="297"/>
      <c r="L285" s="297"/>
      <c r="M285" s="297"/>
      <c r="N285" s="379"/>
      <c r="O285" s="272"/>
      <c r="P285" s="272"/>
      <c r="Q285" s="272"/>
      <c r="R285" s="272"/>
      <c r="S285" s="272"/>
      <c r="T285" s="272"/>
      <c r="U285" s="272"/>
      <c r="V285" s="272"/>
      <c r="W285" s="272"/>
      <c r="X285" s="272"/>
      <c r="Y285" s="272"/>
      <c r="Z285" s="272"/>
      <c r="AA285" s="272"/>
      <c r="AB285" s="272"/>
      <c r="AC285" s="272"/>
      <c r="AD285" s="272"/>
      <c r="AE285" s="272"/>
    </row>
    <row r="286" spans="2:31" ht="14.5">
      <c r="B286" s="377">
        <f t="shared" si="7"/>
        <v>241</v>
      </c>
      <c r="C286" s="385" t="str" cm="1">
        <f t="array" aca="1" ref="C286" ca="1">IF(B286&lt;=$C$9,GetGetCDSName(B286),"")</f>
        <v/>
      </c>
      <c r="D286" s="345"/>
      <c r="E286" s="378"/>
      <c r="F286" s="297"/>
      <c r="G286" s="297"/>
      <c r="H286" s="297"/>
      <c r="I286" s="297"/>
      <c r="J286" s="297"/>
      <c r="K286" s="297"/>
      <c r="L286" s="297"/>
      <c r="M286" s="297"/>
      <c r="N286" s="379"/>
      <c r="O286" s="272"/>
      <c r="P286" s="272"/>
      <c r="Q286" s="272"/>
      <c r="R286" s="272"/>
      <c r="S286" s="272"/>
      <c r="T286" s="272"/>
      <c r="U286" s="272"/>
      <c r="V286" s="272"/>
      <c r="W286" s="272"/>
      <c r="X286" s="272"/>
      <c r="Y286" s="272"/>
      <c r="Z286" s="272"/>
      <c r="AA286" s="272"/>
      <c r="AB286" s="272"/>
      <c r="AC286" s="272"/>
      <c r="AD286" s="272"/>
      <c r="AE286" s="272"/>
    </row>
    <row r="287" spans="2:31" ht="14.5">
      <c r="B287" s="377">
        <f t="shared" si="7"/>
        <v>242</v>
      </c>
      <c r="C287" s="385" t="str" cm="1">
        <f t="array" aca="1" ref="C287" ca="1">IF(B287&lt;=$C$9,GetGetCDSName(B287),"")</f>
        <v/>
      </c>
      <c r="D287" s="345"/>
      <c r="E287" s="378"/>
      <c r="F287" s="297"/>
      <c r="G287" s="297"/>
      <c r="H287" s="297"/>
      <c r="I287" s="297"/>
      <c r="J287" s="297"/>
      <c r="K287" s="297"/>
      <c r="L287" s="297"/>
      <c r="M287" s="297"/>
      <c r="N287" s="379"/>
      <c r="O287" s="272"/>
      <c r="P287" s="272"/>
      <c r="Q287" s="272"/>
      <c r="R287" s="272"/>
      <c r="S287" s="272"/>
      <c r="T287" s="272"/>
      <c r="U287" s="272"/>
      <c r="V287" s="272"/>
      <c r="W287" s="272"/>
      <c r="X287" s="272"/>
      <c r="Y287" s="272"/>
      <c r="Z287" s="272"/>
      <c r="AA287" s="272"/>
      <c r="AB287" s="272"/>
      <c r="AC287" s="272"/>
      <c r="AD287" s="272"/>
      <c r="AE287" s="272"/>
    </row>
    <row r="288" spans="2:31" ht="14.5">
      <c r="B288" s="377">
        <f t="shared" si="7"/>
        <v>243</v>
      </c>
      <c r="C288" s="385" t="str" cm="1">
        <f t="array" aca="1" ref="C288" ca="1">IF(B288&lt;=$C$9,GetGetCDSName(B288),"")</f>
        <v/>
      </c>
      <c r="D288" s="345"/>
      <c r="E288" s="378"/>
      <c r="F288" s="297"/>
      <c r="G288" s="297"/>
      <c r="H288" s="297"/>
      <c r="I288" s="297"/>
      <c r="J288" s="297"/>
      <c r="K288" s="297"/>
      <c r="L288" s="297"/>
      <c r="M288" s="297"/>
      <c r="N288" s="379"/>
      <c r="O288" s="272"/>
      <c r="P288" s="272"/>
      <c r="Q288" s="272"/>
      <c r="R288" s="272"/>
      <c r="S288" s="272"/>
      <c r="T288" s="272"/>
      <c r="U288" s="272"/>
      <c r="V288" s="272"/>
      <c r="W288" s="272"/>
      <c r="X288" s="272"/>
      <c r="Y288" s="272"/>
      <c r="Z288" s="272"/>
      <c r="AA288" s="272"/>
      <c r="AB288" s="272"/>
      <c r="AC288" s="272"/>
      <c r="AD288" s="272"/>
      <c r="AE288" s="272"/>
    </row>
    <row r="289" spans="2:31" ht="14.5">
      <c r="B289" s="377">
        <f t="shared" si="7"/>
        <v>244</v>
      </c>
      <c r="C289" s="385" t="str" cm="1">
        <f t="array" aca="1" ref="C289" ca="1">IF(B289&lt;=$C$9,GetGetCDSName(B289),"")</f>
        <v/>
      </c>
      <c r="D289" s="345"/>
      <c r="E289" s="378"/>
      <c r="F289" s="297"/>
      <c r="G289" s="297"/>
      <c r="H289" s="297"/>
      <c r="I289" s="297"/>
      <c r="J289" s="297"/>
      <c r="K289" s="297"/>
      <c r="L289" s="297"/>
      <c r="M289" s="297"/>
      <c r="N289" s="379"/>
      <c r="O289" s="272"/>
      <c r="P289" s="272"/>
      <c r="Q289" s="272"/>
      <c r="R289" s="272"/>
      <c r="S289" s="272"/>
      <c r="T289" s="272"/>
      <c r="U289" s="272"/>
      <c r="V289" s="272"/>
      <c r="W289" s="272"/>
      <c r="X289" s="272"/>
      <c r="Y289" s="272"/>
      <c r="Z289" s="272"/>
      <c r="AA289" s="272"/>
      <c r="AB289" s="272"/>
      <c r="AC289" s="272"/>
      <c r="AD289" s="272"/>
      <c r="AE289" s="272"/>
    </row>
    <row r="290" spans="2:31" ht="14.5">
      <c r="B290" s="377">
        <f t="shared" si="7"/>
        <v>245</v>
      </c>
      <c r="C290" s="385" t="str" cm="1">
        <f t="array" aca="1" ref="C290" ca="1">IF(B290&lt;=$C$9,GetGetCDSName(B290),"")</f>
        <v/>
      </c>
      <c r="D290" s="345"/>
      <c r="E290" s="378"/>
      <c r="F290" s="297"/>
      <c r="G290" s="297"/>
      <c r="H290" s="297"/>
      <c r="I290" s="297"/>
      <c r="J290" s="297"/>
      <c r="K290" s="297"/>
      <c r="L290" s="297"/>
      <c r="M290" s="297"/>
      <c r="N290" s="379"/>
      <c r="O290" s="272"/>
      <c r="P290" s="272"/>
      <c r="Q290" s="272"/>
      <c r="R290" s="272"/>
      <c r="S290" s="272"/>
      <c r="T290" s="272"/>
      <c r="U290" s="272"/>
      <c r="V290" s="272"/>
      <c r="W290" s="272"/>
      <c r="X290" s="272"/>
      <c r="Y290" s="272"/>
      <c r="Z290" s="272"/>
      <c r="AA290" s="272"/>
      <c r="AB290" s="272"/>
      <c r="AC290" s="272"/>
      <c r="AD290" s="272"/>
      <c r="AE290" s="272"/>
    </row>
    <row r="291" spans="2:31" ht="14.5">
      <c r="B291" s="377">
        <f t="shared" si="7"/>
        <v>246</v>
      </c>
      <c r="C291" s="385" t="str" cm="1">
        <f t="array" aca="1" ref="C291" ca="1">IF(B291&lt;=$C$9,GetGetCDSName(B291),"")</f>
        <v/>
      </c>
      <c r="D291" s="345"/>
      <c r="E291" s="378"/>
      <c r="F291" s="297"/>
      <c r="G291" s="297"/>
      <c r="H291" s="297"/>
      <c r="I291" s="297"/>
      <c r="J291" s="297"/>
      <c r="K291" s="297"/>
      <c r="L291" s="297"/>
      <c r="M291" s="297"/>
      <c r="N291" s="379"/>
      <c r="O291" s="272"/>
      <c r="P291" s="272"/>
      <c r="Q291" s="272"/>
      <c r="R291" s="272"/>
      <c r="S291" s="272"/>
      <c r="T291" s="272"/>
      <c r="U291" s="272"/>
      <c r="V291" s="272"/>
      <c r="W291" s="272"/>
      <c r="X291" s="272"/>
      <c r="Y291" s="272"/>
      <c r="Z291" s="272"/>
      <c r="AA291" s="272"/>
      <c r="AB291" s="272"/>
      <c r="AC291" s="272"/>
      <c r="AD291" s="272"/>
      <c r="AE291" s="272"/>
    </row>
    <row r="292" spans="2:31" ht="14.5">
      <c r="B292" s="377">
        <f t="shared" si="7"/>
        <v>247</v>
      </c>
      <c r="C292" s="385" t="str" cm="1">
        <f t="array" aca="1" ref="C292" ca="1">IF(B292&lt;=$C$9,GetGetCDSName(B292),"")</f>
        <v/>
      </c>
      <c r="D292" s="345"/>
      <c r="E292" s="378"/>
      <c r="F292" s="297"/>
      <c r="G292" s="297"/>
      <c r="H292" s="297"/>
      <c r="I292" s="297"/>
      <c r="J292" s="297"/>
      <c r="K292" s="297"/>
      <c r="L292" s="297"/>
      <c r="M292" s="297"/>
      <c r="N292" s="379"/>
      <c r="O292" s="272"/>
      <c r="P292" s="272"/>
      <c r="Q292" s="272"/>
      <c r="R292" s="272"/>
      <c r="S292" s="272"/>
      <c r="T292" s="272"/>
      <c r="U292" s="272"/>
      <c r="V292" s="272"/>
      <c r="W292" s="272"/>
      <c r="X292" s="272"/>
      <c r="Y292" s="272"/>
      <c r="Z292" s="272"/>
      <c r="AA292" s="272"/>
      <c r="AB292" s="272"/>
      <c r="AC292" s="272"/>
      <c r="AD292" s="272"/>
      <c r="AE292" s="272"/>
    </row>
    <row r="293" spans="2:31" ht="14.5">
      <c r="B293" s="377">
        <f t="shared" si="7"/>
        <v>248</v>
      </c>
      <c r="C293" s="385" t="str" cm="1">
        <f t="array" aca="1" ref="C293" ca="1">IF(B293&lt;=$C$9,GetGetCDSName(B293),"")</f>
        <v/>
      </c>
      <c r="D293" s="345"/>
      <c r="E293" s="378"/>
      <c r="F293" s="297"/>
      <c r="G293" s="297"/>
      <c r="H293" s="297"/>
      <c r="I293" s="297"/>
      <c r="J293" s="297"/>
      <c r="K293" s="297"/>
      <c r="L293" s="297"/>
      <c r="M293" s="297"/>
      <c r="N293" s="379"/>
      <c r="O293" s="272"/>
      <c r="P293" s="272"/>
      <c r="Q293" s="272"/>
      <c r="R293" s="272"/>
      <c r="S293" s="272"/>
      <c r="T293" s="272"/>
      <c r="U293" s="272"/>
      <c r="V293" s="272"/>
      <c r="W293" s="272"/>
      <c r="X293" s="272"/>
      <c r="Y293" s="272"/>
      <c r="Z293" s="272"/>
      <c r="AA293" s="272"/>
      <c r="AB293" s="272"/>
      <c r="AC293" s="272"/>
      <c r="AD293" s="272"/>
      <c r="AE293" s="272"/>
    </row>
    <row r="294" spans="2:31" ht="14.5">
      <c r="B294" s="377">
        <f t="shared" si="7"/>
        <v>249</v>
      </c>
      <c r="C294" s="385" t="str" cm="1">
        <f t="array" aca="1" ref="C294" ca="1">IF(B294&lt;=$C$9,GetGetCDSName(B294),"")</f>
        <v/>
      </c>
      <c r="D294" s="345"/>
      <c r="E294" s="378"/>
      <c r="F294" s="297"/>
      <c r="G294" s="297"/>
      <c r="H294" s="297"/>
      <c r="I294" s="297"/>
      <c r="J294" s="297"/>
      <c r="K294" s="297"/>
      <c r="L294" s="297"/>
      <c r="M294" s="297"/>
      <c r="N294" s="379"/>
      <c r="O294" s="272"/>
      <c r="P294" s="272"/>
      <c r="Q294" s="272"/>
      <c r="R294" s="272"/>
      <c r="S294" s="272"/>
      <c r="T294" s="272"/>
      <c r="U294" s="272"/>
      <c r="V294" s="272"/>
      <c r="W294" s="272"/>
      <c r="X294" s="272"/>
      <c r="Y294" s="272"/>
      <c r="Z294" s="272"/>
      <c r="AA294" s="272"/>
      <c r="AB294" s="272"/>
      <c r="AC294" s="272"/>
      <c r="AD294" s="272"/>
      <c r="AE294" s="272"/>
    </row>
    <row r="295" spans="2:31" ht="14.5">
      <c r="B295" s="377">
        <f t="shared" si="7"/>
        <v>250</v>
      </c>
      <c r="C295" s="385" t="str" cm="1">
        <f t="array" aca="1" ref="C295" ca="1">IF(B295&lt;=$C$9,GetGetCDSName(B295),"")</f>
        <v/>
      </c>
      <c r="D295" s="345"/>
      <c r="E295" s="378"/>
      <c r="F295" s="297"/>
      <c r="G295" s="297"/>
      <c r="H295" s="297"/>
      <c r="I295" s="297"/>
      <c r="J295" s="297"/>
      <c r="K295" s="297"/>
      <c r="L295" s="297"/>
      <c r="M295" s="297"/>
      <c r="N295" s="379"/>
      <c r="O295" s="272"/>
      <c r="P295" s="272"/>
      <c r="Q295" s="272"/>
      <c r="R295" s="272"/>
      <c r="S295" s="272"/>
      <c r="T295" s="272"/>
      <c r="U295" s="272"/>
      <c r="V295" s="272"/>
      <c r="W295" s="272"/>
      <c r="X295" s="272"/>
      <c r="Y295" s="272"/>
      <c r="Z295" s="272"/>
      <c r="AA295" s="272"/>
      <c r="AB295" s="272"/>
      <c r="AC295" s="272"/>
      <c r="AD295" s="272"/>
      <c r="AE295" s="272"/>
    </row>
    <row r="296" spans="2:31" ht="14.5">
      <c r="B296" s="377">
        <f t="shared" si="7"/>
        <v>251</v>
      </c>
      <c r="C296" s="385" t="str" cm="1">
        <f t="array" aca="1" ref="C296" ca="1">IF(B296&lt;=$C$9,GetGetCDSName(B296),"")</f>
        <v/>
      </c>
      <c r="D296" s="345"/>
      <c r="E296" s="378"/>
      <c r="F296" s="297"/>
      <c r="G296" s="297"/>
      <c r="H296" s="297"/>
      <c r="I296" s="297"/>
      <c r="J296" s="297"/>
      <c r="K296" s="297"/>
      <c r="L296" s="297"/>
      <c r="M296" s="297"/>
      <c r="N296" s="379"/>
      <c r="O296" s="272"/>
      <c r="P296" s="272"/>
      <c r="Q296" s="272"/>
      <c r="R296" s="272"/>
      <c r="S296" s="272"/>
      <c r="T296" s="272"/>
      <c r="U296" s="272"/>
      <c r="V296" s="272"/>
      <c r="W296" s="272"/>
      <c r="X296" s="272"/>
      <c r="Y296" s="272"/>
      <c r="Z296" s="272"/>
      <c r="AA296" s="272"/>
      <c r="AB296" s="272"/>
      <c r="AC296" s="272"/>
      <c r="AD296" s="272"/>
      <c r="AE296" s="272"/>
    </row>
    <row r="297" spans="2:31" ht="14.5">
      <c r="B297" s="377">
        <f t="shared" si="7"/>
        <v>252</v>
      </c>
      <c r="C297" s="385" t="str" cm="1">
        <f t="array" aca="1" ref="C297" ca="1">IF(B297&lt;=$C$9,GetGetCDSName(B297),"")</f>
        <v/>
      </c>
      <c r="D297" s="345"/>
      <c r="E297" s="378"/>
      <c r="F297" s="297"/>
      <c r="G297" s="297"/>
      <c r="H297" s="297"/>
      <c r="I297" s="297"/>
      <c r="J297" s="297"/>
      <c r="K297" s="297"/>
      <c r="L297" s="297"/>
      <c r="M297" s="297"/>
      <c r="N297" s="379"/>
      <c r="O297" s="272"/>
      <c r="P297" s="272"/>
      <c r="Q297" s="272"/>
      <c r="R297" s="272"/>
      <c r="S297" s="272"/>
      <c r="T297" s="272"/>
      <c r="U297" s="272"/>
      <c r="V297" s="272"/>
      <c r="W297" s="272"/>
      <c r="X297" s="272"/>
      <c r="Y297" s="272"/>
      <c r="Z297" s="272"/>
      <c r="AA297" s="272"/>
      <c r="AB297" s="272"/>
      <c r="AC297" s="272"/>
      <c r="AD297" s="272"/>
      <c r="AE297" s="272"/>
    </row>
    <row r="298" spans="2:31" ht="14.5">
      <c r="B298" s="377">
        <f t="shared" si="7"/>
        <v>253</v>
      </c>
      <c r="C298" s="385" t="str" cm="1">
        <f t="array" aca="1" ref="C298" ca="1">IF(B298&lt;=$C$9,GetGetCDSName(B298),"")</f>
        <v/>
      </c>
      <c r="D298" s="345"/>
      <c r="E298" s="378"/>
      <c r="F298" s="297"/>
      <c r="G298" s="297"/>
      <c r="H298" s="297"/>
      <c r="I298" s="297"/>
      <c r="J298" s="297"/>
      <c r="K298" s="297"/>
      <c r="L298" s="297"/>
      <c r="M298" s="297"/>
      <c r="N298" s="379"/>
      <c r="O298" s="272"/>
      <c r="P298" s="272"/>
      <c r="Q298" s="272"/>
      <c r="R298" s="272"/>
      <c r="S298" s="272"/>
      <c r="T298" s="272"/>
      <c r="U298" s="272"/>
      <c r="V298" s="272"/>
      <c r="W298" s="272"/>
      <c r="X298" s="272"/>
      <c r="Y298" s="272"/>
      <c r="Z298" s="272"/>
      <c r="AA298" s="272"/>
      <c r="AB298" s="272"/>
      <c r="AC298" s="272"/>
      <c r="AD298" s="272"/>
      <c r="AE298" s="272"/>
    </row>
    <row r="299" spans="2:31" ht="14.5">
      <c r="B299" s="377">
        <f t="shared" si="7"/>
        <v>254</v>
      </c>
      <c r="C299" s="385" t="str" cm="1">
        <f t="array" aca="1" ref="C299" ca="1">IF(B299&lt;=$C$9,GetGetCDSName(B299),"")</f>
        <v/>
      </c>
      <c r="D299" s="345"/>
      <c r="E299" s="378"/>
      <c r="F299" s="297"/>
      <c r="G299" s="297"/>
      <c r="H299" s="297"/>
      <c r="I299" s="297"/>
      <c r="J299" s="297"/>
      <c r="K299" s="297"/>
      <c r="L299" s="297"/>
      <c r="M299" s="297"/>
      <c r="N299" s="379"/>
      <c r="O299" s="272"/>
      <c r="P299" s="272"/>
      <c r="Q299" s="272"/>
      <c r="R299" s="272"/>
      <c r="S299" s="272"/>
      <c r="T299" s="272"/>
      <c r="U299" s="272"/>
      <c r="V299" s="272"/>
      <c r="W299" s="272"/>
      <c r="X299" s="272"/>
      <c r="Y299" s="272"/>
      <c r="Z299" s="272"/>
      <c r="AA299" s="272"/>
      <c r="AB299" s="272"/>
      <c r="AC299" s="272"/>
      <c r="AD299" s="272"/>
      <c r="AE299" s="272"/>
    </row>
    <row r="300" spans="2:31" ht="14.5">
      <c r="B300" s="377">
        <f t="shared" si="7"/>
        <v>255</v>
      </c>
      <c r="C300" s="385" t="str" cm="1">
        <f t="array" aca="1" ref="C300" ca="1">IF(B300&lt;=$C$9,GetGetCDSName(B300),"")</f>
        <v/>
      </c>
      <c r="D300" s="345"/>
      <c r="E300" s="378"/>
      <c r="F300" s="297"/>
      <c r="G300" s="297"/>
      <c r="H300" s="297"/>
      <c r="I300" s="297"/>
      <c r="J300" s="297"/>
      <c r="K300" s="297"/>
      <c r="L300" s="297"/>
      <c r="M300" s="297"/>
      <c r="N300" s="379"/>
      <c r="O300" s="272"/>
      <c r="P300" s="272"/>
      <c r="Q300" s="272"/>
      <c r="R300" s="272"/>
      <c r="S300" s="272"/>
      <c r="T300" s="272"/>
      <c r="U300" s="272"/>
      <c r="V300" s="272"/>
      <c r="W300" s="272"/>
      <c r="X300" s="272"/>
      <c r="Y300" s="272"/>
      <c r="Z300" s="272"/>
      <c r="AA300" s="272"/>
      <c r="AB300" s="272"/>
      <c r="AC300" s="272"/>
      <c r="AD300" s="272"/>
      <c r="AE300" s="272"/>
    </row>
    <row r="301" spans="2:31" ht="14.5">
      <c r="B301" s="377">
        <f t="shared" si="7"/>
        <v>256</v>
      </c>
      <c r="C301" s="385" t="str" cm="1">
        <f t="array" aca="1" ref="C301" ca="1">IF(B301&lt;=$C$9,GetGetCDSName(B301),"")</f>
        <v/>
      </c>
      <c r="D301" s="345"/>
      <c r="E301" s="378"/>
      <c r="F301" s="297"/>
      <c r="G301" s="297"/>
      <c r="H301" s="297"/>
      <c r="I301" s="297"/>
      <c r="J301" s="297"/>
      <c r="K301" s="297"/>
      <c r="L301" s="297"/>
      <c r="M301" s="297"/>
      <c r="N301" s="379"/>
      <c r="O301" s="272"/>
      <c r="P301" s="272"/>
      <c r="Q301" s="272"/>
      <c r="R301" s="272"/>
      <c r="S301" s="272"/>
      <c r="T301" s="272"/>
      <c r="U301" s="272"/>
      <c r="V301" s="272"/>
      <c r="W301" s="272"/>
      <c r="X301" s="272"/>
      <c r="Y301" s="272"/>
      <c r="Z301" s="272"/>
      <c r="AA301" s="272"/>
      <c r="AB301" s="272"/>
      <c r="AC301" s="272"/>
      <c r="AD301" s="272"/>
      <c r="AE301" s="272"/>
    </row>
    <row r="302" spans="2:31" ht="14.5">
      <c r="B302" s="377">
        <f t="shared" si="7"/>
        <v>257</v>
      </c>
      <c r="C302" s="385" t="str" cm="1">
        <f t="array" aca="1" ref="C302" ca="1">IF(B302&lt;=$C$9,GetGetCDSName(B302),"")</f>
        <v/>
      </c>
      <c r="D302" s="345"/>
      <c r="E302" s="378"/>
      <c r="F302" s="297"/>
      <c r="G302" s="297"/>
      <c r="H302" s="297"/>
      <c r="I302" s="297"/>
      <c r="J302" s="297"/>
      <c r="K302" s="297"/>
      <c r="L302" s="297"/>
      <c r="M302" s="297"/>
      <c r="N302" s="379"/>
      <c r="O302" s="272"/>
      <c r="P302" s="272"/>
      <c r="Q302" s="272"/>
      <c r="R302" s="272"/>
      <c r="S302" s="272"/>
      <c r="T302" s="272"/>
      <c r="U302" s="272"/>
      <c r="V302" s="272"/>
      <c r="W302" s="272"/>
      <c r="X302" s="272"/>
      <c r="Y302" s="272"/>
      <c r="Z302" s="272"/>
      <c r="AA302" s="272"/>
      <c r="AB302" s="272"/>
      <c r="AC302" s="272"/>
      <c r="AD302" s="272"/>
      <c r="AE302" s="272"/>
    </row>
    <row r="303" spans="2:31" ht="14.5">
      <c r="B303" s="377">
        <f t="shared" ref="B303:B345" si="8">B302+1</f>
        <v>258</v>
      </c>
      <c r="C303" s="385" t="str" cm="1">
        <f t="array" aca="1" ref="C303" ca="1">IF(B303&lt;=$C$9,GetGetCDSName(B303),"")</f>
        <v/>
      </c>
      <c r="D303" s="345"/>
      <c r="E303" s="378"/>
      <c r="F303" s="297"/>
      <c r="G303" s="297"/>
      <c r="H303" s="297"/>
      <c r="I303" s="297"/>
      <c r="J303" s="297"/>
      <c r="K303" s="297"/>
      <c r="L303" s="297"/>
      <c r="M303" s="297"/>
      <c r="N303" s="379"/>
      <c r="O303" s="272"/>
      <c r="P303" s="272"/>
      <c r="Q303" s="272"/>
      <c r="R303" s="272"/>
      <c r="S303" s="272"/>
      <c r="T303" s="272"/>
      <c r="U303" s="272"/>
      <c r="V303" s="272"/>
      <c r="W303" s="272"/>
      <c r="X303" s="272"/>
      <c r="Y303" s="272"/>
      <c r="Z303" s="272"/>
      <c r="AA303" s="272"/>
      <c r="AB303" s="272"/>
      <c r="AC303" s="272"/>
      <c r="AD303" s="272"/>
      <c r="AE303" s="272"/>
    </row>
    <row r="304" spans="2:31" ht="14.5">
      <c r="B304" s="377">
        <f t="shared" si="8"/>
        <v>259</v>
      </c>
      <c r="C304" s="385" t="str" cm="1">
        <f t="array" aca="1" ref="C304" ca="1">IF(B304&lt;=$C$9,GetGetCDSName(B304),"")</f>
        <v/>
      </c>
      <c r="D304" s="345"/>
      <c r="E304" s="378"/>
      <c r="F304" s="297"/>
      <c r="G304" s="297"/>
      <c r="H304" s="297"/>
      <c r="I304" s="297"/>
      <c r="J304" s="297"/>
      <c r="K304" s="297"/>
      <c r="L304" s="297"/>
      <c r="M304" s="297"/>
      <c r="N304" s="379"/>
      <c r="O304" s="272"/>
      <c r="P304" s="272"/>
      <c r="Q304" s="272"/>
      <c r="R304" s="272"/>
      <c r="S304" s="272"/>
      <c r="T304" s="272"/>
      <c r="U304" s="272"/>
      <c r="V304" s="272"/>
      <c r="W304" s="272"/>
      <c r="X304" s="272"/>
      <c r="Y304" s="272"/>
      <c r="Z304" s="272"/>
      <c r="AA304" s="272"/>
      <c r="AB304" s="272"/>
      <c r="AC304" s="272"/>
      <c r="AD304" s="272"/>
      <c r="AE304" s="272"/>
    </row>
    <row r="305" spans="2:31" ht="14.5">
      <c r="B305" s="377">
        <f t="shared" si="8"/>
        <v>260</v>
      </c>
      <c r="C305" s="385" t="str" cm="1">
        <f t="array" aca="1" ref="C305" ca="1">IF(B305&lt;=$C$9,GetGetCDSName(B305),"")</f>
        <v/>
      </c>
      <c r="D305" s="345"/>
      <c r="E305" s="378"/>
      <c r="F305" s="297"/>
      <c r="G305" s="297"/>
      <c r="H305" s="297"/>
      <c r="I305" s="297"/>
      <c r="J305" s="297"/>
      <c r="K305" s="297"/>
      <c r="L305" s="297"/>
      <c r="M305" s="297"/>
      <c r="N305" s="379"/>
      <c r="O305" s="272"/>
      <c r="P305" s="272"/>
      <c r="Q305" s="272"/>
      <c r="R305" s="272"/>
      <c r="S305" s="272"/>
      <c r="T305" s="272"/>
      <c r="U305" s="272"/>
      <c r="V305" s="272"/>
      <c r="W305" s="272"/>
      <c r="X305" s="272"/>
      <c r="Y305" s="272"/>
      <c r="Z305" s="272"/>
      <c r="AA305" s="272"/>
      <c r="AB305" s="272"/>
      <c r="AC305" s="272"/>
      <c r="AD305" s="272"/>
      <c r="AE305" s="272"/>
    </row>
    <row r="306" spans="2:31" ht="14.5">
      <c r="B306" s="377">
        <f t="shared" si="8"/>
        <v>261</v>
      </c>
      <c r="C306" s="385" t="str" cm="1">
        <f t="array" aca="1" ref="C306" ca="1">IF(B306&lt;=$C$9,GetGetCDSName(B306),"")</f>
        <v/>
      </c>
      <c r="D306" s="345"/>
      <c r="E306" s="378"/>
      <c r="F306" s="297"/>
      <c r="G306" s="297"/>
      <c r="H306" s="297"/>
      <c r="I306" s="297"/>
      <c r="J306" s="297"/>
      <c r="K306" s="297"/>
      <c r="L306" s="297"/>
      <c r="M306" s="297"/>
      <c r="N306" s="379"/>
      <c r="O306" s="272"/>
      <c r="P306" s="272"/>
      <c r="Q306" s="272"/>
      <c r="R306" s="272"/>
      <c r="S306" s="272"/>
      <c r="T306" s="272"/>
      <c r="U306" s="272"/>
      <c r="V306" s="272"/>
      <c r="W306" s="272"/>
      <c r="X306" s="272"/>
      <c r="Y306" s="272"/>
      <c r="Z306" s="272"/>
      <c r="AA306" s="272"/>
      <c r="AB306" s="272"/>
      <c r="AC306" s="272"/>
      <c r="AD306" s="272"/>
      <c r="AE306" s="272"/>
    </row>
    <row r="307" spans="2:31" ht="14.5">
      <c r="B307" s="377">
        <f t="shared" si="8"/>
        <v>262</v>
      </c>
      <c r="C307" s="385" t="str" cm="1">
        <f t="array" aca="1" ref="C307" ca="1">IF(B307&lt;=$C$9,GetGetCDSName(B307),"")</f>
        <v/>
      </c>
      <c r="D307" s="345"/>
      <c r="E307" s="378"/>
      <c r="F307" s="297"/>
      <c r="G307" s="297"/>
      <c r="H307" s="297"/>
      <c r="I307" s="297"/>
      <c r="J307" s="297"/>
      <c r="K307" s="297"/>
      <c r="L307" s="297"/>
      <c r="M307" s="297"/>
      <c r="N307" s="379"/>
      <c r="O307" s="272"/>
      <c r="P307" s="272"/>
      <c r="Q307" s="272"/>
      <c r="R307" s="272"/>
      <c r="S307" s="272"/>
      <c r="T307" s="272"/>
      <c r="U307" s="272"/>
      <c r="V307" s="272"/>
      <c r="W307" s="272"/>
      <c r="X307" s="272"/>
      <c r="Y307" s="272"/>
      <c r="Z307" s="272"/>
      <c r="AA307" s="272"/>
      <c r="AB307" s="272"/>
      <c r="AC307" s="272"/>
      <c r="AD307" s="272"/>
      <c r="AE307" s="272"/>
    </row>
    <row r="308" spans="2:31" ht="14.5">
      <c r="B308" s="377">
        <f t="shared" si="8"/>
        <v>263</v>
      </c>
      <c r="C308" s="385" t="str" cm="1">
        <f t="array" aca="1" ref="C308" ca="1">IF(B308&lt;=$C$9,GetGetCDSName(B308),"")</f>
        <v/>
      </c>
      <c r="D308" s="345"/>
      <c r="E308" s="378"/>
      <c r="F308" s="297"/>
      <c r="G308" s="297"/>
      <c r="H308" s="297"/>
      <c r="I308" s="297"/>
      <c r="J308" s="297"/>
      <c r="K308" s="297"/>
      <c r="L308" s="297"/>
      <c r="M308" s="297"/>
      <c r="N308" s="379"/>
      <c r="O308" s="272"/>
      <c r="P308" s="272"/>
      <c r="Q308" s="272"/>
      <c r="R308" s="272"/>
      <c r="S308" s="272"/>
      <c r="T308" s="272"/>
      <c r="U308" s="272"/>
      <c r="V308" s="272"/>
      <c r="W308" s="272"/>
      <c r="X308" s="272"/>
      <c r="Y308" s="272"/>
      <c r="Z308" s="272"/>
      <c r="AA308" s="272"/>
      <c r="AB308" s="272"/>
      <c r="AC308" s="272"/>
      <c r="AD308" s="272"/>
      <c r="AE308" s="272"/>
    </row>
    <row r="309" spans="2:31" ht="14.5">
      <c r="B309" s="377">
        <f t="shared" si="8"/>
        <v>264</v>
      </c>
      <c r="C309" s="385" t="str" cm="1">
        <f t="array" aca="1" ref="C309" ca="1">IF(B309&lt;=$C$9,GetGetCDSName(B309),"")</f>
        <v/>
      </c>
      <c r="D309" s="345"/>
      <c r="E309" s="378"/>
      <c r="F309" s="297"/>
      <c r="G309" s="297"/>
      <c r="H309" s="297"/>
      <c r="I309" s="297"/>
      <c r="J309" s="297"/>
      <c r="K309" s="297"/>
      <c r="L309" s="297"/>
      <c r="M309" s="297"/>
      <c r="N309" s="379"/>
      <c r="O309" s="272"/>
      <c r="P309" s="272"/>
      <c r="Q309" s="272"/>
      <c r="R309" s="272"/>
      <c r="S309" s="272"/>
      <c r="T309" s="272"/>
      <c r="U309" s="272"/>
      <c r="V309" s="272"/>
      <c r="W309" s="272"/>
      <c r="X309" s="272"/>
      <c r="Y309" s="272"/>
      <c r="Z309" s="272"/>
      <c r="AA309" s="272"/>
      <c r="AB309" s="272"/>
      <c r="AC309" s="272"/>
      <c r="AD309" s="272"/>
      <c r="AE309" s="272"/>
    </row>
    <row r="310" spans="2:31" ht="14.5">
      <c r="B310" s="377">
        <f t="shared" si="8"/>
        <v>265</v>
      </c>
      <c r="C310" s="385" t="str" cm="1">
        <f t="array" aca="1" ref="C310" ca="1">IF(B310&lt;=$C$9,GetGetCDSName(B310),"")</f>
        <v/>
      </c>
      <c r="D310" s="345"/>
      <c r="E310" s="378"/>
      <c r="F310" s="297"/>
      <c r="G310" s="297"/>
      <c r="H310" s="297"/>
      <c r="I310" s="297"/>
      <c r="J310" s="297"/>
      <c r="K310" s="297"/>
      <c r="L310" s="297"/>
      <c r="M310" s="297"/>
      <c r="N310" s="379"/>
      <c r="O310" s="272"/>
      <c r="P310" s="272"/>
      <c r="Q310" s="272"/>
      <c r="R310" s="272"/>
      <c r="S310" s="272"/>
      <c r="T310" s="272"/>
      <c r="U310" s="272"/>
      <c r="V310" s="272"/>
      <c r="W310" s="272"/>
      <c r="X310" s="272"/>
      <c r="Y310" s="272"/>
      <c r="Z310" s="272"/>
      <c r="AA310" s="272"/>
      <c r="AB310" s="272"/>
      <c r="AC310" s="272"/>
      <c r="AD310" s="272"/>
      <c r="AE310" s="272"/>
    </row>
    <row r="311" spans="2:31" ht="14.5">
      <c r="B311" s="377">
        <f t="shared" si="8"/>
        <v>266</v>
      </c>
      <c r="C311" s="385" t="str" cm="1">
        <f t="array" aca="1" ref="C311" ca="1">IF(B311&lt;=$C$9,GetGetCDSName(B311),"")</f>
        <v/>
      </c>
      <c r="D311" s="345"/>
      <c r="E311" s="378"/>
      <c r="F311" s="297"/>
      <c r="G311" s="297"/>
      <c r="H311" s="297"/>
      <c r="I311" s="297"/>
      <c r="J311" s="297"/>
      <c r="K311" s="297"/>
      <c r="L311" s="297"/>
      <c r="M311" s="297"/>
      <c r="N311" s="379"/>
      <c r="O311" s="272"/>
      <c r="P311" s="272"/>
      <c r="Q311" s="272"/>
      <c r="R311" s="272"/>
      <c r="S311" s="272"/>
      <c r="T311" s="272"/>
      <c r="U311" s="272"/>
      <c r="V311" s="272"/>
      <c r="W311" s="272"/>
      <c r="X311" s="272"/>
      <c r="Y311" s="272"/>
      <c r="Z311" s="272"/>
      <c r="AA311" s="272"/>
      <c r="AB311" s="272"/>
      <c r="AC311" s="272"/>
      <c r="AD311" s="272"/>
      <c r="AE311" s="272"/>
    </row>
    <row r="312" spans="2:31" ht="14.5">
      <c r="B312" s="377">
        <f t="shared" si="8"/>
        <v>267</v>
      </c>
      <c r="C312" s="385" t="str" cm="1">
        <f t="array" aca="1" ref="C312" ca="1">IF(B312&lt;=$C$9,GetGetCDSName(B312),"")</f>
        <v/>
      </c>
      <c r="D312" s="345"/>
      <c r="E312" s="378"/>
      <c r="F312" s="297"/>
      <c r="G312" s="297"/>
      <c r="H312" s="297"/>
      <c r="I312" s="297"/>
      <c r="J312" s="297"/>
      <c r="K312" s="297"/>
      <c r="L312" s="297"/>
      <c r="M312" s="297"/>
      <c r="N312" s="379"/>
      <c r="O312" s="272"/>
      <c r="P312" s="272"/>
      <c r="Q312" s="272"/>
      <c r="R312" s="272"/>
      <c r="S312" s="272"/>
      <c r="T312" s="272"/>
      <c r="U312" s="272"/>
      <c r="V312" s="272"/>
      <c r="W312" s="272"/>
      <c r="X312" s="272"/>
      <c r="Y312" s="272"/>
      <c r="Z312" s="272"/>
      <c r="AA312" s="272"/>
      <c r="AB312" s="272"/>
      <c r="AC312" s="272"/>
      <c r="AD312" s="272"/>
      <c r="AE312" s="272"/>
    </row>
    <row r="313" spans="2:31" ht="14.5">
      <c r="B313" s="377">
        <f t="shared" si="8"/>
        <v>268</v>
      </c>
      <c r="C313" s="385" t="str" cm="1">
        <f t="array" aca="1" ref="C313" ca="1">IF(B313&lt;=$C$9,GetGetCDSName(B313),"")</f>
        <v/>
      </c>
      <c r="D313" s="345"/>
      <c r="E313" s="378"/>
      <c r="F313" s="297"/>
      <c r="G313" s="297"/>
      <c r="H313" s="297"/>
      <c r="I313" s="297"/>
      <c r="J313" s="297"/>
      <c r="K313" s="297"/>
      <c r="L313" s="297"/>
      <c r="M313" s="297"/>
      <c r="N313" s="379"/>
      <c r="O313" s="272"/>
      <c r="P313" s="272"/>
      <c r="Q313" s="272"/>
      <c r="R313" s="272"/>
      <c r="S313" s="272"/>
      <c r="T313" s="272"/>
      <c r="U313" s="272"/>
      <c r="V313" s="272"/>
      <c r="W313" s="272"/>
      <c r="X313" s="272"/>
      <c r="Y313" s="272"/>
      <c r="Z313" s="272"/>
      <c r="AA313" s="272"/>
      <c r="AB313" s="272"/>
      <c r="AC313" s="272"/>
      <c r="AD313" s="272"/>
      <c r="AE313" s="272"/>
    </row>
    <row r="314" spans="2:31" ht="14.5">
      <c r="B314" s="377">
        <f t="shared" si="8"/>
        <v>269</v>
      </c>
      <c r="C314" s="385" t="str" cm="1">
        <f t="array" aca="1" ref="C314" ca="1">IF(B314&lt;=$C$9,GetGetCDSName(B314),"")</f>
        <v/>
      </c>
      <c r="D314" s="345"/>
      <c r="E314" s="378"/>
      <c r="F314" s="297"/>
      <c r="G314" s="297"/>
      <c r="H314" s="297"/>
      <c r="I314" s="297"/>
      <c r="J314" s="297"/>
      <c r="K314" s="297"/>
      <c r="L314" s="297"/>
      <c r="M314" s="297"/>
      <c r="N314" s="379"/>
      <c r="O314" s="272"/>
      <c r="P314" s="272"/>
      <c r="Q314" s="272"/>
      <c r="R314" s="272"/>
      <c r="S314" s="272"/>
      <c r="T314" s="272"/>
      <c r="U314" s="272"/>
      <c r="V314" s="272"/>
      <c r="W314" s="272"/>
      <c r="X314" s="272"/>
      <c r="Y314" s="272"/>
      <c r="Z314" s="272"/>
      <c r="AA314" s="272"/>
      <c r="AB314" s="272"/>
      <c r="AC314" s="272"/>
      <c r="AD314" s="272"/>
      <c r="AE314" s="272"/>
    </row>
    <row r="315" spans="2:31" ht="14.5">
      <c r="B315" s="377">
        <f t="shared" si="8"/>
        <v>270</v>
      </c>
      <c r="C315" s="385" t="str" cm="1">
        <f t="array" aca="1" ref="C315" ca="1">IF(B315&lt;=$C$9,GetGetCDSName(B315),"")</f>
        <v/>
      </c>
      <c r="D315" s="345"/>
      <c r="E315" s="378"/>
      <c r="F315" s="297"/>
      <c r="G315" s="297"/>
      <c r="H315" s="297"/>
      <c r="I315" s="297"/>
      <c r="J315" s="297"/>
      <c r="K315" s="297"/>
      <c r="L315" s="297"/>
      <c r="M315" s="297"/>
      <c r="N315" s="379"/>
      <c r="O315" s="272"/>
      <c r="P315" s="272"/>
      <c r="Q315" s="272"/>
      <c r="R315" s="272"/>
      <c r="S315" s="272"/>
      <c r="T315" s="272"/>
      <c r="U315" s="272"/>
      <c r="V315" s="272"/>
      <c r="W315" s="272"/>
      <c r="X315" s="272"/>
      <c r="Y315" s="272"/>
      <c r="Z315" s="272"/>
      <c r="AA315" s="272"/>
      <c r="AB315" s="272"/>
      <c r="AC315" s="272"/>
      <c r="AD315" s="272"/>
      <c r="AE315" s="272"/>
    </row>
    <row r="316" spans="2:31" ht="14.5">
      <c r="B316" s="377">
        <f t="shared" si="8"/>
        <v>271</v>
      </c>
      <c r="C316" s="385" t="str" cm="1">
        <f t="array" aca="1" ref="C316" ca="1">IF(B316&lt;=$C$9,GetGetCDSName(B316),"")</f>
        <v/>
      </c>
      <c r="D316" s="345"/>
      <c r="E316" s="378"/>
      <c r="F316" s="297"/>
      <c r="G316" s="297"/>
      <c r="H316" s="297"/>
      <c r="I316" s="297"/>
      <c r="J316" s="297"/>
      <c r="K316" s="297"/>
      <c r="L316" s="297"/>
      <c r="M316" s="297"/>
      <c r="N316" s="379"/>
      <c r="O316" s="272"/>
      <c r="P316" s="272"/>
      <c r="Q316" s="272"/>
      <c r="R316" s="272"/>
      <c r="S316" s="272"/>
      <c r="T316" s="272"/>
      <c r="U316" s="272"/>
      <c r="V316" s="272"/>
      <c r="W316" s="272"/>
      <c r="X316" s="272"/>
      <c r="Y316" s="272"/>
      <c r="Z316" s="272"/>
      <c r="AA316" s="272"/>
      <c r="AB316" s="272"/>
      <c r="AC316" s="272"/>
      <c r="AD316" s="272"/>
      <c r="AE316" s="272"/>
    </row>
    <row r="317" spans="2:31" ht="14.5">
      <c r="B317" s="377">
        <f t="shared" si="8"/>
        <v>272</v>
      </c>
      <c r="C317" s="385" t="str" cm="1">
        <f t="array" aca="1" ref="C317" ca="1">IF(B317&lt;=$C$9,GetGetCDSName(B317),"")</f>
        <v/>
      </c>
      <c r="D317" s="345"/>
      <c r="E317" s="378"/>
      <c r="F317" s="297"/>
      <c r="G317" s="297"/>
      <c r="H317" s="297"/>
      <c r="I317" s="297"/>
      <c r="J317" s="297"/>
      <c r="K317" s="297"/>
      <c r="L317" s="297"/>
      <c r="M317" s="297"/>
      <c r="N317" s="379"/>
      <c r="O317" s="272"/>
      <c r="P317" s="272"/>
      <c r="Q317" s="272"/>
      <c r="R317" s="272"/>
      <c r="S317" s="272"/>
      <c r="T317" s="272"/>
      <c r="U317" s="272"/>
      <c r="V317" s="272"/>
      <c r="W317" s="272"/>
      <c r="X317" s="272"/>
      <c r="Y317" s="272"/>
      <c r="Z317" s="272"/>
      <c r="AA317" s="272"/>
      <c r="AB317" s="272"/>
      <c r="AC317" s="272"/>
      <c r="AD317" s="272"/>
      <c r="AE317" s="272"/>
    </row>
    <row r="318" spans="2:31" ht="14.5">
      <c r="B318" s="377">
        <f t="shared" si="8"/>
        <v>273</v>
      </c>
      <c r="C318" s="385" t="str" cm="1">
        <f t="array" aca="1" ref="C318" ca="1">IF(B318&lt;=$C$9,GetGetCDSName(B318),"")</f>
        <v/>
      </c>
      <c r="D318" s="345"/>
      <c r="E318" s="378"/>
      <c r="F318" s="297"/>
      <c r="G318" s="297"/>
      <c r="H318" s="297"/>
      <c r="I318" s="297"/>
      <c r="J318" s="297"/>
      <c r="K318" s="297"/>
      <c r="L318" s="297"/>
      <c r="M318" s="297"/>
      <c r="N318" s="379"/>
      <c r="O318" s="272"/>
      <c r="P318" s="272"/>
      <c r="Q318" s="272"/>
      <c r="R318" s="272"/>
      <c r="S318" s="272"/>
      <c r="T318" s="272"/>
      <c r="U318" s="272"/>
      <c r="V318" s="272"/>
      <c r="W318" s="272"/>
      <c r="X318" s="272"/>
      <c r="Y318" s="272"/>
      <c r="Z318" s="272"/>
      <c r="AA318" s="272"/>
      <c r="AB318" s="272"/>
      <c r="AC318" s="272"/>
      <c r="AD318" s="272"/>
      <c r="AE318" s="272"/>
    </row>
    <row r="319" spans="2:31" ht="14.5">
      <c r="B319" s="377">
        <f t="shared" si="8"/>
        <v>274</v>
      </c>
      <c r="C319" s="385" t="str" cm="1">
        <f t="array" aca="1" ref="C319" ca="1">IF(B319&lt;=$C$9,GetGetCDSName(B319),"")</f>
        <v/>
      </c>
      <c r="D319" s="345"/>
      <c r="E319" s="378"/>
      <c r="F319" s="297"/>
      <c r="G319" s="297"/>
      <c r="H319" s="297"/>
      <c r="I319" s="297"/>
      <c r="J319" s="297"/>
      <c r="K319" s="297"/>
      <c r="L319" s="297"/>
      <c r="M319" s="297"/>
      <c r="N319" s="379"/>
      <c r="O319" s="272"/>
      <c r="P319" s="272"/>
      <c r="Q319" s="272"/>
      <c r="R319" s="272"/>
      <c r="S319" s="272"/>
      <c r="T319" s="272"/>
      <c r="U319" s="272"/>
      <c r="V319" s="272"/>
      <c r="W319" s="272"/>
      <c r="X319" s="272"/>
      <c r="Y319" s="272"/>
      <c r="Z319" s="272"/>
      <c r="AA319" s="272"/>
      <c r="AB319" s="272"/>
      <c r="AC319" s="272"/>
      <c r="AD319" s="272"/>
      <c r="AE319" s="272"/>
    </row>
    <row r="320" spans="2:31" ht="14.5">
      <c r="B320" s="377">
        <f t="shared" si="8"/>
        <v>275</v>
      </c>
      <c r="C320" s="385" t="str" cm="1">
        <f t="array" aca="1" ref="C320" ca="1">IF(B320&lt;=$C$9,GetGetCDSName(B320),"")</f>
        <v/>
      </c>
      <c r="D320" s="345"/>
      <c r="E320" s="378"/>
      <c r="F320" s="297"/>
      <c r="G320" s="297"/>
      <c r="H320" s="297"/>
      <c r="I320" s="297"/>
      <c r="J320" s="297"/>
      <c r="K320" s="297"/>
      <c r="L320" s="297"/>
      <c r="M320" s="297"/>
      <c r="N320" s="379"/>
      <c r="O320" s="272"/>
      <c r="P320" s="272"/>
      <c r="Q320" s="272"/>
      <c r="R320" s="272"/>
      <c r="S320" s="272"/>
      <c r="T320" s="272"/>
      <c r="U320" s="272"/>
      <c r="V320" s="272"/>
      <c r="W320" s="272"/>
      <c r="X320" s="272"/>
      <c r="Y320" s="272"/>
      <c r="Z320" s="272"/>
      <c r="AA320" s="272"/>
      <c r="AB320" s="272"/>
      <c r="AC320" s="272"/>
      <c r="AD320" s="272"/>
      <c r="AE320" s="272"/>
    </row>
    <row r="321" spans="2:31" ht="14.5">
      <c r="B321" s="377">
        <f t="shared" si="8"/>
        <v>276</v>
      </c>
      <c r="C321" s="385" t="str" cm="1">
        <f t="array" aca="1" ref="C321" ca="1">IF(B321&lt;=$C$9,GetGetCDSName(B321),"")</f>
        <v/>
      </c>
      <c r="D321" s="345"/>
      <c r="E321" s="378"/>
      <c r="F321" s="297"/>
      <c r="G321" s="297"/>
      <c r="H321" s="297"/>
      <c r="I321" s="297"/>
      <c r="J321" s="297"/>
      <c r="K321" s="297"/>
      <c r="L321" s="297"/>
      <c r="M321" s="297"/>
      <c r="N321" s="379"/>
      <c r="O321" s="272"/>
      <c r="P321" s="272"/>
      <c r="Q321" s="272"/>
      <c r="R321" s="272"/>
      <c r="S321" s="272"/>
      <c r="T321" s="272"/>
      <c r="U321" s="272"/>
      <c r="V321" s="272"/>
      <c r="W321" s="272"/>
      <c r="X321" s="272"/>
      <c r="Y321" s="272"/>
      <c r="Z321" s="272"/>
      <c r="AA321" s="272"/>
      <c r="AB321" s="272"/>
      <c r="AC321" s="272"/>
      <c r="AD321" s="272"/>
      <c r="AE321" s="272"/>
    </row>
    <row r="322" spans="2:31" ht="14.5">
      <c r="B322" s="377">
        <f t="shared" si="8"/>
        <v>277</v>
      </c>
      <c r="C322" s="385" t="str" cm="1">
        <f t="array" aca="1" ref="C322" ca="1">IF(B322&lt;=$C$9,GetGetCDSName(B322),"")</f>
        <v/>
      </c>
      <c r="D322" s="345"/>
      <c r="E322" s="378"/>
      <c r="F322" s="297"/>
      <c r="G322" s="297"/>
      <c r="H322" s="297"/>
      <c r="I322" s="297"/>
      <c r="J322" s="297"/>
      <c r="K322" s="297"/>
      <c r="L322" s="297"/>
      <c r="M322" s="297"/>
      <c r="N322" s="379"/>
      <c r="O322" s="272"/>
      <c r="P322" s="272"/>
      <c r="Q322" s="272"/>
      <c r="R322" s="272"/>
      <c r="S322" s="272"/>
      <c r="T322" s="272"/>
      <c r="U322" s="272"/>
      <c r="V322" s="272"/>
      <c r="W322" s="272"/>
      <c r="X322" s="272"/>
      <c r="Y322" s="272"/>
      <c r="Z322" s="272"/>
      <c r="AA322" s="272"/>
      <c r="AB322" s="272"/>
      <c r="AC322" s="272"/>
      <c r="AD322" s="272"/>
      <c r="AE322" s="272"/>
    </row>
    <row r="323" spans="2:31" ht="14.5">
      <c r="B323" s="377">
        <f t="shared" si="8"/>
        <v>278</v>
      </c>
      <c r="C323" s="385" t="str" cm="1">
        <f t="array" aca="1" ref="C323" ca="1">IF(B323&lt;=$C$9,GetGetCDSName(B323),"")</f>
        <v/>
      </c>
      <c r="D323" s="345"/>
      <c r="E323" s="378"/>
      <c r="F323" s="297"/>
      <c r="G323" s="297"/>
      <c r="H323" s="297"/>
      <c r="I323" s="297"/>
      <c r="J323" s="297"/>
      <c r="K323" s="297"/>
      <c r="L323" s="297"/>
      <c r="M323" s="297"/>
      <c r="N323" s="379"/>
      <c r="O323" s="272"/>
      <c r="P323" s="272"/>
      <c r="Q323" s="272"/>
      <c r="R323" s="272"/>
      <c r="S323" s="272"/>
      <c r="T323" s="272"/>
      <c r="U323" s="272"/>
      <c r="V323" s="272"/>
      <c r="W323" s="272"/>
      <c r="X323" s="272"/>
      <c r="Y323" s="272"/>
      <c r="Z323" s="272"/>
      <c r="AA323" s="272"/>
      <c r="AB323" s="272"/>
      <c r="AC323" s="272"/>
      <c r="AD323" s="272"/>
      <c r="AE323" s="272"/>
    </row>
    <row r="324" spans="2:31" ht="14.5">
      <c r="B324" s="377">
        <f t="shared" si="8"/>
        <v>279</v>
      </c>
      <c r="C324" s="385" t="str" cm="1">
        <f t="array" aca="1" ref="C324" ca="1">IF(B324&lt;=$C$9,GetGetCDSName(B324),"")</f>
        <v/>
      </c>
      <c r="D324" s="345"/>
      <c r="E324" s="378"/>
      <c r="F324" s="297"/>
      <c r="G324" s="297"/>
      <c r="H324" s="297"/>
      <c r="I324" s="297"/>
      <c r="J324" s="297"/>
      <c r="K324" s="297"/>
      <c r="L324" s="297"/>
      <c r="M324" s="297"/>
      <c r="N324" s="379"/>
      <c r="O324" s="272"/>
      <c r="P324" s="272"/>
      <c r="Q324" s="272"/>
      <c r="R324" s="272"/>
      <c r="S324" s="272"/>
      <c r="T324" s="272"/>
      <c r="U324" s="272"/>
      <c r="V324" s="272"/>
      <c r="W324" s="272"/>
      <c r="X324" s="272"/>
      <c r="Y324" s="272"/>
      <c r="Z324" s="272"/>
      <c r="AA324" s="272"/>
      <c r="AB324" s="272"/>
      <c r="AC324" s="272"/>
      <c r="AD324" s="272"/>
      <c r="AE324" s="272"/>
    </row>
    <row r="325" spans="2:31" ht="14.5">
      <c r="B325" s="377">
        <f t="shared" si="8"/>
        <v>280</v>
      </c>
      <c r="C325" s="385" t="str" cm="1">
        <f t="array" aca="1" ref="C325" ca="1">IF(B325&lt;=$C$9,GetGetCDSName(B325),"")</f>
        <v/>
      </c>
      <c r="D325" s="345"/>
      <c r="E325" s="378"/>
      <c r="F325" s="297"/>
      <c r="G325" s="297"/>
      <c r="H325" s="297"/>
      <c r="I325" s="297"/>
      <c r="J325" s="297"/>
      <c r="K325" s="297"/>
      <c r="L325" s="297"/>
      <c r="M325" s="297"/>
      <c r="N325" s="379"/>
      <c r="O325" s="272"/>
      <c r="P325" s="272"/>
      <c r="Q325" s="272"/>
      <c r="R325" s="272"/>
      <c r="S325" s="272"/>
      <c r="T325" s="272"/>
      <c r="U325" s="272"/>
      <c r="V325" s="272"/>
      <c r="W325" s="272"/>
      <c r="X325" s="272"/>
      <c r="Y325" s="272"/>
      <c r="Z325" s="272"/>
      <c r="AA325" s="272"/>
      <c r="AB325" s="272"/>
      <c r="AC325" s="272"/>
      <c r="AD325" s="272"/>
      <c r="AE325" s="272"/>
    </row>
    <row r="326" spans="2:31" ht="14.5">
      <c r="B326" s="377">
        <f t="shared" si="8"/>
        <v>281</v>
      </c>
      <c r="C326" s="385" t="str" cm="1">
        <f t="array" aca="1" ref="C326" ca="1">IF(B326&lt;=$C$9,GetGetCDSName(B326),"")</f>
        <v/>
      </c>
      <c r="D326" s="345"/>
      <c r="E326" s="378"/>
      <c r="F326" s="297"/>
      <c r="G326" s="297"/>
      <c r="H326" s="297"/>
      <c r="I326" s="297"/>
      <c r="J326" s="297"/>
      <c r="K326" s="297"/>
      <c r="L326" s="297"/>
      <c r="M326" s="297"/>
      <c r="N326" s="379"/>
      <c r="O326" s="272"/>
      <c r="P326" s="272"/>
      <c r="Q326" s="272"/>
      <c r="R326" s="272"/>
      <c r="S326" s="272"/>
      <c r="T326" s="272"/>
      <c r="U326" s="272"/>
      <c r="V326" s="272"/>
      <c r="W326" s="272"/>
      <c r="X326" s="272"/>
      <c r="Y326" s="272"/>
      <c r="Z326" s="272"/>
      <c r="AA326" s="272"/>
      <c r="AB326" s="272"/>
      <c r="AC326" s="272"/>
      <c r="AD326" s="272"/>
      <c r="AE326" s="272"/>
    </row>
    <row r="327" spans="2:31" ht="14.5">
      <c r="B327" s="377">
        <f t="shared" si="8"/>
        <v>282</v>
      </c>
      <c r="C327" s="385" t="str" cm="1">
        <f t="array" aca="1" ref="C327" ca="1">IF(B327&lt;=$C$9,GetGetCDSName(B327),"")</f>
        <v/>
      </c>
      <c r="D327" s="345"/>
      <c r="E327" s="378"/>
      <c r="F327" s="297"/>
      <c r="G327" s="297"/>
      <c r="H327" s="297"/>
      <c r="I327" s="297"/>
      <c r="J327" s="297"/>
      <c r="K327" s="297"/>
      <c r="L327" s="297"/>
      <c r="M327" s="297"/>
      <c r="N327" s="379"/>
      <c r="O327" s="272"/>
      <c r="P327" s="272"/>
      <c r="Q327" s="272"/>
      <c r="R327" s="272"/>
      <c r="S327" s="272"/>
      <c r="T327" s="272"/>
      <c r="U327" s="272"/>
      <c r="V327" s="272"/>
      <c r="W327" s="272"/>
      <c r="X327" s="272"/>
      <c r="Y327" s="272"/>
      <c r="Z327" s="272"/>
      <c r="AA327" s="272"/>
      <c r="AB327" s="272"/>
      <c r="AC327" s="272"/>
      <c r="AD327" s="272"/>
      <c r="AE327" s="272"/>
    </row>
    <row r="328" spans="2:31" ht="14.5">
      <c r="B328" s="377">
        <f t="shared" si="8"/>
        <v>283</v>
      </c>
      <c r="C328" s="385" t="str" cm="1">
        <f t="array" aca="1" ref="C328" ca="1">IF(B328&lt;=$C$9,GetGetCDSName(B328),"")</f>
        <v/>
      </c>
      <c r="D328" s="345"/>
      <c r="E328" s="378"/>
      <c r="F328" s="297"/>
      <c r="G328" s="297"/>
      <c r="H328" s="297"/>
      <c r="I328" s="297"/>
      <c r="J328" s="297"/>
      <c r="K328" s="297"/>
      <c r="L328" s="297"/>
      <c r="M328" s="297"/>
      <c r="N328" s="379"/>
      <c r="O328" s="272"/>
      <c r="P328" s="272"/>
      <c r="Q328" s="272"/>
      <c r="R328" s="272"/>
      <c r="S328" s="272"/>
      <c r="T328" s="272"/>
      <c r="U328" s="272"/>
      <c r="V328" s="272"/>
      <c r="W328" s="272"/>
      <c r="X328" s="272"/>
      <c r="Y328" s="272"/>
      <c r="Z328" s="272"/>
      <c r="AA328" s="272"/>
      <c r="AB328" s="272"/>
      <c r="AC328" s="272"/>
      <c r="AD328" s="272"/>
      <c r="AE328" s="272"/>
    </row>
    <row r="329" spans="2:31" ht="14.5">
      <c r="B329" s="377">
        <f t="shared" si="8"/>
        <v>284</v>
      </c>
      <c r="C329" s="385" t="str" cm="1">
        <f t="array" aca="1" ref="C329" ca="1">IF(B329&lt;=$C$9,GetGetCDSName(B329),"")</f>
        <v/>
      </c>
      <c r="D329" s="345"/>
      <c r="E329" s="378"/>
      <c r="F329" s="297"/>
      <c r="G329" s="297"/>
      <c r="H329" s="297"/>
      <c r="I329" s="297"/>
      <c r="J329" s="297"/>
      <c r="K329" s="297"/>
      <c r="L329" s="297"/>
      <c r="M329" s="297"/>
      <c r="N329" s="379"/>
      <c r="O329" s="272"/>
      <c r="P329" s="272"/>
      <c r="Q329" s="272"/>
      <c r="R329" s="272"/>
      <c r="S329" s="272"/>
      <c r="T329" s="272"/>
      <c r="U329" s="272"/>
      <c r="V329" s="272"/>
      <c r="W329" s="272"/>
      <c r="X329" s="272"/>
      <c r="Y329" s="272"/>
      <c r="Z329" s="272"/>
      <c r="AA329" s="272"/>
      <c r="AB329" s="272"/>
      <c r="AC329" s="272"/>
      <c r="AD329" s="272"/>
      <c r="AE329" s="272"/>
    </row>
    <row r="330" spans="2:31" ht="14.5">
      <c r="B330" s="377">
        <f t="shared" si="8"/>
        <v>285</v>
      </c>
      <c r="C330" s="385" t="str" cm="1">
        <f t="array" aca="1" ref="C330" ca="1">IF(B330&lt;=$C$9,GetGetCDSName(B330),"")</f>
        <v/>
      </c>
      <c r="D330" s="345"/>
      <c r="E330" s="378"/>
      <c r="F330" s="297"/>
      <c r="G330" s="297"/>
      <c r="H330" s="297"/>
      <c r="I330" s="297"/>
      <c r="J330" s="297"/>
      <c r="K330" s="297"/>
      <c r="L330" s="297"/>
      <c r="M330" s="297"/>
      <c r="N330" s="379"/>
      <c r="O330" s="272"/>
      <c r="P330" s="272"/>
      <c r="Q330" s="272"/>
      <c r="R330" s="272"/>
      <c r="S330" s="272"/>
      <c r="T330" s="272"/>
      <c r="U330" s="272"/>
      <c r="V330" s="272"/>
      <c r="W330" s="272"/>
      <c r="X330" s="272"/>
      <c r="Y330" s="272"/>
      <c r="Z330" s="272"/>
      <c r="AA330" s="272"/>
      <c r="AB330" s="272"/>
      <c r="AC330" s="272"/>
      <c r="AD330" s="272"/>
      <c r="AE330" s="272"/>
    </row>
    <row r="331" spans="2:31" ht="14.5">
      <c r="B331" s="377">
        <f t="shared" si="8"/>
        <v>286</v>
      </c>
      <c r="C331" s="385" t="str" cm="1">
        <f t="array" aca="1" ref="C331" ca="1">IF(B331&lt;=$C$9,GetGetCDSName(B331),"")</f>
        <v/>
      </c>
      <c r="D331" s="345"/>
      <c r="E331" s="378"/>
      <c r="F331" s="297"/>
      <c r="G331" s="297"/>
      <c r="H331" s="297"/>
      <c r="I331" s="297"/>
      <c r="J331" s="297"/>
      <c r="K331" s="297"/>
      <c r="L331" s="297"/>
      <c r="M331" s="297"/>
      <c r="N331" s="379"/>
      <c r="O331" s="272"/>
      <c r="P331" s="272"/>
      <c r="Q331" s="272"/>
      <c r="R331" s="272"/>
      <c r="S331" s="272"/>
      <c r="T331" s="272"/>
      <c r="U331" s="272"/>
      <c r="V331" s="272"/>
      <c r="W331" s="272"/>
      <c r="X331" s="272"/>
      <c r="Y331" s="272"/>
      <c r="Z331" s="272"/>
      <c r="AA331" s="272"/>
      <c r="AB331" s="272"/>
      <c r="AC331" s="272"/>
      <c r="AD331" s="272"/>
      <c r="AE331" s="272"/>
    </row>
    <row r="332" spans="2:31" ht="14.5">
      <c r="B332" s="377">
        <f t="shared" si="8"/>
        <v>287</v>
      </c>
      <c r="C332" s="385" t="str" cm="1">
        <f t="array" aca="1" ref="C332" ca="1">IF(B332&lt;=$C$9,GetGetCDSName(B332),"")</f>
        <v/>
      </c>
      <c r="D332" s="345"/>
      <c r="E332" s="378"/>
      <c r="F332" s="297"/>
      <c r="G332" s="297"/>
      <c r="H332" s="297"/>
      <c r="I332" s="297"/>
      <c r="J332" s="297"/>
      <c r="K332" s="297"/>
      <c r="L332" s="297"/>
      <c r="M332" s="297"/>
      <c r="N332" s="379"/>
      <c r="O332" s="272"/>
      <c r="P332" s="272"/>
      <c r="Q332" s="272"/>
      <c r="R332" s="272"/>
      <c r="S332" s="272"/>
      <c r="T332" s="272"/>
      <c r="U332" s="272"/>
      <c r="V332" s="272"/>
      <c r="W332" s="272"/>
      <c r="X332" s="272"/>
      <c r="Y332" s="272"/>
      <c r="Z332" s="272"/>
      <c r="AA332" s="272"/>
      <c r="AB332" s="272"/>
      <c r="AC332" s="272"/>
      <c r="AD332" s="272"/>
      <c r="AE332" s="272"/>
    </row>
    <row r="333" spans="2:31" ht="14.5">
      <c r="B333" s="377">
        <f t="shared" si="8"/>
        <v>288</v>
      </c>
      <c r="C333" s="385" t="str" cm="1">
        <f t="array" aca="1" ref="C333" ca="1">IF(B333&lt;=$C$9,GetGetCDSName(B333),"")</f>
        <v/>
      </c>
      <c r="D333" s="345"/>
      <c r="E333" s="378"/>
      <c r="F333" s="297"/>
      <c r="G333" s="297"/>
      <c r="H333" s="297"/>
      <c r="I333" s="297"/>
      <c r="J333" s="297"/>
      <c r="K333" s="297"/>
      <c r="L333" s="297"/>
      <c r="M333" s="297"/>
      <c r="N333" s="379"/>
      <c r="O333" s="272"/>
      <c r="P333" s="272"/>
      <c r="Q333" s="272"/>
      <c r="R333" s="272"/>
      <c r="S333" s="272"/>
      <c r="T333" s="272"/>
      <c r="U333" s="272"/>
      <c r="V333" s="272"/>
      <c r="W333" s="272"/>
      <c r="X333" s="272"/>
      <c r="Y333" s="272"/>
      <c r="Z333" s="272"/>
      <c r="AA333" s="272"/>
      <c r="AB333" s="272"/>
      <c r="AC333" s="272"/>
      <c r="AD333" s="272"/>
      <c r="AE333" s="272"/>
    </row>
    <row r="334" spans="2:31" ht="14.5">
      <c r="B334" s="377">
        <f t="shared" si="8"/>
        <v>289</v>
      </c>
      <c r="C334" s="385" t="str" cm="1">
        <f t="array" aca="1" ref="C334" ca="1">IF(B334&lt;=$C$9,GetGetCDSName(B334),"")</f>
        <v/>
      </c>
      <c r="D334" s="345"/>
      <c r="E334" s="378"/>
      <c r="F334" s="297"/>
      <c r="G334" s="297"/>
      <c r="H334" s="297"/>
      <c r="I334" s="297"/>
      <c r="J334" s="297"/>
      <c r="K334" s="297"/>
      <c r="L334" s="297"/>
      <c r="M334" s="297"/>
      <c r="N334" s="379"/>
      <c r="O334" s="272"/>
      <c r="P334" s="272"/>
      <c r="Q334" s="272"/>
      <c r="R334" s="272"/>
      <c r="S334" s="272"/>
      <c r="T334" s="272"/>
      <c r="U334" s="272"/>
      <c r="V334" s="272"/>
      <c r="W334" s="272"/>
      <c r="X334" s="272"/>
      <c r="Y334" s="272"/>
      <c r="Z334" s="272"/>
      <c r="AA334" s="272"/>
      <c r="AB334" s="272"/>
      <c r="AC334" s="272"/>
      <c r="AD334" s="272"/>
      <c r="AE334" s="272"/>
    </row>
    <row r="335" spans="2:31" ht="14.5">
      <c r="B335" s="377">
        <f t="shared" si="8"/>
        <v>290</v>
      </c>
      <c r="C335" s="385" t="str" cm="1">
        <f t="array" aca="1" ref="C335" ca="1">IF(B335&lt;=$C$9,GetGetCDSName(B335),"")</f>
        <v/>
      </c>
      <c r="D335" s="345"/>
      <c r="E335" s="378"/>
      <c r="F335" s="297"/>
      <c r="G335" s="297"/>
      <c r="H335" s="297"/>
      <c r="I335" s="297"/>
      <c r="J335" s="297"/>
      <c r="K335" s="297"/>
      <c r="L335" s="297"/>
      <c r="M335" s="297"/>
      <c r="N335" s="379"/>
      <c r="O335" s="272"/>
      <c r="P335" s="272"/>
      <c r="Q335" s="272"/>
      <c r="R335" s="272"/>
      <c r="S335" s="272"/>
      <c r="T335" s="272"/>
      <c r="U335" s="272"/>
      <c r="V335" s="272"/>
      <c r="W335" s="272"/>
      <c r="X335" s="272"/>
      <c r="Y335" s="272"/>
      <c r="Z335" s="272"/>
      <c r="AA335" s="272"/>
      <c r="AB335" s="272"/>
      <c r="AC335" s="272"/>
      <c r="AD335" s="272"/>
      <c r="AE335" s="272"/>
    </row>
    <row r="336" spans="2:31" ht="14.5">
      <c r="B336" s="377">
        <f t="shared" si="8"/>
        <v>291</v>
      </c>
      <c r="C336" s="385" t="str" cm="1">
        <f t="array" aca="1" ref="C336" ca="1">IF(B336&lt;=$C$9,GetGetCDSName(B336),"")</f>
        <v/>
      </c>
      <c r="D336" s="345"/>
      <c r="E336" s="378"/>
      <c r="F336" s="297"/>
      <c r="G336" s="297"/>
      <c r="H336" s="297"/>
      <c r="I336" s="297"/>
      <c r="J336" s="297"/>
      <c r="K336" s="297"/>
      <c r="L336" s="297"/>
      <c r="M336" s="297"/>
      <c r="N336" s="379"/>
      <c r="O336" s="272"/>
      <c r="P336" s="272"/>
      <c r="Q336" s="272"/>
      <c r="R336" s="272"/>
      <c r="S336" s="272"/>
      <c r="T336" s="272"/>
      <c r="U336" s="272"/>
      <c r="V336" s="272"/>
      <c r="W336" s="272"/>
      <c r="X336" s="272"/>
      <c r="Y336" s="272"/>
      <c r="Z336" s="272"/>
      <c r="AA336" s="272"/>
      <c r="AB336" s="272"/>
      <c r="AC336" s="272"/>
      <c r="AD336" s="272"/>
      <c r="AE336" s="272"/>
    </row>
    <row r="337" spans="2:31" ht="14.5">
      <c r="B337" s="377">
        <f t="shared" si="8"/>
        <v>292</v>
      </c>
      <c r="C337" s="385" t="str" cm="1">
        <f t="array" aca="1" ref="C337" ca="1">IF(B337&lt;=$C$9,GetGetCDSName(B337),"")</f>
        <v/>
      </c>
      <c r="D337" s="345"/>
      <c r="E337" s="378"/>
      <c r="F337" s="297"/>
      <c r="G337" s="297"/>
      <c r="H337" s="297"/>
      <c r="I337" s="297"/>
      <c r="J337" s="297"/>
      <c r="K337" s="297"/>
      <c r="L337" s="297"/>
      <c r="M337" s="297"/>
      <c r="N337" s="379"/>
      <c r="O337" s="272"/>
      <c r="P337" s="272"/>
      <c r="Q337" s="272"/>
      <c r="R337" s="272"/>
      <c r="S337" s="272"/>
      <c r="T337" s="272"/>
      <c r="U337" s="272"/>
      <c r="V337" s="272"/>
      <c r="W337" s="272"/>
      <c r="X337" s="272"/>
      <c r="Y337" s="272"/>
      <c r="Z337" s="272"/>
      <c r="AA337" s="272"/>
      <c r="AB337" s="272"/>
      <c r="AC337" s="272"/>
      <c r="AD337" s="272"/>
      <c r="AE337" s="272"/>
    </row>
    <row r="338" spans="2:31" ht="14.5">
      <c r="B338" s="377">
        <f t="shared" si="8"/>
        <v>293</v>
      </c>
      <c r="C338" s="385" t="str" cm="1">
        <f t="array" aca="1" ref="C338" ca="1">IF(B338&lt;=$C$9,GetGetCDSName(B338),"")</f>
        <v/>
      </c>
      <c r="D338" s="345"/>
      <c r="E338" s="378"/>
      <c r="F338" s="297"/>
      <c r="G338" s="297"/>
      <c r="H338" s="297"/>
      <c r="I338" s="297"/>
      <c r="J338" s="297"/>
      <c r="K338" s="297"/>
      <c r="L338" s="297"/>
      <c r="M338" s="297"/>
      <c r="N338" s="379"/>
      <c r="O338" s="272"/>
      <c r="P338" s="272"/>
      <c r="Q338" s="272"/>
      <c r="R338" s="272"/>
      <c r="S338" s="272"/>
      <c r="T338" s="272"/>
      <c r="U338" s="272"/>
      <c r="V338" s="272"/>
      <c r="W338" s="272"/>
      <c r="X338" s="272"/>
      <c r="Y338" s="272"/>
      <c r="Z338" s="272"/>
      <c r="AA338" s="272"/>
      <c r="AB338" s="272"/>
      <c r="AC338" s="272"/>
      <c r="AD338" s="272"/>
      <c r="AE338" s="272"/>
    </row>
    <row r="339" spans="2:31" ht="14.5">
      <c r="B339" s="377">
        <f t="shared" si="8"/>
        <v>294</v>
      </c>
      <c r="C339" s="385" t="str" cm="1">
        <f t="array" aca="1" ref="C339" ca="1">IF(B339&lt;=$C$9,GetGetCDSName(B339),"")</f>
        <v/>
      </c>
      <c r="D339" s="345"/>
      <c r="E339" s="378"/>
      <c r="F339" s="297"/>
      <c r="G339" s="297"/>
      <c r="H339" s="297"/>
      <c r="I339" s="297"/>
      <c r="J339" s="297"/>
      <c r="K339" s="297"/>
      <c r="L339" s="297"/>
      <c r="M339" s="297"/>
      <c r="N339" s="379"/>
      <c r="O339" s="272"/>
      <c r="P339" s="272"/>
      <c r="Q339" s="272"/>
      <c r="R339" s="272"/>
      <c r="S339" s="272"/>
      <c r="T339" s="272"/>
      <c r="U339" s="272"/>
      <c r="V339" s="272"/>
      <c r="W339" s="272"/>
      <c r="X339" s="272"/>
      <c r="Y339" s="272"/>
      <c r="Z339" s="272"/>
      <c r="AA339" s="272"/>
      <c r="AB339" s="272"/>
      <c r="AC339" s="272"/>
      <c r="AD339" s="272"/>
      <c r="AE339" s="272"/>
    </row>
    <row r="340" spans="2:31" ht="14.5">
      <c r="B340" s="377">
        <f t="shared" si="8"/>
        <v>295</v>
      </c>
      <c r="C340" s="385" t="str" cm="1">
        <f t="array" aca="1" ref="C340" ca="1">IF(B340&lt;=$C$9,GetGetCDSName(B340),"")</f>
        <v/>
      </c>
      <c r="D340" s="345"/>
      <c r="E340" s="378"/>
      <c r="F340" s="297"/>
      <c r="G340" s="297"/>
      <c r="H340" s="297"/>
      <c r="I340" s="297"/>
      <c r="J340" s="297"/>
      <c r="K340" s="297"/>
      <c r="L340" s="297"/>
      <c r="M340" s="297"/>
      <c r="N340" s="379"/>
      <c r="O340" s="272"/>
      <c r="P340" s="272"/>
      <c r="Q340" s="272"/>
      <c r="R340" s="272"/>
      <c r="S340" s="272"/>
      <c r="T340" s="272"/>
      <c r="U340" s="272"/>
      <c r="V340" s="272"/>
      <c r="W340" s="272"/>
      <c r="X340" s="272"/>
      <c r="Y340" s="272"/>
      <c r="Z340" s="272"/>
      <c r="AA340" s="272"/>
      <c r="AB340" s="272"/>
      <c r="AC340" s="272"/>
      <c r="AD340" s="272"/>
      <c r="AE340" s="272"/>
    </row>
    <row r="341" spans="2:31" ht="14.5">
      <c r="B341" s="377">
        <f t="shared" si="8"/>
        <v>296</v>
      </c>
      <c r="C341" s="385" t="str" cm="1">
        <f t="array" aca="1" ref="C341" ca="1">IF(B341&lt;=$C$9,GetGetCDSName(B341),"")</f>
        <v/>
      </c>
      <c r="D341" s="345"/>
      <c r="E341" s="378"/>
      <c r="F341" s="297"/>
      <c r="G341" s="297"/>
      <c r="H341" s="297"/>
      <c r="I341" s="297"/>
      <c r="J341" s="297"/>
      <c r="K341" s="297"/>
      <c r="L341" s="297"/>
      <c r="M341" s="297"/>
      <c r="N341" s="379"/>
      <c r="O341" s="272"/>
      <c r="P341" s="272"/>
      <c r="Q341" s="272"/>
      <c r="R341" s="272"/>
      <c r="S341" s="272"/>
      <c r="T341" s="272"/>
      <c r="U341" s="272"/>
      <c r="V341" s="272"/>
      <c r="W341" s="272"/>
      <c r="X341" s="272"/>
      <c r="Y341" s="272"/>
      <c r="Z341" s="272"/>
      <c r="AA341" s="272"/>
      <c r="AB341" s="272"/>
      <c r="AC341" s="272"/>
      <c r="AD341" s="272"/>
      <c r="AE341" s="272"/>
    </row>
    <row r="342" spans="2:31" ht="14.5">
      <c r="B342" s="377">
        <f t="shared" si="8"/>
        <v>297</v>
      </c>
      <c r="C342" s="385" t="str" cm="1">
        <f t="array" aca="1" ref="C342" ca="1">IF(B342&lt;=$C$9,GetGetCDSName(B342),"")</f>
        <v/>
      </c>
      <c r="D342" s="345"/>
      <c r="E342" s="378"/>
      <c r="F342" s="297"/>
      <c r="G342" s="297"/>
      <c r="H342" s="297"/>
      <c r="I342" s="297"/>
      <c r="J342" s="297"/>
      <c r="K342" s="297"/>
      <c r="L342" s="297"/>
      <c r="M342" s="297"/>
      <c r="N342" s="379"/>
      <c r="O342" s="272"/>
      <c r="P342" s="272"/>
      <c r="Q342" s="272"/>
      <c r="R342" s="272"/>
      <c r="S342" s="272"/>
      <c r="T342" s="272"/>
      <c r="U342" s="272"/>
      <c r="V342" s="272"/>
      <c r="W342" s="272"/>
      <c r="X342" s="272"/>
      <c r="Y342" s="272"/>
      <c r="Z342" s="272"/>
      <c r="AA342" s="272"/>
      <c r="AB342" s="272"/>
      <c r="AC342" s="272"/>
      <c r="AD342" s="272"/>
      <c r="AE342" s="272"/>
    </row>
    <row r="343" spans="2:31" ht="14.5">
      <c r="B343" s="377">
        <f t="shared" si="8"/>
        <v>298</v>
      </c>
      <c r="C343" s="385" t="str" cm="1">
        <f t="array" aca="1" ref="C343" ca="1">IF(B343&lt;=$C$9,GetGetCDSName(B343),"")</f>
        <v/>
      </c>
      <c r="D343" s="345"/>
      <c r="E343" s="378"/>
      <c r="F343" s="297"/>
      <c r="G343" s="297"/>
      <c r="H343" s="297"/>
      <c r="I343" s="297"/>
      <c r="J343" s="297"/>
      <c r="K343" s="297"/>
      <c r="L343" s="297"/>
      <c r="M343" s="297"/>
      <c r="N343" s="379"/>
      <c r="O343" s="272"/>
      <c r="P343" s="272"/>
      <c r="Q343" s="272"/>
      <c r="R343" s="272"/>
      <c r="S343" s="272"/>
      <c r="T343" s="272"/>
      <c r="U343" s="272"/>
      <c r="V343" s="272"/>
      <c r="W343" s="272"/>
      <c r="X343" s="272"/>
      <c r="Y343" s="272"/>
      <c r="Z343" s="272"/>
      <c r="AA343" s="272"/>
      <c r="AB343" s="272"/>
      <c r="AC343" s="272"/>
      <c r="AD343" s="272"/>
      <c r="AE343" s="272"/>
    </row>
    <row r="344" spans="2:31" ht="14.5">
      <c r="B344" s="377">
        <f t="shared" si="8"/>
        <v>299</v>
      </c>
      <c r="C344" s="385" t="str" cm="1">
        <f t="array" aca="1" ref="C344" ca="1">IF(B344&lt;=$C$9,GetGetCDSName(B344),"")</f>
        <v/>
      </c>
      <c r="D344" s="345"/>
      <c r="E344" s="378"/>
      <c r="F344" s="297"/>
      <c r="G344" s="297"/>
      <c r="H344" s="297"/>
      <c r="I344" s="297"/>
      <c r="J344" s="297"/>
      <c r="K344" s="297"/>
      <c r="L344" s="297"/>
      <c r="M344" s="297"/>
      <c r="N344" s="379"/>
      <c r="O344" s="272"/>
      <c r="P344" s="272"/>
      <c r="Q344" s="272"/>
      <c r="R344" s="272"/>
      <c r="S344" s="272"/>
      <c r="T344" s="272"/>
      <c r="U344" s="272"/>
      <c r="V344" s="272"/>
      <c r="W344" s="272"/>
      <c r="X344" s="272"/>
      <c r="Y344" s="272"/>
      <c r="Z344" s="272"/>
      <c r="AA344" s="272"/>
      <c r="AB344" s="272"/>
      <c r="AC344" s="272"/>
      <c r="AD344" s="272"/>
      <c r="AE344" s="272"/>
    </row>
    <row r="345" spans="2:31" ht="15" thickBot="1">
      <c r="B345" s="380">
        <f t="shared" si="8"/>
        <v>300</v>
      </c>
      <c r="C345" s="385" t="str" cm="1">
        <f t="array" aca="1" ref="C345" ca="1">IF(B345&lt;=$C$9,GetGetCDSName(B345),"")</f>
        <v/>
      </c>
      <c r="D345" s="381"/>
      <c r="E345" s="382"/>
      <c r="F345" s="383"/>
      <c r="G345" s="383"/>
      <c r="H345" s="383"/>
      <c r="I345" s="383"/>
      <c r="J345" s="383"/>
      <c r="K345" s="383"/>
      <c r="L345" s="383"/>
      <c r="M345" s="383"/>
      <c r="N345" s="384"/>
      <c r="O345" s="272"/>
      <c r="P345" s="272"/>
      <c r="Q345" s="272"/>
      <c r="R345" s="272"/>
      <c r="S345" s="272"/>
      <c r="T345" s="272"/>
      <c r="U345" s="272"/>
      <c r="V345" s="272"/>
      <c r="W345" s="272"/>
      <c r="X345" s="272"/>
      <c r="Y345" s="272"/>
      <c r="Z345" s="272"/>
      <c r="AA345" s="272"/>
      <c r="AB345" s="272"/>
      <c r="AC345" s="272"/>
      <c r="AD345" s="272"/>
      <c r="AE345" s="272"/>
    </row>
    <row r="346" spans="2:31">
      <c r="O346" s="272"/>
      <c r="P346" s="272"/>
      <c r="Q346" s="272"/>
      <c r="R346" s="272"/>
      <c r="S346" s="272"/>
      <c r="T346" s="272"/>
      <c r="U346" s="272"/>
      <c r="V346" s="272"/>
      <c r="W346" s="272"/>
      <c r="X346" s="272"/>
      <c r="Y346" s="272"/>
      <c r="Z346" s="272"/>
      <c r="AA346" s="272"/>
      <c r="AB346" s="272"/>
      <c r="AC346" s="272"/>
      <c r="AD346" s="272"/>
      <c r="AE346" s="272"/>
    </row>
    <row r="347" spans="2:31">
      <c r="O347" s="272"/>
      <c r="P347" s="272"/>
      <c r="Q347" s="272"/>
      <c r="R347" s="272"/>
      <c r="S347" s="272"/>
      <c r="T347" s="272"/>
      <c r="U347" s="272"/>
      <c r="V347" s="272"/>
      <c r="W347" s="272"/>
      <c r="X347" s="272"/>
      <c r="Y347" s="272"/>
      <c r="Z347" s="272"/>
      <c r="AA347" s="272"/>
      <c r="AB347" s="272"/>
      <c r="AC347" s="272"/>
      <c r="AD347" s="272"/>
      <c r="AE347" s="272"/>
    </row>
    <row r="348" spans="2:31">
      <c r="O348" s="272"/>
      <c r="P348" s="272"/>
      <c r="Q348" s="272"/>
      <c r="R348" s="272"/>
      <c r="S348" s="272"/>
      <c r="T348" s="272"/>
      <c r="U348" s="272"/>
      <c r="V348" s="272"/>
      <c r="W348" s="272"/>
      <c r="X348" s="272"/>
      <c r="Y348" s="272"/>
      <c r="Z348" s="272"/>
      <c r="AA348" s="272"/>
      <c r="AB348" s="272"/>
      <c r="AC348" s="272"/>
      <c r="AD348" s="272"/>
      <c r="AE348" s="272"/>
    </row>
    <row r="349" spans="2:31">
      <c r="O349" s="272"/>
      <c r="P349" s="272"/>
      <c r="Q349" s="272"/>
      <c r="R349" s="272"/>
      <c r="S349" s="272"/>
      <c r="T349" s="272"/>
      <c r="U349" s="272"/>
      <c r="V349" s="272"/>
      <c r="W349" s="272"/>
      <c r="X349" s="272"/>
      <c r="Y349" s="272"/>
      <c r="Z349" s="272"/>
      <c r="AA349" s="272"/>
      <c r="AB349" s="272"/>
      <c r="AC349" s="272"/>
      <c r="AD349" s="272"/>
      <c r="AE349" s="272"/>
    </row>
    <row r="350" spans="2:31">
      <c r="O350" s="272"/>
      <c r="P350" s="272"/>
      <c r="Q350" s="272"/>
      <c r="R350" s="272"/>
      <c r="S350" s="272"/>
      <c r="T350" s="272"/>
      <c r="U350" s="272"/>
      <c r="V350" s="272"/>
      <c r="W350" s="272"/>
      <c r="X350" s="272"/>
      <c r="Y350" s="272"/>
      <c r="Z350" s="272"/>
      <c r="AA350" s="272"/>
      <c r="AB350" s="272"/>
      <c r="AC350" s="272"/>
      <c r="AD350" s="272"/>
      <c r="AE350" s="272"/>
    </row>
    <row r="351" spans="2:31">
      <c r="O351" s="272"/>
      <c r="P351" s="272"/>
      <c r="Q351" s="272"/>
      <c r="R351" s="272"/>
      <c r="S351" s="272"/>
      <c r="T351" s="272"/>
      <c r="U351" s="272"/>
      <c r="V351" s="272"/>
      <c r="W351" s="272"/>
      <c r="X351" s="272"/>
      <c r="Y351" s="272"/>
      <c r="Z351" s="272"/>
      <c r="AA351" s="272"/>
      <c r="AB351" s="272"/>
      <c r="AC351" s="272"/>
      <c r="AD351" s="272"/>
      <c r="AE351" s="272"/>
    </row>
    <row r="352" spans="2:31">
      <c r="O352" s="272"/>
      <c r="P352" s="272"/>
      <c r="Q352" s="272"/>
      <c r="R352" s="272"/>
      <c r="S352" s="272"/>
      <c r="T352" s="272"/>
      <c r="U352" s="272"/>
      <c r="V352" s="272"/>
      <c r="W352" s="272"/>
      <c r="X352" s="272"/>
      <c r="Y352" s="272"/>
      <c r="Z352" s="272"/>
      <c r="AA352" s="272"/>
      <c r="AB352" s="272"/>
      <c r="AC352" s="272"/>
      <c r="AD352" s="272"/>
      <c r="AE352" s="272"/>
    </row>
    <row r="353" spans="15:31">
      <c r="O353" s="272"/>
      <c r="P353" s="272"/>
      <c r="Q353" s="272"/>
      <c r="R353" s="272"/>
      <c r="S353" s="272"/>
      <c r="T353" s="272"/>
      <c r="U353" s="272"/>
      <c r="V353" s="272"/>
      <c r="W353" s="272"/>
      <c r="X353" s="272"/>
      <c r="Y353" s="272"/>
      <c r="Z353" s="272"/>
      <c r="AA353" s="272"/>
      <c r="AB353" s="272"/>
      <c r="AC353" s="272"/>
      <c r="AD353" s="272"/>
      <c r="AE353" s="272"/>
    </row>
    <row r="354" spans="15:31">
      <c r="O354" s="272"/>
      <c r="P354" s="272"/>
      <c r="Q354" s="272"/>
      <c r="R354" s="272"/>
      <c r="S354" s="272"/>
      <c r="T354" s="272"/>
      <c r="U354" s="272"/>
      <c r="V354" s="272"/>
      <c r="W354" s="272"/>
      <c r="X354" s="272"/>
      <c r="Y354" s="272"/>
      <c r="Z354" s="272"/>
      <c r="AA354" s="272"/>
      <c r="AB354" s="272"/>
      <c r="AC354" s="272"/>
      <c r="AD354" s="272"/>
      <c r="AE354" s="272"/>
    </row>
    <row r="355" spans="15:31">
      <c r="O355" s="272"/>
      <c r="P355" s="272"/>
      <c r="Q355" s="272"/>
      <c r="R355" s="272"/>
      <c r="S355" s="272"/>
      <c r="T355" s="272"/>
      <c r="U355" s="272"/>
      <c r="V355" s="272"/>
      <c r="W355" s="272"/>
      <c r="X355" s="272"/>
      <c r="Y355" s="272"/>
      <c r="Z355" s="272"/>
      <c r="AA355" s="272"/>
      <c r="AB355" s="272"/>
      <c r="AC355" s="272"/>
      <c r="AD355" s="272"/>
      <c r="AE355" s="272"/>
    </row>
    <row r="356" spans="15:31">
      <c r="O356" s="272"/>
      <c r="P356" s="272"/>
      <c r="Q356" s="272"/>
      <c r="R356" s="272"/>
      <c r="S356" s="272"/>
      <c r="T356" s="272"/>
      <c r="U356" s="272"/>
      <c r="V356" s="272"/>
      <c r="W356" s="272"/>
      <c r="X356" s="272"/>
      <c r="Y356" s="272"/>
      <c r="Z356" s="272"/>
      <c r="AA356" s="272"/>
      <c r="AB356" s="272"/>
      <c r="AC356" s="272"/>
      <c r="AD356" s="272"/>
      <c r="AE356" s="272"/>
    </row>
    <row r="357" spans="15:31">
      <c r="O357" s="272"/>
      <c r="P357" s="272"/>
      <c r="Q357" s="272"/>
      <c r="R357" s="272"/>
      <c r="S357" s="272"/>
      <c r="T357" s="272"/>
      <c r="U357" s="272"/>
      <c r="V357" s="272"/>
      <c r="W357" s="272"/>
      <c r="X357" s="272"/>
      <c r="Y357" s="272"/>
      <c r="Z357" s="272"/>
      <c r="AA357" s="272"/>
      <c r="AB357" s="272"/>
      <c r="AC357" s="272"/>
      <c r="AD357" s="272"/>
      <c r="AE357" s="272"/>
    </row>
    <row r="358" spans="15:31">
      <c r="O358" s="272"/>
      <c r="P358" s="272"/>
      <c r="Q358" s="272"/>
      <c r="R358" s="272"/>
      <c r="S358" s="272"/>
      <c r="T358" s="272"/>
      <c r="U358" s="272"/>
      <c r="V358" s="272"/>
      <c r="W358" s="272"/>
      <c r="X358" s="272"/>
      <c r="Y358" s="272"/>
      <c r="Z358" s="272"/>
      <c r="AA358" s="272"/>
      <c r="AB358" s="272"/>
      <c r="AC358" s="272"/>
      <c r="AD358" s="272"/>
      <c r="AE358" s="272"/>
    </row>
    <row r="359" spans="15:31">
      <c r="O359" s="272"/>
      <c r="P359" s="272"/>
      <c r="Q359" s="272"/>
      <c r="R359" s="272"/>
      <c r="S359" s="272"/>
      <c r="T359" s="272"/>
      <c r="U359" s="272"/>
      <c r="V359" s="272"/>
      <c r="W359" s="272"/>
      <c r="X359" s="272"/>
      <c r="Y359" s="272"/>
      <c r="Z359" s="272"/>
      <c r="AA359" s="272"/>
      <c r="AB359" s="272"/>
      <c r="AC359" s="272"/>
      <c r="AD359" s="272"/>
      <c r="AE359" s="272"/>
    </row>
    <row r="360" spans="15:31">
      <c r="O360" s="272"/>
      <c r="P360" s="272"/>
      <c r="Q360" s="272"/>
      <c r="R360" s="272"/>
      <c r="S360" s="272"/>
      <c r="T360" s="272"/>
      <c r="U360" s="272"/>
      <c r="V360" s="272"/>
      <c r="W360" s="272"/>
      <c r="X360" s="272"/>
      <c r="Y360" s="272"/>
      <c r="Z360" s="272"/>
      <c r="AA360" s="272"/>
      <c r="AB360" s="272"/>
      <c r="AC360" s="272"/>
      <c r="AD360" s="272"/>
      <c r="AE360" s="272"/>
    </row>
    <row r="361" spans="15:31">
      <c r="O361" s="272"/>
      <c r="P361" s="272"/>
      <c r="Q361" s="272"/>
      <c r="R361" s="272"/>
      <c r="S361" s="272"/>
      <c r="T361" s="272"/>
      <c r="U361" s="272"/>
      <c r="V361" s="272"/>
      <c r="W361" s="272"/>
      <c r="X361" s="272"/>
      <c r="Y361" s="272"/>
      <c r="Z361" s="272"/>
      <c r="AA361" s="272"/>
      <c r="AB361" s="272"/>
      <c r="AC361" s="272"/>
      <c r="AD361" s="272"/>
      <c r="AE361" s="272"/>
    </row>
    <row r="362" spans="15:31">
      <c r="O362" s="272"/>
      <c r="P362" s="272"/>
      <c r="Q362" s="272"/>
      <c r="R362" s="272"/>
      <c r="S362" s="272"/>
      <c r="T362" s="272"/>
      <c r="U362" s="272"/>
      <c r="V362" s="272"/>
      <c r="W362" s="272"/>
      <c r="X362" s="272"/>
      <c r="Y362" s="272"/>
      <c r="Z362" s="272"/>
      <c r="AA362" s="272"/>
      <c r="AB362" s="272"/>
      <c r="AC362" s="272"/>
      <c r="AD362" s="272"/>
      <c r="AE362" s="272"/>
    </row>
    <row r="363" spans="15:31">
      <c r="O363" s="272"/>
      <c r="P363" s="272"/>
      <c r="Q363" s="272"/>
      <c r="R363" s="272"/>
      <c r="S363" s="272"/>
      <c r="T363" s="272"/>
      <c r="U363" s="272"/>
      <c r="V363" s="272"/>
      <c r="W363" s="272"/>
      <c r="X363" s="272"/>
      <c r="Y363" s="272"/>
      <c r="Z363" s="272"/>
      <c r="AA363" s="272"/>
      <c r="AB363" s="272"/>
      <c r="AC363" s="272"/>
      <c r="AD363" s="272"/>
      <c r="AE363" s="272"/>
    </row>
    <row r="364" spans="15:31">
      <c r="O364" s="272"/>
      <c r="P364" s="272"/>
      <c r="Q364" s="272"/>
      <c r="R364" s="272"/>
      <c r="S364" s="272"/>
      <c r="T364" s="272"/>
      <c r="U364" s="272"/>
      <c r="V364" s="272"/>
      <c r="W364" s="272"/>
      <c r="X364" s="272"/>
      <c r="Y364" s="272"/>
      <c r="Z364" s="272"/>
      <c r="AA364" s="272"/>
      <c r="AB364" s="272"/>
      <c r="AC364" s="272"/>
      <c r="AD364" s="272"/>
      <c r="AE364" s="272"/>
    </row>
    <row r="365" spans="15:31">
      <c r="O365" s="272"/>
      <c r="P365" s="272"/>
      <c r="Q365" s="272"/>
      <c r="R365" s="272"/>
      <c r="S365" s="272"/>
      <c r="T365" s="272"/>
      <c r="U365" s="272"/>
      <c r="V365" s="272"/>
      <c r="W365" s="272"/>
      <c r="X365" s="272"/>
      <c r="Y365" s="272"/>
      <c r="Z365" s="272"/>
      <c r="AA365" s="272"/>
      <c r="AB365" s="272"/>
      <c r="AC365" s="272"/>
      <c r="AD365" s="272"/>
      <c r="AE365" s="272"/>
    </row>
    <row r="366" spans="15:31">
      <c r="O366" s="272"/>
      <c r="P366" s="272"/>
      <c r="Q366" s="272"/>
      <c r="R366" s="272"/>
      <c r="S366" s="272"/>
      <c r="T366" s="272"/>
      <c r="U366" s="272"/>
      <c r="V366" s="272"/>
      <c r="W366" s="272"/>
      <c r="X366" s="272"/>
      <c r="Y366" s="272"/>
      <c r="Z366" s="272"/>
      <c r="AA366" s="272"/>
      <c r="AB366" s="272"/>
      <c r="AC366" s="272"/>
      <c r="AD366" s="272"/>
      <c r="AE366" s="272"/>
    </row>
    <row r="367" spans="15:31">
      <c r="O367" s="272"/>
      <c r="P367" s="272"/>
      <c r="Q367" s="272"/>
      <c r="R367" s="272"/>
      <c r="S367" s="272"/>
      <c r="T367" s="272"/>
      <c r="U367" s="272"/>
      <c r="V367" s="272"/>
      <c r="W367" s="272"/>
      <c r="X367" s="272"/>
      <c r="Y367" s="272"/>
      <c r="Z367" s="272"/>
      <c r="AA367" s="272"/>
      <c r="AB367" s="272"/>
      <c r="AC367" s="272"/>
      <c r="AD367" s="272"/>
      <c r="AE367" s="272"/>
    </row>
    <row r="368" spans="15:31">
      <c r="O368" s="272"/>
      <c r="P368" s="272"/>
      <c r="Q368" s="272"/>
      <c r="R368" s="272"/>
      <c r="S368" s="272"/>
      <c r="T368" s="272"/>
      <c r="U368" s="272"/>
      <c r="V368" s="272"/>
      <c r="W368" s="272"/>
      <c r="X368" s="272"/>
      <c r="Y368" s="272"/>
      <c r="Z368" s="272"/>
      <c r="AA368" s="272"/>
      <c r="AB368" s="272"/>
      <c r="AC368" s="272"/>
      <c r="AD368" s="272"/>
      <c r="AE368" s="272"/>
    </row>
    <row r="369" spans="15:31">
      <c r="O369" s="272"/>
      <c r="P369" s="272"/>
      <c r="Q369" s="272"/>
      <c r="R369" s="272"/>
      <c r="S369" s="272"/>
      <c r="T369" s="272"/>
      <c r="U369" s="272"/>
      <c r="V369" s="272"/>
      <c r="W369" s="272"/>
      <c r="X369" s="272"/>
      <c r="Y369" s="272"/>
      <c r="Z369" s="272"/>
      <c r="AA369" s="272"/>
      <c r="AB369" s="272"/>
      <c r="AC369" s="272"/>
      <c r="AD369" s="272"/>
      <c r="AE369" s="272"/>
    </row>
    <row r="370" spans="15:31">
      <c r="O370" s="272"/>
      <c r="P370" s="272"/>
      <c r="Q370" s="272"/>
      <c r="R370" s="272"/>
      <c r="S370" s="272"/>
      <c r="T370" s="272"/>
      <c r="U370" s="272"/>
      <c r="V370" s="272"/>
      <c r="W370" s="272"/>
      <c r="X370" s="272"/>
      <c r="Y370" s="272"/>
      <c r="Z370" s="272"/>
      <c r="AA370" s="272"/>
      <c r="AB370" s="272"/>
      <c r="AC370" s="272"/>
      <c r="AD370" s="272"/>
      <c r="AE370" s="272"/>
    </row>
    <row r="371" spans="15:31">
      <c r="O371" s="272"/>
      <c r="P371" s="272"/>
      <c r="Q371" s="272"/>
      <c r="R371" s="272"/>
      <c r="S371" s="272"/>
      <c r="T371" s="272"/>
      <c r="U371" s="272"/>
      <c r="V371" s="272"/>
      <c r="W371" s="272"/>
      <c r="X371" s="272"/>
      <c r="Y371" s="272"/>
      <c r="Z371" s="272"/>
      <c r="AA371" s="272"/>
      <c r="AB371" s="272"/>
      <c r="AC371" s="272"/>
      <c r="AD371" s="272"/>
      <c r="AE371" s="272"/>
    </row>
    <row r="372" spans="15:31">
      <c r="O372" s="272"/>
      <c r="P372" s="272"/>
      <c r="Q372" s="272"/>
      <c r="R372" s="272"/>
      <c r="S372" s="272"/>
      <c r="T372" s="272"/>
      <c r="U372" s="272"/>
      <c r="V372" s="272"/>
      <c r="W372" s="272"/>
      <c r="X372" s="272"/>
      <c r="Y372" s="272"/>
      <c r="Z372" s="272"/>
      <c r="AA372" s="272"/>
      <c r="AB372" s="272"/>
      <c r="AC372" s="272"/>
      <c r="AD372" s="272"/>
      <c r="AE372" s="272"/>
    </row>
    <row r="373" spans="15:31">
      <c r="O373" s="272"/>
      <c r="P373" s="272"/>
      <c r="Q373" s="272"/>
      <c r="R373" s="272"/>
      <c r="S373" s="272"/>
      <c r="T373" s="272"/>
      <c r="U373" s="272"/>
      <c r="V373" s="272"/>
      <c r="W373" s="272"/>
      <c r="X373" s="272"/>
      <c r="Y373" s="272"/>
      <c r="Z373" s="272"/>
      <c r="AA373" s="272"/>
      <c r="AB373" s="272"/>
      <c r="AC373" s="272"/>
      <c r="AD373" s="272"/>
      <c r="AE373" s="272"/>
    </row>
    <row r="374" spans="15:31">
      <c r="O374" s="272"/>
      <c r="P374" s="272"/>
      <c r="Q374" s="272"/>
      <c r="R374" s="272"/>
      <c r="S374" s="272"/>
      <c r="T374" s="272"/>
      <c r="U374" s="272"/>
      <c r="V374" s="272"/>
      <c r="W374" s="272"/>
      <c r="X374" s="272"/>
      <c r="Y374" s="272"/>
      <c r="Z374" s="272"/>
      <c r="AA374" s="272"/>
      <c r="AB374" s="272"/>
      <c r="AC374" s="272"/>
      <c r="AD374" s="272"/>
      <c r="AE374" s="272"/>
    </row>
    <row r="375" spans="15:31">
      <c r="O375" s="272"/>
      <c r="P375" s="272"/>
      <c r="Q375" s="272"/>
      <c r="R375" s="272"/>
      <c r="S375" s="272"/>
      <c r="T375" s="272"/>
      <c r="U375" s="272"/>
      <c r="V375" s="272"/>
      <c r="W375" s="272"/>
      <c r="X375" s="272"/>
      <c r="Y375" s="272"/>
      <c r="Z375" s="272"/>
      <c r="AA375" s="272"/>
      <c r="AB375" s="272"/>
      <c r="AC375" s="272"/>
      <c r="AD375" s="272"/>
      <c r="AE375" s="272"/>
    </row>
    <row r="376" spans="15:31">
      <c r="O376" s="272"/>
      <c r="P376" s="272"/>
      <c r="Q376" s="272"/>
      <c r="R376" s="272"/>
      <c r="S376" s="272"/>
      <c r="T376" s="272"/>
      <c r="U376" s="272"/>
      <c r="V376" s="272"/>
      <c r="W376" s="272"/>
      <c r="X376" s="272"/>
      <c r="Y376" s="272"/>
      <c r="Z376" s="272"/>
      <c r="AA376" s="272"/>
      <c r="AB376" s="272"/>
      <c r="AC376" s="272"/>
      <c r="AD376" s="272"/>
      <c r="AE376" s="272"/>
    </row>
    <row r="377" spans="15:31">
      <c r="O377" s="272"/>
      <c r="P377" s="272"/>
      <c r="Q377" s="272"/>
      <c r="R377" s="272"/>
      <c r="S377" s="272"/>
      <c r="T377" s="272"/>
      <c r="U377" s="272"/>
      <c r="V377" s="272"/>
      <c r="W377" s="272"/>
      <c r="X377" s="272"/>
      <c r="Y377" s="272"/>
      <c r="Z377" s="272"/>
      <c r="AA377" s="272"/>
      <c r="AB377" s="272"/>
      <c r="AC377" s="272"/>
      <c r="AD377" s="272"/>
      <c r="AE377" s="272"/>
    </row>
    <row r="378" spans="15:31">
      <c r="O378" s="272"/>
      <c r="P378" s="272"/>
      <c r="Q378" s="272"/>
      <c r="R378" s="272"/>
      <c r="S378" s="272"/>
      <c r="T378" s="272"/>
      <c r="U378" s="272"/>
      <c r="V378" s="272"/>
      <c r="W378" s="272"/>
      <c r="X378" s="272"/>
      <c r="Y378" s="272"/>
      <c r="Z378" s="272"/>
      <c r="AA378" s="272"/>
      <c r="AB378" s="272"/>
      <c r="AC378" s="272"/>
      <c r="AD378" s="272"/>
      <c r="AE378" s="272"/>
    </row>
    <row r="379" spans="15:31">
      <c r="O379" s="272"/>
      <c r="P379" s="272"/>
      <c r="Q379" s="272"/>
      <c r="R379" s="272"/>
      <c r="S379" s="272"/>
      <c r="T379" s="272"/>
      <c r="U379" s="272"/>
      <c r="V379" s="272"/>
      <c r="W379" s="272"/>
      <c r="X379" s="272"/>
      <c r="Y379" s="272"/>
      <c r="Z379" s="272"/>
      <c r="AA379" s="272"/>
      <c r="AB379" s="272"/>
      <c r="AC379" s="272"/>
      <c r="AD379" s="272"/>
      <c r="AE379" s="272"/>
    </row>
    <row r="380" spans="15:31">
      <c r="O380" s="272"/>
      <c r="P380" s="272"/>
      <c r="Q380" s="272"/>
      <c r="R380" s="272"/>
      <c r="S380" s="272"/>
      <c r="T380" s="272"/>
      <c r="U380" s="272"/>
      <c r="V380" s="272"/>
      <c r="W380" s="272"/>
      <c r="X380" s="272"/>
      <c r="Y380" s="272"/>
      <c r="Z380" s="272"/>
      <c r="AA380" s="272"/>
      <c r="AB380" s="272"/>
      <c r="AC380" s="272"/>
      <c r="AD380" s="272"/>
      <c r="AE380" s="272"/>
    </row>
    <row r="381" spans="15:31">
      <c r="O381" s="272"/>
      <c r="P381" s="272"/>
      <c r="Q381" s="272"/>
      <c r="R381" s="272"/>
      <c r="S381" s="272"/>
      <c r="T381" s="272"/>
      <c r="U381" s="272"/>
      <c r="V381" s="272"/>
      <c r="W381" s="272"/>
      <c r="X381" s="272"/>
      <c r="Y381" s="272"/>
      <c r="Z381" s="272"/>
      <c r="AA381" s="272"/>
      <c r="AB381" s="272"/>
      <c r="AC381" s="272"/>
      <c r="AD381" s="272"/>
      <c r="AE381" s="272"/>
    </row>
    <row r="382" spans="15:31">
      <c r="O382" s="272"/>
      <c r="P382" s="272"/>
      <c r="Q382" s="272"/>
      <c r="R382" s="272"/>
      <c r="S382" s="272"/>
      <c r="T382" s="272"/>
      <c r="U382" s="272"/>
      <c r="V382" s="272"/>
      <c r="W382" s="272"/>
      <c r="X382" s="272"/>
      <c r="Y382" s="272"/>
      <c r="Z382" s="272"/>
      <c r="AA382" s="272"/>
      <c r="AB382" s="272"/>
      <c r="AC382" s="272"/>
      <c r="AD382" s="272"/>
      <c r="AE382" s="272"/>
    </row>
    <row r="383" spans="15:31">
      <c r="O383" s="272"/>
      <c r="P383" s="272"/>
      <c r="Q383" s="272"/>
      <c r="R383" s="272"/>
      <c r="S383" s="272"/>
      <c r="T383" s="272"/>
      <c r="U383" s="272"/>
      <c r="V383" s="272"/>
      <c r="W383" s="272"/>
      <c r="X383" s="272"/>
      <c r="Y383" s="272"/>
      <c r="Z383" s="272"/>
      <c r="AA383" s="272"/>
      <c r="AB383" s="272"/>
      <c r="AC383" s="272"/>
      <c r="AD383" s="272"/>
      <c r="AE383" s="272"/>
    </row>
    <row r="384" spans="15:31">
      <c r="O384" s="272"/>
      <c r="P384" s="272"/>
      <c r="Q384" s="272"/>
      <c r="R384" s="272"/>
      <c r="S384" s="272"/>
      <c r="T384" s="272"/>
      <c r="U384" s="272"/>
      <c r="V384" s="272"/>
      <c r="W384" s="272"/>
      <c r="X384" s="272"/>
      <c r="Y384" s="272"/>
      <c r="Z384" s="272"/>
      <c r="AA384" s="272"/>
      <c r="AB384" s="272"/>
      <c r="AC384" s="272"/>
      <c r="AD384" s="272"/>
      <c r="AE384" s="272"/>
    </row>
    <row r="385" spans="15:31">
      <c r="O385" s="272"/>
      <c r="P385" s="272"/>
      <c r="Q385" s="272"/>
      <c r="R385" s="272"/>
      <c r="S385" s="272"/>
      <c r="T385" s="272"/>
      <c r="U385" s="272"/>
      <c r="V385" s="272"/>
      <c r="W385" s="272"/>
      <c r="X385" s="272"/>
      <c r="Y385" s="272"/>
      <c r="Z385" s="272"/>
      <c r="AA385" s="272"/>
      <c r="AB385" s="272"/>
      <c r="AC385" s="272"/>
      <c r="AD385" s="272"/>
      <c r="AE385" s="272"/>
    </row>
    <row r="386" spans="15:31">
      <c r="O386" s="272"/>
      <c r="P386" s="272"/>
      <c r="Q386" s="272"/>
      <c r="R386" s="272"/>
      <c r="S386" s="272"/>
      <c r="T386" s="272"/>
      <c r="U386" s="272"/>
      <c r="V386" s="272"/>
      <c r="W386" s="272"/>
      <c r="X386" s="272"/>
      <c r="Y386" s="272"/>
      <c r="Z386" s="272"/>
      <c r="AA386" s="272"/>
      <c r="AB386" s="272"/>
      <c r="AC386" s="272"/>
      <c r="AD386" s="272"/>
      <c r="AE386" s="272"/>
    </row>
    <row r="387" spans="15:31">
      <c r="O387" s="272"/>
      <c r="P387" s="272"/>
      <c r="Q387" s="272"/>
      <c r="R387" s="272"/>
      <c r="S387" s="272"/>
      <c r="T387" s="272"/>
      <c r="U387" s="272"/>
      <c r="V387" s="272"/>
      <c r="W387" s="272"/>
      <c r="X387" s="272"/>
      <c r="Y387" s="272"/>
      <c r="Z387" s="272"/>
      <c r="AA387" s="272"/>
      <c r="AB387" s="272"/>
      <c r="AC387" s="272"/>
      <c r="AD387" s="272"/>
      <c r="AE387" s="272"/>
    </row>
    <row r="388" spans="15:31">
      <c r="O388" s="272"/>
      <c r="P388" s="272"/>
      <c r="Q388" s="272"/>
      <c r="R388" s="272"/>
      <c r="S388" s="272"/>
      <c r="T388" s="272"/>
      <c r="U388" s="272"/>
      <c r="V388" s="272"/>
      <c r="W388" s="272"/>
      <c r="X388" s="272"/>
      <c r="Y388" s="272"/>
      <c r="Z388" s="272"/>
      <c r="AA388" s="272"/>
      <c r="AB388" s="272"/>
      <c r="AC388" s="272"/>
      <c r="AD388" s="272"/>
      <c r="AE388" s="272"/>
    </row>
    <row r="389" spans="15:31">
      <c r="O389" s="272"/>
      <c r="P389" s="272"/>
      <c r="Q389" s="272"/>
      <c r="R389" s="272"/>
      <c r="S389" s="272"/>
      <c r="T389" s="272"/>
      <c r="U389" s="272"/>
      <c r="V389" s="272"/>
      <c r="W389" s="272"/>
      <c r="X389" s="272"/>
      <c r="Y389" s="272"/>
      <c r="Z389" s="272"/>
      <c r="AA389" s="272"/>
      <c r="AB389" s="272"/>
      <c r="AC389" s="272"/>
      <c r="AD389" s="272"/>
      <c r="AE389" s="272"/>
    </row>
    <row r="390" spans="15:31">
      <c r="O390" s="272"/>
      <c r="P390" s="272"/>
      <c r="Q390" s="272"/>
      <c r="R390" s="272"/>
      <c r="S390" s="272"/>
      <c r="T390" s="272"/>
      <c r="U390" s="272"/>
      <c r="V390" s="272"/>
      <c r="W390" s="272"/>
      <c r="X390" s="272"/>
      <c r="Y390" s="272"/>
      <c r="Z390" s="272"/>
      <c r="AA390" s="272"/>
      <c r="AB390" s="272"/>
      <c r="AC390" s="272"/>
      <c r="AD390" s="272"/>
      <c r="AE390" s="272"/>
    </row>
    <row r="391" spans="15:31">
      <c r="O391" s="272"/>
      <c r="P391" s="272"/>
      <c r="Q391" s="272"/>
      <c r="R391" s="272"/>
      <c r="S391" s="272"/>
      <c r="T391" s="272"/>
      <c r="U391" s="272"/>
      <c r="V391" s="272"/>
      <c r="W391" s="272"/>
      <c r="X391" s="272"/>
      <c r="Y391" s="272"/>
      <c r="Z391" s="272"/>
      <c r="AA391" s="272"/>
      <c r="AB391" s="272"/>
      <c r="AC391" s="272"/>
      <c r="AD391" s="272"/>
      <c r="AE391" s="272"/>
    </row>
    <row r="392" spans="15:31">
      <c r="O392" s="272"/>
      <c r="P392" s="272"/>
      <c r="Q392" s="272"/>
      <c r="R392" s="272"/>
      <c r="S392" s="272"/>
      <c r="T392" s="272"/>
      <c r="U392" s="272"/>
      <c r="V392" s="272"/>
      <c r="W392" s="272"/>
      <c r="X392" s="272"/>
      <c r="Y392" s="272"/>
      <c r="Z392" s="272"/>
      <c r="AA392" s="272"/>
      <c r="AB392" s="272"/>
      <c r="AC392" s="272"/>
      <c r="AD392" s="272"/>
      <c r="AE392" s="272"/>
    </row>
    <row r="393" spans="15:31">
      <c r="O393" s="272"/>
      <c r="P393" s="272"/>
      <c r="Q393" s="272"/>
      <c r="R393" s="272"/>
      <c r="S393" s="272"/>
      <c r="T393" s="272"/>
      <c r="U393" s="272"/>
      <c r="V393" s="272"/>
      <c r="W393" s="272"/>
      <c r="X393" s="272"/>
      <c r="Y393" s="272"/>
      <c r="Z393" s="272"/>
      <c r="AA393" s="272"/>
      <c r="AB393" s="272"/>
      <c r="AC393" s="272"/>
      <c r="AD393" s="272"/>
      <c r="AE393" s="272"/>
    </row>
    <row r="394" spans="15:31">
      <c r="O394" s="272"/>
      <c r="P394" s="272"/>
      <c r="Q394" s="272"/>
      <c r="R394" s="272"/>
      <c r="S394" s="272"/>
      <c r="T394" s="272"/>
      <c r="U394" s="272"/>
      <c r="V394" s="272"/>
      <c r="W394" s="272"/>
      <c r="X394" s="272"/>
      <c r="Y394" s="272"/>
      <c r="Z394" s="272"/>
      <c r="AA394" s="272"/>
      <c r="AB394" s="272"/>
      <c r="AC394" s="272"/>
      <c r="AD394" s="272"/>
      <c r="AE394" s="272"/>
    </row>
    <row r="395" spans="15:31">
      <c r="O395" s="272"/>
      <c r="P395" s="272"/>
      <c r="Q395" s="272"/>
      <c r="R395" s="272"/>
      <c r="S395" s="272"/>
      <c r="T395" s="272"/>
      <c r="U395" s="272"/>
      <c r="V395" s="272"/>
      <c r="W395" s="272"/>
      <c r="X395" s="272"/>
      <c r="Y395" s="272"/>
      <c r="Z395" s="272"/>
      <c r="AA395" s="272"/>
      <c r="AB395" s="272"/>
      <c r="AC395" s="272"/>
      <c r="AD395" s="272"/>
      <c r="AE395" s="272"/>
    </row>
    <row r="396" spans="15:31">
      <c r="O396" s="272"/>
      <c r="P396" s="272"/>
      <c r="Q396" s="272"/>
      <c r="R396" s="272"/>
      <c r="S396" s="272"/>
      <c r="T396" s="272"/>
      <c r="U396" s="272"/>
      <c r="V396" s="272"/>
      <c r="W396" s="272"/>
      <c r="X396" s="272"/>
      <c r="Y396" s="272"/>
      <c r="Z396" s="272"/>
      <c r="AA396" s="272"/>
      <c r="AB396" s="272"/>
      <c r="AC396" s="272"/>
      <c r="AD396" s="272"/>
      <c r="AE396" s="272"/>
    </row>
    <row r="397" spans="15:31">
      <c r="O397" s="272"/>
      <c r="P397" s="272"/>
      <c r="Q397" s="272"/>
      <c r="R397" s="272"/>
      <c r="S397" s="272"/>
      <c r="T397" s="272"/>
      <c r="U397" s="272"/>
      <c r="V397" s="272"/>
      <c r="W397" s="272"/>
      <c r="X397" s="272"/>
      <c r="Y397" s="272"/>
      <c r="Z397" s="272"/>
      <c r="AA397" s="272"/>
      <c r="AB397" s="272"/>
      <c r="AC397" s="272"/>
      <c r="AD397" s="272"/>
      <c r="AE397" s="272"/>
    </row>
    <row r="398" spans="15:31">
      <c r="O398" s="272"/>
      <c r="P398" s="272"/>
      <c r="Q398" s="272"/>
      <c r="R398" s="272"/>
      <c r="S398" s="272"/>
      <c r="T398" s="272"/>
      <c r="U398" s="272"/>
      <c r="V398" s="272"/>
      <c r="W398" s="272"/>
      <c r="X398" s="272"/>
      <c r="Y398" s="272"/>
      <c r="Z398" s="272"/>
      <c r="AA398" s="272"/>
      <c r="AB398" s="272"/>
      <c r="AC398" s="272"/>
      <c r="AD398" s="272"/>
      <c r="AE398" s="272"/>
    </row>
    <row r="399" spans="15:31">
      <c r="O399" s="272"/>
      <c r="P399" s="272"/>
      <c r="Q399" s="272"/>
      <c r="R399" s="272"/>
      <c r="S399" s="272"/>
      <c r="T399" s="272"/>
      <c r="U399" s="272"/>
      <c r="V399" s="272"/>
      <c r="W399" s="272"/>
      <c r="X399" s="272"/>
      <c r="Y399" s="272"/>
      <c r="Z399" s="272"/>
      <c r="AA399" s="272"/>
      <c r="AB399" s="272"/>
      <c r="AC399" s="272"/>
      <c r="AD399" s="272"/>
      <c r="AE399" s="272"/>
    </row>
    <row r="400" spans="15:31">
      <c r="O400" s="272"/>
      <c r="P400" s="272"/>
      <c r="Q400" s="272"/>
      <c r="R400" s="272"/>
      <c r="S400" s="272"/>
      <c r="T400" s="272"/>
      <c r="U400" s="272"/>
      <c r="V400" s="272"/>
      <c r="W400" s="272"/>
      <c r="X400" s="272"/>
      <c r="Y400" s="272"/>
      <c r="Z400" s="272"/>
      <c r="AA400" s="272"/>
      <c r="AB400" s="272"/>
      <c r="AC400" s="272"/>
      <c r="AD400" s="272"/>
      <c r="AE400" s="272"/>
    </row>
    <row r="401" spans="15:31">
      <c r="O401" s="272"/>
      <c r="P401" s="272"/>
      <c r="Q401" s="272"/>
      <c r="R401" s="272"/>
      <c r="S401" s="272"/>
      <c r="T401" s="272"/>
      <c r="U401" s="272"/>
      <c r="V401" s="272"/>
      <c r="W401" s="272"/>
      <c r="X401" s="272"/>
      <c r="Y401" s="272"/>
      <c r="Z401" s="272"/>
      <c r="AA401" s="272"/>
      <c r="AB401" s="272"/>
      <c r="AC401" s="272"/>
      <c r="AD401" s="272"/>
      <c r="AE401" s="272"/>
    </row>
    <row r="402" spans="15:31">
      <c r="O402" s="272"/>
      <c r="P402" s="272"/>
      <c r="Q402" s="272"/>
      <c r="R402" s="272"/>
      <c r="S402" s="272"/>
      <c r="T402" s="272"/>
      <c r="U402" s="272"/>
      <c r="V402" s="272"/>
      <c r="W402" s="272"/>
      <c r="X402" s="272"/>
      <c r="Y402" s="272"/>
      <c r="Z402" s="272"/>
      <c r="AA402" s="272"/>
      <c r="AB402" s="272"/>
      <c r="AC402" s="272"/>
      <c r="AD402" s="272"/>
      <c r="AE402" s="272"/>
    </row>
    <row r="403" spans="15:31">
      <c r="O403" s="272"/>
      <c r="P403" s="272"/>
      <c r="Q403" s="272"/>
      <c r="R403" s="272"/>
      <c r="S403" s="272"/>
      <c r="T403" s="272"/>
      <c r="U403" s="272"/>
      <c r="V403" s="272"/>
      <c r="W403" s="272"/>
      <c r="X403" s="272"/>
      <c r="Y403" s="272"/>
      <c r="Z403" s="272"/>
      <c r="AA403" s="272"/>
      <c r="AB403" s="272"/>
      <c r="AC403" s="272"/>
      <c r="AD403" s="272"/>
      <c r="AE403" s="272"/>
    </row>
    <row r="404" spans="15:31">
      <c r="O404" s="272"/>
      <c r="P404" s="272"/>
      <c r="Q404" s="272"/>
      <c r="R404" s="272"/>
      <c r="S404" s="272"/>
      <c r="T404" s="272"/>
      <c r="U404" s="272"/>
      <c r="V404" s="272"/>
      <c r="W404" s="272"/>
      <c r="X404" s="272"/>
      <c r="Y404" s="272"/>
      <c r="Z404" s="272"/>
      <c r="AA404" s="272"/>
      <c r="AB404" s="272"/>
      <c r="AC404" s="272"/>
      <c r="AD404" s="272"/>
      <c r="AE404" s="272"/>
    </row>
    <row r="405" spans="15:31">
      <c r="O405" s="272"/>
      <c r="P405" s="272"/>
      <c r="Q405" s="272"/>
      <c r="R405" s="272"/>
      <c r="S405" s="272"/>
      <c r="T405" s="272"/>
      <c r="U405" s="272"/>
      <c r="V405" s="272"/>
      <c r="W405" s="272"/>
      <c r="X405" s="272"/>
      <c r="Y405" s="272"/>
      <c r="Z405" s="272"/>
      <c r="AA405" s="272"/>
      <c r="AB405" s="272"/>
      <c r="AC405" s="272"/>
      <c r="AD405" s="272"/>
      <c r="AE405" s="272"/>
    </row>
    <row r="406" spans="15:31">
      <c r="O406" s="272"/>
      <c r="P406" s="272"/>
      <c r="Q406" s="272"/>
      <c r="R406" s="272"/>
      <c r="S406" s="272"/>
      <c r="T406" s="272"/>
      <c r="U406" s="272"/>
      <c r="V406" s="272"/>
      <c r="W406" s="272"/>
      <c r="X406" s="272"/>
      <c r="Y406" s="272"/>
      <c r="Z406" s="272"/>
      <c r="AA406" s="272"/>
      <c r="AB406" s="272"/>
      <c r="AC406" s="272"/>
      <c r="AD406" s="272"/>
      <c r="AE406" s="272"/>
    </row>
    <row r="407" spans="15:31">
      <c r="O407" s="272"/>
      <c r="P407" s="272"/>
      <c r="Q407" s="272"/>
      <c r="R407" s="272"/>
      <c r="S407" s="272"/>
      <c r="T407" s="272"/>
      <c r="U407" s="272"/>
      <c r="V407" s="272"/>
      <c r="W407" s="272"/>
      <c r="X407" s="272"/>
      <c r="Y407" s="272"/>
      <c r="Z407" s="272"/>
      <c r="AA407" s="272"/>
      <c r="AB407" s="272"/>
      <c r="AC407" s="272"/>
      <c r="AD407" s="272"/>
      <c r="AE407" s="272"/>
    </row>
    <row r="408" spans="15:31">
      <c r="O408" s="272"/>
      <c r="P408" s="272"/>
      <c r="Q408" s="272"/>
      <c r="R408" s="272"/>
      <c r="S408" s="272"/>
      <c r="T408" s="272"/>
      <c r="U408" s="272"/>
      <c r="V408" s="272"/>
      <c r="W408" s="272"/>
      <c r="X408" s="272"/>
      <c r="Y408" s="272"/>
      <c r="Z408" s="272"/>
      <c r="AA408" s="272"/>
      <c r="AB408" s="272"/>
      <c r="AC408" s="272"/>
      <c r="AD408" s="272"/>
      <c r="AE408" s="272"/>
    </row>
    <row r="409" spans="15:31">
      <c r="O409" s="272"/>
      <c r="P409" s="272"/>
      <c r="Q409" s="272"/>
      <c r="R409" s="272"/>
      <c r="S409" s="272"/>
      <c r="T409" s="272"/>
      <c r="U409" s="272"/>
      <c r="V409" s="272"/>
      <c r="W409" s="272"/>
      <c r="X409" s="272"/>
      <c r="Y409" s="272"/>
      <c r="Z409" s="272"/>
      <c r="AA409" s="272"/>
      <c r="AB409" s="272"/>
      <c r="AC409" s="272"/>
      <c r="AD409" s="272"/>
      <c r="AE409" s="272"/>
    </row>
    <row r="410" spans="15:31">
      <c r="O410" s="272"/>
      <c r="P410" s="272"/>
      <c r="Q410" s="272"/>
      <c r="R410" s="272"/>
      <c r="S410" s="272"/>
      <c r="T410" s="272"/>
      <c r="U410" s="272"/>
      <c r="V410" s="272"/>
      <c r="W410" s="272"/>
      <c r="X410" s="272"/>
      <c r="Y410" s="272"/>
      <c r="Z410" s="272"/>
      <c r="AA410" s="272"/>
      <c r="AB410" s="272"/>
      <c r="AC410" s="272"/>
      <c r="AD410" s="272"/>
      <c r="AE410" s="272"/>
    </row>
    <row r="411" spans="15:31">
      <c r="O411" s="272"/>
      <c r="P411" s="272"/>
      <c r="Q411" s="272"/>
      <c r="R411" s="272"/>
      <c r="S411" s="272"/>
      <c r="T411" s="272"/>
      <c r="U411" s="272"/>
      <c r="V411" s="272"/>
      <c r="W411" s="272"/>
      <c r="X411" s="272"/>
      <c r="Y411" s="272"/>
      <c r="Z411" s="272"/>
      <c r="AA411" s="272"/>
      <c r="AB411" s="272"/>
      <c r="AC411" s="272"/>
      <c r="AD411" s="272"/>
      <c r="AE411" s="272"/>
    </row>
    <row r="412" spans="15:31">
      <c r="O412" s="272"/>
      <c r="P412" s="272"/>
      <c r="Q412" s="272"/>
      <c r="R412" s="272"/>
      <c r="S412" s="272"/>
      <c r="T412" s="272"/>
      <c r="U412" s="272"/>
      <c r="V412" s="272"/>
      <c r="W412" s="272"/>
      <c r="X412" s="272"/>
      <c r="Y412" s="272"/>
      <c r="Z412" s="272"/>
      <c r="AA412" s="272"/>
      <c r="AB412" s="272"/>
      <c r="AC412" s="272"/>
      <c r="AD412" s="272"/>
      <c r="AE412" s="272"/>
    </row>
    <row r="413" spans="15:31">
      <c r="O413" s="272"/>
      <c r="P413" s="272"/>
      <c r="Q413" s="272"/>
      <c r="R413" s="272"/>
      <c r="S413" s="272"/>
      <c r="T413" s="272"/>
      <c r="U413" s="272"/>
      <c r="V413" s="272"/>
      <c r="W413" s="272"/>
      <c r="X413" s="272"/>
      <c r="Y413" s="272"/>
      <c r="Z413" s="272"/>
      <c r="AA413" s="272"/>
      <c r="AB413" s="272"/>
      <c r="AC413" s="272"/>
      <c r="AD413" s="272"/>
      <c r="AE413" s="272"/>
    </row>
    <row r="414" spans="15:31">
      <c r="O414" s="272"/>
      <c r="P414" s="272"/>
      <c r="Q414" s="272"/>
      <c r="R414" s="272"/>
      <c r="S414" s="272"/>
      <c r="T414" s="272"/>
      <c r="U414" s="272"/>
      <c r="V414" s="272"/>
      <c r="W414" s="272"/>
      <c r="X414" s="272"/>
      <c r="Y414" s="272"/>
      <c r="Z414" s="272"/>
      <c r="AA414" s="272"/>
      <c r="AB414" s="272"/>
      <c r="AC414" s="272"/>
      <c r="AD414" s="272"/>
      <c r="AE414" s="272"/>
    </row>
    <row r="415" spans="15:31">
      <c r="O415" s="272"/>
      <c r="P415" s="272"/>
      <c r="Q415" s="272"/>
      <c r="R415" s="272"/>
      <c r="S415" s="272"/>
      <c r="T415" s="272"/>
      <c r="U415" s="272"/>
      <c r="V415" s="272"/>
      <c r="W415" s="272"/>
      <c r="X415" s="272"/>
      <c r="Y415" s="272"/>
      <c r="Z415" s="272"/>
      <c r="AA415" s="272"/>
      <c r="AB415" s="272"/>
      <c r="AC415" s="272"/>
      <c r="AD415" s="272"/>
      <c r="AE415" s="272"/>
    </row>
    <row r="416" spans="15:31">
      <c r="O416" s="272"/>
      <c r="P416" s="272"/>
      <c r="Q416" s="272"/>
      <c r="R416" s="272"/>
      <c r="S416" s="272"/>
      <c r="T416" s="272"/>
      <c r="U416" s="272"/>
      <c r="V416" s="272"/>
      <c r="W416" s="272"/>
      <c r="X416" s="272"/>
      <c r="Y416" s="272"/>
      <c r="Z416" s="272"/>
      <c r="AA416" s="272"/>
      <c r="AB416" s="272"/>
      <c r="AC416" s="272"/>
      <c r="AD416" s="272"/>
      <c r="AE416" s="272"/>
    </row>
    <row r="417" spans="15:31">
      <c r="O417" s="272"/>
      <c r="P417" s="272"/>
      <c r="Q417" s="272"/>
      <c r="R417" s="272"/>
      <c r="S417" s="272"/>
      <c r="T417" s="272"/>
      <c r="U417" s="272"/>
      <c r="V417" s="272"/>
      <c r="W417" s="272"/>
      <c r="X417" s="272"/>
      <c r="Y417" s="272"/>
      <c r="Z417" s="272"/>
      <c r="AA417" s="272"/>
      <c r="AB417" s="272"/>
      <c r="AC417" s="272"/>
      <c r="AD417" s="272"/>
      <c r="AE417" s="272"/>
    </row>
    <row r="418" spans="15:31">
      <c r="O418" s="272"/>
      <c r="P418" s="272"/>
      <c r="Q418" s="272"/>
      <c r="R418" s="272"/>
      <c r="S418" s="272"/>
      <c r="T418" s="272"/>
      <c r="U418" s="272"/>
      <c r="V418" s="272"/>
      <c r="W418" s="272"/>
      <c r="X418" s="272"/>
      <c r="Y418" s="272"/>
      <c r="Z418" s="272"/>
      <c r="AA418" s="272"/>
      <c r="AB418" s="272"/>
      <c r="AC418" s="272"/>
      <c r="AD418" s="272"/>
      <c r="AE418" s="272"/>
    </row>
    <row r="419" spans="15:31">
      <c r="O419" s="272"/>
      <c r="P419" s="272"/>
      <c r="Q419" s="272"/>
      <c r="R419" s="272"/>
      <c r="S419" s="272"/>
      <c r="T419" s="272"/>
      <c r="U419" s="272"/>
      <c r="V419" s="272"/>
      <c r="W419" s="272"/>
      <c r="X419" s="272"/>
      <c r="Y419" s="272"/>
      <c r="Z419" s="272"/>
      <c r="AA419" s="272"/>
      <c r="AB419" s="272"/>
      <c r="AC419" s="272"/>
      <c r="AD419" s="272"/>
      <c r="AE419" s="272"/>
    </row>
    <row r="420" spans="15:31">
      <c r="O420" s="272"/>
      <c r="P420" s="272"/>
      <c r="Q420" s="272"/>
      <c r="R420" s="272"/>
      <c r="S420" s="272"/>
      <c r="T420" s="272"/>
      <c r="U420" s="272"/>
      <c r="V420" s="272"/>
      <c r="W420" s="272"/>
      <c r="X420" s="272"/>
      <c r="Y420" s="272"/>
      <c r="Z420" s="272"/>
      <c r="AA420" s="272"/>
      <c r="AB420" s="272"/>
      <c r="AC420" s="272"/>
      <c r="AD420" s="272"/>
      <c r="AE420" s="272"/>
    </row>
    <row r="421" spans="15:31">
      <c r="O421" s="272"/>
      <c r="P421" s="272"/>
      <c r="Q421" s="272"/>
      <c r="R421" s="272"/>
      <c r="S421" s="272"/>
      <c r="T421" s="272"/>
      <c r="U421" s="272"/>
      <c r="V421" s="272"/>
      <c r="W421" s="272"/>
      <c r="X421" s="272"/>
      <c r="Y421" s="272"/>
      <c r="Z421" s="272"/>
      <c r="AA421" s="272"/>
      <c r="AB421" s="272"/>
      <c r="AC421" s="272"/>
      <c r="AD421" s="272"/>
      <c r="AE421" s="272"/>
    </row>
    <row r="422" spans="15:31">
      <c r="O422" s="272"/>
      <c r="P422" s="272"/>
      <c r="Q422" s="272"/>
      <c r="R422" s="272"/>
      <c r="S422" s="272"/>
      <c r="T422" s="272"/>
      <c r="U422" s="272"/>
      <c r="V422" s="272"/>
      <c r="W422" s="272"/>
      <c r="X422" s="272"/>
      <c r="Y422" s="272"/>
      <c r="Z422" s="272"/>
      <c r="AA422" s="272"/>
      <c r="AB422" s="272"/>
      <c r="AC422" s="272"/>
      <c r="AD422" s="272"/>
      <c r="AE422" s="272"/>
    </row>
    <row r="423" spans="15:31">
      <c r="O423" s="272"/>
      <c r="P423" s="272"/>
      <c r="Q423" s="272"/>
      <c r="R423" s="272"/>
      <c r="S423" s="272"/>
      <c r="T423" s="272"/>
      <c r="U423" s="272"/>
      <c r="V423" s="272"/>
      <c r="W423" s="272"/>
      <c r="X423" s="272"/>
      <c r="Y423" s="272"/>
      <c r="Z423" s="272"/>
      <c r="AA423" s="272"/>
      <c r="AB423" s="272"/>
      <c r="AC423" s="272"/>
      <c r="AD423" s="272"/>
      <c r="AE423" s="272"/>
    </row>
    <row r="424" spans="15:31">
      <c r="O424" s="272"/>
      <c r="P424" s="272"/>
      <c r="Q424" s="272"/>
      <c r="R424" s="272"/>
      <c r="S424" s="272"/>
      <c r="T424" s="272"/>
      <c r="U424" s="272"/>
      <c r="V424" s="272"/>
      <c r="W424" s="272"/>
      <c r="X424" s="272"/>
      <c r="Y424" s="272"/>
      <c r="Z424" s="272"/>
      <c r="AA424" s="272"/>
      <c r="AB424" s="272"/>
      <c r="AC424" s="272"/>
      <c r="AD424" s="272"/>
      <c r="AE424" s="272"/>
    </row>
    <row r="425" spans="15:31">
      <c r="O425" s="272"/>
      <c r="P425" s="272"/>
      <c r="Q425" s="272"/>
      <c r="R425" s="272"/>
      <c r="S425" s="272"/>
      <c r="T425" s="272"/>
      <c r="U425" s="272"/>
      <c r="V425" s="272"/>
      <c r="W425" s="272"/>
      <c r="X425" s="272"/>
      <c r="Y425" s="272"/>
      <c r="Z425" s="272"/>
      <c r="AA425" s="272"/>
      <c r="AB425" s="272"/>
      <c r="AC425" s="272"/>
      <c r="AD425" s="272"/>
      <c r="AE425" s="272"/>
    </row>
    <row r="426" spans="15:31">
      <c r="O426" s="272"/>
      <c r="P426" s="272"/>
      <c r="Q426" s="272"/>
      <c r="R426" s="272"/>
      <c r="S426" s="272"/>
      <c r="T426" s="272"/>
      <c r="U426" s="272"/>
      <c r="V426" s="272"/>
      <c r="W426" s="272"/>
      <c r="X426" s="272"/>
      <c r="Y426" s="272"/>
      <c r="Z426" s="272"/>
      <c r="AA426" s="272"/>
      <c r="AB426" s="272"/>
      <c r="AC426" s="272"/>
      <c r="AD426" s="272"/>
      <c r="AE426" s="272"/>
    </row>
    <row r="427" spans="15:31">
      <c r="O427" s="272"/>
      <c r="P427" s="272"/>
      <c r="Q427" s="272"/>
      <c r="R427" s="272"/>
      <c r="S427" s="272"/>
      <c r="T427" s="272"/>
      <c r="U427" s="272"/>
      <c r="V427" s="272"/>
      <c r="W427" s="272"/>
      <c r="X427" s="272"/>
      <c r="Y427" s="272"/>
      <c r="Z427" s="272"/>
      <c r="AA427" s="272"/>
      <c r="AB427" s="272"/>
      <c r="AC427" s="272"/>
      <c r="AD427" s="272"/>
      <c r="AE427" s="272"/>
    </row>
    <row r="428" spans="15:31">
      <c r="O428" s="272"/>
      <c r="P428" s="272"/>
      <c r="Q428" s="272"/>
      <c r="R428" s="272"/>
      <c r="S428" s="272"/>
      <c r="T428" s="272"/>
      <c r="U428" s="272"/>
      <c r="V428" s="272"/>
      <c r="W428" s="272"/>
      <c r="X428" s="272"/>
      <c r="Y428" s="272"/>
      <c r="Z428" s="272"/>
      <c r="AA428" s="272"/>
      <c r="AB428" s="272"/>
      <c r="AC428" s="272"/>
      <c r="AD428" s="272"/>
      <c r="AE428" s="272"/>
    </row>
    <row r="429" spans="15:31">
      <c r="O429" s="272"/>
      <c r="P429" s="272"/>
      <c r="Q429" s="272"/>
      <c r="R429" s="272"/>
      <c r="S429" s="272"/>
      <c r="T429" s="272"/>
      <c r="U429" s="272"/>
      <c r="V429" s="272"/>
      <c r="W429" s="272"/>
      <c r="X429" s="272"/>
      <c r="Y429" s="272"/>
      <c r="Z429" s="272"/>
      <c r="AA429" s="272"/>
      <c r="AB429" s="272"/>
      <c r="AC429" s="272"/>
      <c r="AD429" s="272"/>
      <c r="AE429" s="272"/>
    </row>
    <row r="430" spans="15:31">
      <c r="O430" s="272"/>
      <c r="P430" s="272"/>
      <c r="Q430" s="272"/>
      <c r="R430" s="272"/>
      <c r="S430" s="272"/>
      <c r="T430" s="272"/>
      <c r="U430" s="272"/>
      <c r="V430" s="272"/>
      <c r="W430" s="272"/>
      <c r="X430" s="272"/>
      <c r="Y430" s="272"/>
      <c r="Z430" s="272"/>
      <c r="AA430" s="272"/>
      <c r="AB430" s="272"/>
      <c r="AC430" s="272"/>
      <c r="AD430" s="272"/>
      <c r="AE430" s="272"/>
    </row>
    <row r="431" spans="15:31">
      <c r="O431" s="272"/>
      <c r="P431" s="272"/>
      <c r="Q431" s="272"/>
      <c r="R431" s="272"/>
      <c r="S431" s="272"/>
      <c r="T431" s="272"/>
      <c r="U431" s="272"/>
      <c r="V431" s="272"/>
      <c r="W431" s="272"/>
      <c r="X431" s="272"/>
      <c r="Y431" s="272"/>
      <c r="Z431" s="272"/>
      <c r="AA431" s="272"/>
      <c r="AB431" s="272"/>
      <c r="AC431" s="272"/>
      <c r="AD431" s="272"/>
      <c r="AE431" s="272"/>
    </row>
    <row r="432" spans="15:31">
      <c r="O432" s="272"/>
      <c r="P432" s="272"/>
      <c r="Q432" s="272"/>
      <c r="R432" s="272"/>
      <c r="S432" s="272"/>
      <c r="T432" s="272"/>
      <c r="U432" s="272"/>
      <c r="V432" s="272"/>
      <c r="W432" s="272"/>
      <c r="X432" s="272"/>
      <c r="Y432" s="272"/>
      <c r="Z432" s="272"/>
      <c r="AA432" s="272"/>
      <c r="AB432" s="272"/>
      <c r="AC432" s="272"/>
      <c r="AD432" s="272"/>
      <c r="AE432" s="272"/>
    </row>
    <row r="433" spans="15:31">
      <c r="O433" s="272"/>
      <c r="P433" s="272"/>
      <c r="Q433" s="272"/>
      <c r="R433" s="272"/>
      <c r="S433" s="272"/>
      <c r="T433" s="272"/>
      <c r="U433" s="272"/>
      <c r="V433" s="272"/>
      <c r="W433" s="272"/>
      <c r="X433" s="272"/>
      <c r="Y433" s="272"/>
      <c r="Z433" s="272"/>
      <c r="AA433" s="272"/>
      <c r="AB433" s="272"/>
      <c r="AC433" s="272"/>
      <c r="AD433" s="272"/>
      <c r="AE433" s="272"/>
    </row>
    <row r="434" spans="15:31">
      <c r="O434" s="272"/>
      <c r="P434" s="272"/>
      <c r="Q434" s="272"/>
      <c r="R434" s="272"/>
      <c r="S434" s="272"/>
      <c r="T434" s="272"/>
      <c r="U434" s="272"/>
      <c r="V434" s="272"/>
      <c r="W434" s="272"/>
      <c r="X434" s="272"/>
      <c r="Y434" s="272"/>
      <c r="Z434" s="272"/>
      <c r="AA434" s="272"/>
      <c r="AB434" s="272"/>
      <c r="AC434" s="272"/>
      <c r="AD434" s="272"/>
      <c r="AE434" s="272"/>
    </row>
    <row r="435" spans="15:31">
      <c r="O435" s="272"/>
      <c r="P435" s="272"/>
      <c r="Q435" s="272"/>
      <c r="R435" s="272"/>
      <c r="S435" s="272"/>
      <c r="T435" s="272"/>
      <c r="U435" s="272"/>
      <c r="V435" s="272"/>
      <c r="W435" s="272"/>
      <c r="X435" s="272"/>
      <c r="Y435" s="272"/>
      <c r="Z435" s="272"/>
      <c r="AA435" s="272"/>
      <c r="AB435" s="272"/>
      <c r="AC435" s="272"/>
      <c r="AD435" s="272"/>
      <c r="AE435" s="272"/>
    </row>
    <row r="436" spans="15:31">
      <c r="O436" s="272"/>
      <c r="P436" s="272"/>
      <c r="Q436" s="272"/>
      <c r="R436" s="272"/>
      <c r="S436" s="272"/>
      <c r="T436" s="272"/>
      <c r="U436" s="272"/>
      <c r="V436" s="272"/>
      <c r="W436" s="272"/>
      <c r="X436" s="272"/>
      <c r="Y436" s="272"/>
      <c r="Z436" s="272"/>
      <c r="AA436" s="272"/>
      <c r="AB436" s="272"/>
      <c r="AC436" s="272"/>
      <c r="AD436" s="272"/>
      <c r="AE436" s="272"/>
    </row>
    <row r="437" spans="15:31">
      <c r="O437" s="272"/>
      <c r="P437" s="272"/>
      <c r="Q437" s="272"/>
      <c r="R437" s="272"/>
      <c r="S437" s="272"/>
      <c r="T437" s="272"/>
      <c r="U437" s="272"/>
      <c r="V437" s="272"/>
      <c r="W437" s="272"/>
      <c r="X437" s="272"/>
      <c r="Y437" s="272"/>
      <c r="Z437" s="272"/>
      <c r="AA437" s="272"/>
      <c r="AB437" s="272"/>
      <c r="AC437" s="272"/>
      <c r="AD437" s="272"/>
      <c r="AE437" s="272"/>
    </row>
    <row r="438" spans="15:31">
      <c r="O438" s="272"/>
      <c r="P438" s="272"/>
      <c r="Q438" s="272"/>
      <c r="R438" s="272"/>
      <c r="S438" s="272"/>
      <c r="T438" s="272"/>
      <c r="U438" s="272"/>
      <c r="V438" s="272"/>
      <c r="W438" s="272"/>
      <c r="X438" s="272"/>
      <c r="Y438" s="272"/>
      <c r="Z438" s="272"/>
      <c r="AA438" s="272"/>
      <c r="AB438" s="272"/>
      <c r="AC438" s="272"/>
      <c r="AD438" s="272"/>
      <c r="AE438" s="272"/>
    </row>
    <row r="439" spans="15:31">
      <c r="O439" s="272"/>
      <c r="P439" s="272"/>
      <c r="Q439" s="272"/>
      <c r="R439" s="272"/>
      <c r="S439" s="272"/>
      <c r="T439" s="272"/>
      <c r="U439" s="272"/>
      <c r="V439" s="272"/>
      <c r="W439" s="272"/>
      <c r="X439" s="272"/>
      <c r="Y439" s="272"/>
      <c r="Z439" s="272"/>
      <c r="AA439" s="272"/>
      <c r="AB439" s="272"/>
      <c r="AC439" s="272"/>
      <c r="AD439" s="272"/>
      <c r="AE439" s="272"/>
    </row>
    <row r="440" spans="15:31">
      <c r="O440" s="272"/>
      <c r="P440" s="272"/>
      <c r="Q440" s="272"/>
      <c r="R440" s="272"/>
      <c r="S440" s="272"/>
      <c r="T440" s="272"/>
      <c r="U440" s="272"/>
      <c r="V440" s="272"/>
      <c r="W440" s="272"/>
      <c r="X440" s="272"/>
      <c r="Y440" s="272"/>
      <c r="Z440" s="272"/>
      <c r="AA440" s="272"/>
      <c r="AB440" s="272"/>
      <c r="AC440" s="272"/>
      <c r="AD440" s="272"/>
      <c r="AE440" s="272"/>
    </row>
    <row r="441" spans="15:31">
      <c r="O441" s="272"/>
      <c r="P441" s="272"/>
      <c r="Q441" s="272"/>
      <c r="R441" s="272"/>
      <c r="S441" s="272"/>
      <c r="T441" s="272"/>
      <c r="U441" s="272"/>
      <c r="V441" s="272"/>
      <c r="W441" s="272"/>
      <c r="X441" s="272"/>
      <c r="Y441" s="272"/>
      <c r="Z441" s="272"/>
      <c r="AA441" s="272"/>
      <c r="AB441" s="272"/>
      <c r="AC441" s="272"/>
      <c r="AD441" s="272"/>
      <c r="AE441" s="272"/>
    </row>
    <row r="442" spans="15:31">
      <c r="O442" s="272"/>
      <c r="P442" s="272"/>
      <c r="Q442" s="272"/>
      <c r="R442" s="272"/>
      <c r="S442" s="272"/>
      <c r="T442" s="272"/>
      <c r="U442" s="272"/>
      <c r="V442" s="272"/>
      <c r="W442" s="272"/>
      <c r="X442" s="272"/>
      <c r="Y442" s="272"/>
      <c r="Z442" s="272"/>
      <c r="AA442" s="272"/>
      <c r="AB442" s="272"/>
      <c r="AC442" s="272"/>
      <c r="AD442" s="272"/>
      <c r="AE442" s="272"/>
    </row>
    <row r="443" spans="15:31">
      <c r="O443" s="272"/>
      <c r="P443" s="272"/>
      <c r="Q443" s="272"/>
      <c r="R443" s="272"/>
      <c r="S443" s="272"/>
      <c r="T443" s="272"/>
      <c r="U443" s="272"/>
      <c r="V443" s="272"/>
      <c r="W443" s="272"/>
      <c r="X443" s="272"/>
      <c r="Y443" s="272"/>
      <c r="Z443" s="272"/>
      <c r="AA443" s="272"/>
      <c r="AB443" s="272"/>
      <c r="AC443" s="272"/>
      <c r="AD443" s="272"/>
      <c r="AE443" s="272"/>
    </row>
    <row r="444" spans="15:31">
      <c r="O444" s="272"/>
      <c r="P444" s="272"/>
      <c r="Q444" s="272"/>
      <c r="R444" s="272"/>
      <c r="S444" s="272"/>
      <c r="T444" s="272"/>
      <c r="U444" s="272"/>
      <c r="V444" s="272"/>
      <c r="W444" s="272"/>
      <c r="X444" s="272"/>
      <c r="Y444" s="272"/>
      <c r="Z444" s="272"/>
      <c r="AA444" s="272"/>
      <c r="AB444" s="272"/>
      <c r="AC444" s="272"/>
      <c r="AD444" s="272"/>
      <c r="AE444" s="272"/>
    </row>
    <row r="445" spans="15:31">
      <c r="O445" s="272"/>
      <c r="P445" s="272"/>
      <c r="Q445" s="272"/>
      <c r="R445" s="272"/>
      <c r="S445" s="272"/>
      <c r="T445" s="272"/>
      <c r="U445" s="272"/>
      <c r="V445" s="272"/>
      <c r="W445" s="272"/>
      <c r="X445" s="272"/>
      <c r="Y445" s="272"/>
      <c r="Z445" s="272"/>
      <c r="AA445" s="272"/>
      <c r="AB445" s="272"/>
      <c r="AC445" s="272"/>
      <c r="AD445" s="272"/>
      <c r="AE445" s="272"/>
    </row>
    <row r="446" spans="15:31">
      <c r="O446" s="272"/>
      <c r="P446" s="272"/>
      <c r="Q446" s="272"/>
      <c r="R446" s="272"/>
      <c r="S446" s="272"/>
      <c r="T446" s="272"/>
      <c r="U446" s="272"/>
      <c r="V446" s="272"/>
      <c r="W446" s="272"/>
      <c r="X446" s="272"/>
      <c r="Y446" s="272"/>
      <c r="Z446" s="272"/>
      <c r="AA446" s="272"/>
      <c r="AB446" s="272"/>
      <c r="AC446" s="272"/>
      <c r="AD446" s="272"/>
      <c r="AE446" s="272"/>
    </row>
    <row r="447" spans="15:31">
      <c r="O447" s="272"/>
      <c r="P447" s="272"/>
      <c r="Q447" s="272"/>
      <c r="R447" s="272"/>
      <c r="S447" s="272"/>
      <c r="T447" s="272"/>
      <c r="U447" s="272"/>
      <c r="V447" s="272"/>
      <c r="W447" s="272"/>
      <c r="X447" s="272"/>
      <c r="Y447" s="272"/>
      <c r="Z447" s="272"/>
      <c r="AA447" s="272"/>
      <c r="AB447" s="272"/>
      <c r="AC447" s="272"/>
      <c r="AD447" s="272"/>
      <c r="AE447" s="272"/>
    </row>
    <row r="448" spans="15:31">
      <c r="O448" s="272"/>
      <c r="P448" s="272"/>
      <c r="Q448" s="272"/>
      <c r="R448" s="272"/>
      <c r="S448" s="272"/>
      <c r="T448" s="272"/>
      <c r="U448" s="272"/>
      <c r="V448" s="272"/>
      <c r="W448" s="272"/>
      <c r="X448" s="272"/>
      <c r="Y448" s="272"/>
      <c r="Z448" s="272"/>
      <c r="AA448" s="272"/>
      <c r="AB448" s="272"/>
      <c r="AC448" s="272"/>
      <c r="AD448" s="272"/>
      <c r="AE448" s="272"/>
    </row>
    <row r="449" spans="15:31">
      <c r="O449" s="272"/>
      <c r="P449" s="272"/>
      <c r="Q449" s="272"/>
      <c r="R449" s="272"/>
      <c r="S449" s="272"/>
      <c r="T449" s="272"/>
      <c r="U449" s="272"/>
      <c r="V449" s="272"/>
      <c r="W449" s="272"/>
      <c r="X449" s="272"/>
      <c r="Y449" s="272"/>
      <c r="Z449" s="272"/>
      <c r="AA449" s="272"/>
      <c r="AB449" s="272"/>
      <c r="AC449" s="272"/>
      <c r="AD449" s="272"/>
      <c r="AE449" s="272"/>
    </row>
    <row r="450" spans="15:31">
      <c r="O450" s="272"/>
      <c r="P450" s="272"/>
      <c r="Q450" s="272"/>
      <c r="R450" s="272"/>
      <c r="S450" s="272"/>
      <c r="T450" s="272"/>
      <c r="U450" s="272"/>
      <c r="V450" s="272"/>
      <c r="W450" s="272"/>
      <c r="X450" s="272"/>
      <c r="Y450" s="272"/>
      <c r="Z450" s="272"/>
      <c r="AA450" s="272"/>
      <c r="AB450" s="272"/>
      <c r="AC450" s="272"/>
      <c r="AD450" s="272"/>
      <c r="AE450" s="272"/>
    </row>
    <row r="451" spans="15:31">
      <c r="O451" s="272"/>
      <c r="P451" s="272"/>
      <c r="Q451" s="272"/>
      <c r="R451" s="272"/>
      <c r="S451" s="272"/>
      <c r="T451" s="272"/>
      <c r="U451" s="272"/>
      <c r="V451" s="272"/>
      <c r="W451" s="272"/>
      <c r="X451" s="272"/>
      <c r="Y451" s="272"/>
      <c r="Z451" s="272"/>
      <c r="AA451" s="272"/>
      <c r="AB451" s="272"/>
      <c r="AC451" s="272"/>
      <c r="AD451" s="272"/>
      <c r="AE451" s="272"/>
    </row>
    <row r="452" spans="15:31">
      <c r="O452" s="272"/>
      <c r="P452" s="272"/>
      <c r="Q452" s="272"/>
      <c r="R452" s="272"/>
      <c r="S452" s="272"/>
      <c r="T452" s="272"/>
      <c r="U452" s="272"/>
      <c r="V452" s="272"/>
      <c r="W452" s="272"/>
      <c r="X452" s="272"/>
      <c r="Y452" s="272"/>
      <c r="Z452" s="272"/>
      <c r="AA452" s="272"/>
      <c r="AB452" s="272"/>
      <c r="AC452" s="272"/>
      <c r="AD452" s="272"/>
      <c r="AE452" s="272"/>
    </row>
    <row r="453" spans="15:31">
      <c r="O453" s="272"/>
      <c r="P453" s="272"/>
      <c r="Q453" s="272"/>
      <c r="R453" s="272"/>
      <c r="S453" s="272"/>
      <c r="T453" s="272"/>
      <c r="U453" s="272"/>
      <c r="V453" s="272"/>
      <c r="W453" s="272"/>
      <c r="X453" s="272"/>
      <c r="Y453" s="272"/>
      <c r="Z453" s="272"/>
      <c r="AA453" s="272"/>
      <c r="AB453" s="272"/>
      <c r="AC453" s="272"/>
      <c r="AD453" s="272"/>
      <c r="AE453" s="272"/>
    </row>
    <row r="454" spans="15:31">
      <c r="O454" s="272"/>
      <c r="P454" s="272"/>
      <c r="Q454" s="272"/>
      <c r="R454" s="272"/>
      <c r="S454" s="272"/>
      <c r="T454" s="272"/>
      <c r="U454" s="272"/>
      <c r="V454" s="272"/>
      <c r="W454" s="272"/>
      <c r="X454" s="272"/>
      <c r="Y454" s="272"/>
      <c r="Z454" s="272"/>
      <c r="AA454" s="272"/>
      <c r="AB454" s="272"/>
      <c r="AC454" s="272"/>
      <c r="AD454" s="272"/>
      <c r="AE454" s="272"/>
    </row>
    <row r="455" spans="15:31">
      <c r="O455" s="272"/>
      <c r="P455" s="272"/>
      <c r="Q455" s="272"/>
      <c r="R455" s="272"/>
      <c r="S455" s="272"/>
      <c r="T455" s="272"/>
      <c r="U455" s="272"/>
      <c r="V455" s="272"/>
      <c r="W455" s="272"/>
      <c r="X455" s="272"/>
      <c r="Y455" s="272"/>
      <c r="Z455" s="272"/>
      <c r="AA455" s="272"/>
      <c r="AB455" s="272"/>
      <c r="AC455" s="272"/>
      <c r="AD455" s="272"/>
      <c r="AE455" s="272"/>
    </row>
    <row r="456" spans="15:31">
      <c r="O456" s="272"/>
      <c r="P456" s="272"/>
      <c r="Q456" s="272"/>
      <c r="R456" s="272"/>
      <c r="S456" s="272"/>
      <c r="T456" s="272"/>
      <c r="U456" s="272"/>
      <c r="V456" s="272"/>
      <c r="W456" s="272"/>
      <c r="X456" s="272"/>
      <c r="Y456" s="272"/>
      <c r="Z456" s="272"/>
      <c r="AA456" s="272"/>
      <c r="AB456" s="272"/>
      <c r="AC456" s="272"/>
      <c r="AD456" s="272"/>
      <c r="AE456" s="272"/>
    </row>
    <row r="457" spans="15:31">
      <c r="O457" s="272"/>
      <c r="P457" s="272"/>
      <c r="Q457" s="272"/>
      <c r="R457" s="272"/>
      <c r="S457" s="272"/>
      <c r="T457" s="272"/>
      <c r="U457" s="272"/>
      <c r="V457" s="272"/>
      <c r="W457" s="272"/>
      <c r="X457" s="272"/>
      <c r="Y457" s="272"/>
      <c r="Z457" s="272"/>
      <c r="AA457" s="272"/>
      <c r="AB457" s="272"/>
      <c r="AC457" s="272"/>
      <c r="AD457" s="272"/>
      <c r="AE457" s="272"/>
    </row>
    <row r="458" spans="15:31">
      <c r="O458" s="272"/>
      <c r="P458" s="272"/>
      <c r="Q458" s="272"/>
      <c r="R458" s="272"/>
      <c r="S458" s="272"/>
      <c r="T458" s="272"/>
      <c r="U458" s="272"/>
      <c r="V458" s="272"/>
      <c r="W458" s="272"/>
      <c r="X458" s="272"/>
      <c r="Y458" s="272"/>
      <c r="Z458" s="272"/>
      <c r="AA458" s="272"/>
      <c r="AB458" s="272"/>
      <c r="AC458" s="272"/>
      <c r="AD458" s="272"/>
      <c r="AE458" s="272"/>
    </row>
    <row r="459" spans="15:31">
      <c r="O459" s="272"/>
      <c r="P459" s="272"/>
      <c r="Q459" s="272"/>
      <c r="R459" s="272"/>
      <c r="S459" s="272"/>
      <c r="T459" s="272"/>
      <c r="U459" s="272"/>
      <c r="V459" s="272"/>
      <c r="W459" s="272"/>
      <c r="X459" s="272"/>
      <c r="Y459" s="272"/>
      <c r="Z459" s="272"/>
      <c r="AA459" s="272"/>
      <c r="AB459" s="272"/>
      <c r="AC459" s="272"/>
      <c r="AD459" s="272"/>
      <c r="AE459" s="272"/>
    </row>
    <row r="460" spans="15:31">
      <c r="O460" s="272"/>
      <c r="P460" s="272"/>
      <c r="Q460" s="272"/>
      <c r="R460" s="272"/>
      <c r="S460" s="272"/>
      <c r="T460" s="272"/>
      <c r="U460" s="272"/>
      <c r="V460" s="272"/>
      <c r="W460" s="272"/>
      <c r="X460" s="272"/>
      <c r="Y460" s="272"/>
      <c r="Z460" s="272"/>
      <c r="AA460" s="272"/>
      <c r="AB460" s="272"/>
      <c r="AC460" s="272"/>
      <c r="AD460" s="272"/>
      <c r="AE460" s="272"/>
    </row>
    <row r="461" spans="15:31">
      <c r="O461" s="272"/>
      <c r="P461" s="272"/>
      <c r="Q461" s="272"/>
      <c r="R461" s="272"/>
      <c r="S461" s="272"/>
      <c r="T461" s="272"/>
      <c r="U461" s="272"/>
      <c r="V461" s="272"/>
      <c r="W461" s="272"/>
      <c r="X461" s="272"/>
      <c r="Y461" s="272"/>
      <c r="Z461" s="272"/>
      <c r="AA461" s="272"/>
      <c r="AB461" s="272"/>
      <c r="AC461" s="272"/>
      <c r="AD461" s="272"/>
      <c r="AE461" s="272"/>
    </row>
    <row r="462" spans="15:31">
      <c r="O462" s="272"/>
      <c r="P462" s="272"/>
      <c r="Q462" s="272"/>
      <c r="R462" s="272"/>
      <c r="S462" s="272"/>
      <c r="T462" s="272"/>
      <c r="U462" s="272"/>
      <c r="V462" s="272"/>
      <c r="W462" s="272"/>
      <c r="X462" s="272"/>
      <c r="Y462" s="272"/>
      <c r="Z462" s="272"/>
      <c r="AA462" s="272"/>
      <c r="AB462" s="272"/>
      <c r="AC462" s="272"/>
      <c r="AD462" s="272"/>
      <c r="AE462" s="272"/>
    </row>
    <row r="463" spans="15:31">
      <c r="O463" s="272"/>
      <c r="P463" s="272"/>
      <c r="Q463" s="272"/>
      <c r="R463" s="272"/>
      <c r="S463" s="272"/>
      <c r="T463" s="272"/>
      <c r="U463" s="272"/>
      <c r="V463" s="272"/>
      <c r="W463" s="272"/>
      <c r="X463" s="272"/>
      <c r="Y463" s="272"/>
      <c r="Z463" s="272"/>
      <c r="AA463" s="272"/>
      <c r="AB463" s="272"/>
      <c r="AC463" s="272"/>
      <c r="AD463" s="272"/>
      <c r="AE463" s="272"/>
    </row>
    <row r="464" spans="15:31">
      <c r="O464" s="272"/>
      <c r="P464" s="272"/>
      <c r="Q464" s="272"/>
      <c r="R464" s="272"/>
      <c r="S464" s="272"/>
      <c r="T464" s="272"/>
      <c r="U464" s="272"/>
      <c r="V464" s="272"/>
      <c r="W464" s="272"/>
      <c r="X464" s="272"/>
      <c r="Y464" s="272"/>
      <c r="Z464" s="272"/>
      <c r="AA464" s="272"/>
      <c r="AB464" s="272"/>
      <c r="AC464" s="272"/>
      <c r="AD464" s="272"/>
      <c r="AE464" s="272"/>
    </row>
    <row r="465" spans="15:31">
      <c r="O465" s="272"/>
      <c r="P465" s="272"/>
      <c r="Q465" s="272"/>
      <c r="R465" s="272"/>
      <c r="S465" s="272"/>
      <c r="T465" s="272"/>
      <c r="U465" s="272"/>
      <c r="V465" s="272"/>
      <c r="W465" s="272"/>
      <c r="X465" s="272"/>
      <c r="Y465" s="272"/>
      <c r="Z465" s="272"/>
      <c r="AA465" s="272"/>
      <c r="AB465" s="272"/>
      <c r="AC465" s="272"/>
      <c r="AD465" s="272"/>
      <c r="AE465" s="272"/>
    </row>
    <row r="466" spans="15:31">
      <c r="O466" s="272"/>
      <c r="P466" s="272"/>
      <c r="Q466" s="272"/>
      <c r="R466" s="272"/>
      <c r="S466" s="272"/>
      <c r="T466" s="272"/>
      <c r="U466" s="272"/>
      <c r="V466" s="272"/>
      <c r="W466" s="272"/>
      <c r="X466" s="272"/>
      <c r="Y466" s="272"/>
      <c r="Z466" s="272"/>
      <c r="AA466" s="272"/>
      <c r="AB466" s="272"/>
      <c r="AC466" s="272"/>
      <c r="AD466" s="272"/>
      <c r="AE466" s="272"/>
    </row>
    <row r="467" spans="15:31">
      <c r="O467" s="272"/>
      <c r="P467" s="272"/>
      <c r="Q467" s="272"/>
      <c r="R467" s="272"/>
      <c r="S467" s="272"/>
      <c r="T467" s="272"/>
      <c r="U467" s="272"/>
      <c r="V467" s="272"/>
      <c r="W467" s="272"/>
      <c r="X467" s="272"/>
      <c r="Y467" s="272"/>
      <c r="Z467" s="272"/>
      <c r="AA467" s="272"/>
      <c r="AB467" s="272"/>
      <c r="AC467" s="272"/>
      <c r="AD467" s="272"/>
      <c r="AE467" s="272"/>
    </row>
    <row r="468" spans="15:31">
      <c r="O468" s="272"/>
      <c r="P468" s="272"/>
      <c r="Q468" s="272"/>
      <c r="R468" s="272"/>
      <c r="S468" s="272"/>
      <c r="T468" s="272"/>
      <c r="U468" s="272"/>
      <c r="V468" s="272"/>
      <c r="W468" s="272"/>
      <c r="X468" s="272"/>
      <c r="Y468" s="272"/>
      <c r="Z468" s="272"/>
      <c r="AA468" s="272"/>
      <c r="AB468" s="272"/>
      <c r="AC468" s="272"/>
      <c r="AD468" s="272"/>
      <c r="AE468" s="272"/>
    </row>
    <row r="469" spans="15:31">
      <c r="O469" s="272"/>
      <c r="P469" s="272"/>
      <c r="Q469" s="272"/>
      <c r="R469" s="272"/>
      <c r="S469" s="272"/>
      <c r="T469" s="272"/>
      <c r="U469" s="272"/>
      <c r="V469" s="272"/>
      <c r="W469" s="272"/>
      <c r="X469" s="272"/>
      <c r="Y469" s="272"/>
      <c r="Z469" s="272"/>
      <c r="AA469" s="272"/>
      <c r="AB469" s="272"/>
      <c r="AC469" s="272"/>
      <c r="AD469" s="272"/>
      <c r="AE469" s="272"/>
    </row>
    <row r="470" spans="15:31">
      <c r="O470" s="272"/>
      <c r="P470" s="272"/>
      <c r="Q470" s="272"/>
      <c r="R470" s="272"/>
      <c r="S470" s="272"/>
      <c r="T470" s="272"/>
      <c r="U470" s="272"/>
      <c r="V470" s="272"/>
      <c r="W470" s="272"/>
      <c r="X470" s="272"/>
      <c r="Y470" s="272"/>
      <c r="Z470" s="272"/>
      <c r="AA470" s="272"/>
      <c r="AB470" s="272"/>
      <c r="AC470" s="272"/>
      <c r="AD470" s="272"/>
      <c r="AE470" s="272"/>
    </row>
    <row r="471" spans="15:31">
      <c r="O471" s="272"/>
      <c r="P471" s="272"/>
      <c r="Q471" s="272"/>
      <c r="R471" s="272"/>
      <c r="S471" s="272"/>
      <c r="T471" s="272"/>
      <c r="U471" s="272"/>
      <c r="V471" s="272"/>
      <c r="W471" s="272"/>
      <c r="X471" s="272"/>
      <c r="Y471" s="272"/>
      <c r="Z471" s="272"/>
      <c r="AA471" s="272"/>
      <c r="AB471" s="272"/>
      <c r="AC471" s="272"/>
      <c r="AD471" s="272"/>
      <c r="AE471" s="272"/>
    </row>
    <row r="472" spans="15:31">
      <c r="O472" s="272"/>
      <c r="P472" s="272"/>
      <c r="Q472" s="272"/>
      <c r="R472" s="272"/>
      <c r="S472" s="272"/>
      <c r="T472" s="272"/>
      <c r="U472" s="272"/>
      <c r="V472" s="272"/>
      <c r="W472" s="272"/>
      <c r="X472" s="272"/>
      <c r="Y472" s="272"/>
      <c r="Z472" s="272"/>
      <c r="AA472" s="272"/>
      <c r="AB472" s="272"/>
      <c r="AC472" s="272"/>
      <c r="AD472" s="272"/>
      <c r="AE472" s="272"/>
    </row>
    <row r="473" spans="15:31">
      <c r="O473" s="272"/>
      <c r="P473" s="272"/>
      <c r="Q473" s="272"/>
      <c r="R473" s="272"/>
      <c r="S473" s="272"/>
      <c r="T473" s="272"/>
      <c r="U473" s="272"/>
      <c r="V473" s="272"/>
      <c r="W473" s="272"/>
      <c r="X473" s="272"/>
      <c r="Y473" s="272"/>
      <c r="Z473" s="272"/>
      <c r="AA473" s="272"/>
      <c r="AB473" s="272"/>
      <c r="AC473" s="272"/>
      <c r="AD473" s="272"/>
      <c r="AE473" s="272"/>
    </row>
    <row r="474" spans="15:31">
      <c r="O474" s="272"/>
      <c r="P474" s="272"/>
      <c r="Q474" s="272"/>
      <c r="R474" s="272"/>
      <c r="S474" s="272"/>
      <c r="T474" s="272"/>
      <c r="U474" s="272"/>
      <c r="V474" s="272"/>
      <c r="W474" s="272"/>
      <c r="X474" s="272"/>
      <c r="Y474" s="272"/>
      <c r="Z474" s="272"/>
      <c r="AA474" s="272"/>
      <c r="AB474" s="272"/>
      <c r="AC474" s="272"/>
      <c r="AD474" s="272"/>
      <c r="AE474" s="272"/>
    </row>
    <row r="475" spans="15:31">
      <c r="O475" s="272"/>
      <c r="P475" s="272"/>
      <c r="Q475" s="272"/>
      <c r="R475" s="272"/>
      <c r="S475" s="272"/>
      <c r="T475" s="272"/>
      <c r="U475" s="272"/>
      <c r="V475" s="272"/>
      <c r="W475" s="272"/>
      <c r="X475" s="272"/>
      <c r="Y475" s="272"/>
      <c r="Z475" s="272"/>
      <c r="AA475" s="272"/>
      <c r="AB475" s="272"/>
      <c r="AC475" s="272"/>
      <c r="AD475" s="272"/>
      <c r="AE475" s="272"/>
    </row>
    <row r="476" spans="15:31">
      <c r="O476" s="272"/>
      <c r="P476" s="272"/>
      <c r="Q476" s="272"/>
      <c r="R476" s="272"/>
      <c r="S476" s="272"/>
      <c r="T476" s="272"/>
      <c r="U476" s="272"/>
      <c r="V476" s="272"/>
      <c r="W476" s="272"/>
      <c r="X476" s="272"/>
      <c r="Y476" s="272"/>
      <c r="Z476" s="272"/>
      <c r="AA476" s="272"/>
      <c r="AB476" s="272"/>
      <c r="AC476" s="272"/>
      <c r="AD476" s="272"/>
      <c r="AE476" s="272"/>
    </row>
    <row r="477" spans="15:31">
      <c r="O477" s="272"/>
      <c r="P477" s="272"/>
      <c r="Q477" s="272"/>
      <c r="R477" s="272"/>
      <c r="S477" s="272"/>
      <c r="T477" s="272"/>
      <c r="U477" s="272"/>
      <c r="V477" s="272"/>
      <c r="W477" s="272"/>
      <c r="X477" s="272"/>
      <c r="Y477" s="272"/>
      <c r="Z477" s="272"/>
      <c r="AA477" s="272"/>
      <c r="AB477" s="272"/>
      <c r="AC477" s="272"/>
      <c r="AD477" s="272"/>
      <c r="AE477" s="272"/>
    </row>
    <row r="478" spans="15:31">
      <c r="O478" s="272"/>
      <c r="P478" s="272"/>
      <c r="Q478" s="272"/>
      <c r="R478" s="272"/>
      <c r="S478" s="272"/>
      <c r="T478" s="272"/>
      <c r="U478" s="272"/>
      <c r="V478" s="272"/>
      <c r="W478" s="272"/>
      <c r="X478" s="272"/>
      <c r="Y478" s="272"/>
      <c r="Z478" s="272"/>
      <c r="AA478" s="272"/>
      <c r="AB478" s="272"/>
      <c r="AC478" s="272"/>
      <c r="AD478" s="272"/>
      <c r="AE478" s="272"/>
    </row>
    <row r="479" spans="15:31">
      <c r="O479" s="272"/>
      <c r="P479" s="272"/>
      <c r="Q479" s="272"/>
      <c r="R479" s="272"/>
      <c r="S479" s="272"/>
      <c r="T479" s="272"/>
      <c r="U479" s="272"/>
      <c r="V479" s="272"/>
      <c r="W479" s="272"/>
      <c r="X479" s="272"/>
      <c r="Y479" s="272"/>
      <c r="Z479" s="272"/>
      <c r="AA479" s="272"/>
      <c r="AB479" s="272"/>
      <c r="AC479" s="272"/>
      <c r="AD479" s="272"/>
      <c r="AE479" s="272"/>
    </row>
    <row r="480" spans="15:31">
      <c r="O480" s="272"/>
      <c r="P480" s="272"/>
      <c r="Q480" s="272"/>
      <c r="R480" s="272"/>
      <c r="S480" s="272"/>
      <c r="T480" s="272"/>
      <c r="U480" s="272"/>
      <c r="V480" s="272"/>
      <c r="W480" s="272"/>
      <c r="X480" s="272"/>
      <c r="Y480" s="272"/>
      <c r="Z480" s="272"/>
      <c r="AA480" s="272"/>
      <c r="AB480" s="272"/>
      <c r="AC480" s="272"/>
      <c r="AD480" s="272"/>
      <c r="AE480" s="272"/>
    </row>
    <row r="481" spans="15:31">
      <c r="O481" s="272"/>
      <c r="P481" s="272"/>
      <c r="Q481" s="272"/>
      <c r="R481" s="272"/>
      <c r="S481" s="272"/>
      <c r="T481" s="272"/>
      <c r="U481" s="272"/>
      <c r="V481" s="272"/>
      <c r="W481" s="272"/>
      <c r="X481" s="272"/>
      <c r="Y481" s="272"/>
      <c r="Z481" s="272"/>
      <c r="AA481" s="272"/>
      <c r="AB481" s="272"/>
      <c r="AC481" s="272"/>
      <c r="AD481" s="272"/>
      <c r="AE481" s="272"/>
    </row>
    <row r="482" spans="15:31">
      <c r="O482" s="272"/>
      <c r="P482" s="272"/>
      <c r="Q482" s="272"/>
      <c r="R482" s="272"/>
      <c r="S482" s="272"/>
      <c r="T482" s="272"/>
      <c r="U482" s="272"/>
      <c r="V482" s="272"/>
      <c r="W482" s="272"/>
      <c r="X482" s="272"/>
      <c r="Y482" s="272"/>
      <c r="Z482" s="272"/>
      <c r="AA482" s="272"/>
      <c r="AB482" s="272"/>
      <c r="AC482" s="272"/>
      <c r="AD482" s="272"/>
      <c r="AE482" s="272"/>
    </row>
    <row r="483" spans="15:31">
      <c r="O483" s="272"/>
      <c r="P483" s="272"/>
      <c r="Q483" s="272"/>
      <c r="R483" s="272"/>
      <c r="S483" s="272"/>
      <c r="T483" s="272"/>
      <c r="U483" s="272"/>
      <c r="V483" s="272"/>
      <c r="W483" s="272"/>
      <c r="X483" s="272"/>
      <c r="Y483" s="272"/>
      <c r="Z483" s="272"/>
      <c r="AA483" s="272"/>
      <c r="AB483" s="272"/>
      <c r="AC483" s="272"/>
      <c r="AD483" s="272"/>
      <c r="AE483" s="272"/>
    </row>
    <row r="484" spans="15:31">
      <c r="O484" s="272"/>
      <c r="P484" s="272"/>
      <c r="Q484" s="272"/>
      <c r="R484" s="272"/>
      <c r="S484" s="272"/>
      <c r="T484" s="272"/>
      <c r="U484" s="272"/>
      <c r="V484" s="272"/>
      <c r="W484" s="272"/>
      <c r="X484" s="272"/>
      <c r="Y484" s="272"/>
      <c r="Z484" s="272"/>
      <c r="AA484" s="272"/>
      <c r="AB484" s="272"/>
      <c r="AC484" s="272"/>
      <c r="AD484" s="272"/>
      <c r="AE484" s="272"/>
    </row>
    <row r="485" spans="15:31">
      <c r="O485" s="272"/>
      <c r="P485" s="272"/>
      <c r="Q485" s="272"/>
      <c r="R485" s="272"/>
      <c r="S485" s="272"/>
      <c r="T485" s="272"/>
      <c r="U485" s="272"/>
      <c r="V485" s="272"/>
      <c r="W485" s="272"/>
      <c r="X485" s="272"/>
      <c r="Y485" s="272"/>
      <c r="Z485" s="272"/>
      <c r="AA485" s="272"/>
      <c r="AB485" s="272"/>
      <c r="AC485" s="272"/>
      <c r="AD485" s="272"/>
      <c r="AE485" s="272"/>
    </row>
    <row r="486" spans="15:31">
      <c r="O486" s="272"/>
      <c r="P486" s="272"/>
      <c r="Q486" s="272"/>
      <c r="R486" s="272"/>
      <c r="S486" s="272"/>
      <c r="T486" s="272"/>
      <c r="U486" s="272"/>
      <c r="V486" s="272"/>
      <c r="W486" s="272"/>
      <c r="X486" s="272"/>
      <c r="Y486" s="272"/>
      <c r="Z486" s="272"/>
      <c r="AA486" s="272"/>
      <c r="AB486" s="272"/>
      <c r="AC486" s="272"/>
      <c r="AD486" s="272"/>
      <c r="AE486" s="272"/>
    </row>
    <row r="487" spans="15:31">
      <c r="O487" s="272"/>
      <c r="P487" s="272"/>
      <c r="Q487" s="272"/>
      <c r="R487" s="272"/>
      <c r="S487" s="272"/>
      <c r="T487" s="272"/>
      <c r="U487" s="272"/>
      <c r="V487" s="272"/>
      <c r="W487" s="272"/>
      <c r="X487" s="272"/>
      <c r="Y487" s="272"/>
      <c r="Z487" s="272"/>
      <c r="AA487" s="272"/>
      <c r="AB487" s="272"/>
      <c r="AC487" s="272"/>
      <c r="AD487" s="272"/>
      <c r="AE487" s="272"/>
    </row>
    <row r="488" spans="15:31">
      <c r="O488" s="272"/>
      <c r="P488" s="272"/>
      <c r="Q488" s="272"/>
      <c r="R488" s="272"/>
      <c r="S488" s="272"/>
      <c r="T488" s="272"/>
      <c r="U488" s="272"/>
      <c r="V488" s="272"/>
      <c r="W488" s="272"/>
      <c r="X488" s="272"/>
      <c r="Y488" s="272"/>
      <c r="Z488" s="272"/>
      <c r="AA488" s="272"/>
      <c r="AB488" s="272"/>
      <c r="AC488" s="272"/>
      <c r="AD488" s="272"/>
      <c r="AE488" s="272"/>
    </row>
    <row r="489" spans="15:31">
      <c r="O489" s="272"/>
      <c r="P489" s="272"/>
      <c r="Q489" s="272"/>
      <c r="R489" s="272"/>
      <c r="S489" s="272"/>
      <c r="T489" s="272"/>
      <c r="U489" s="272"/>
      <c r="V489" s="272"/>
      <c r="W489" s="272"/>
      <c r="X489" s="272"/>
      <c r="Y489" s="272"/>
      <c r="Z489" s="272"/>
      <c r="AA489" s="272"/>
      <c r="AB489" s="272"/>
      <c r="AC489" s="272"/>
      <c r="AD489" s="272"/>
      <c r="AE489" s="272"/>
    </row>
    <row r="490" spans="15:31">
      <c r="O490" s="272"/>
      <c r="P490" s="272"/>
      <c r="Q490" s="272"/>
      <c r="R490" s="272"/>
      <c r="S490" s="272"/>
      <c r="T490" s="272"/>
      <c r="U490" s="272"/>
      <c r="V490" s="272"/>
      <c r="W490" s="272"/>
      <c r="X490" s="272"/>
      <c r="Y490" s="272"/>
      <c r="Z490" s="272"/>
      <c r="AA490" s="272"/>
      <c r="AB490" s="272"/>
      <c r="AC490" s="272"/>
      <c r="AD490" s="272"/>
      <c r="AE490" s="272"/>
    </row>
    <row r="491" spans="15:31">
      <c r="O491" s="272"/>
      <c r="P491" s="272"/>
      <c r="Q491" s="272"/>
      <c r="R491" s="272"/>
      <c r="S491" s="272"/>
      <c r="T491" s="272"/>
      <c r="U491" s="272"/>
      <c r="V491" s="272"/>
      <c r="W491" s="272"/>
      <c r="X491" s="272"/>
      <c r="Y491" s="272"/>
      <c r="Z491" s="272"/>
      <c r="AA491" s="272"/>
      <c r="AB491" s="272"/>
      <c r="AC491" s="272"/>
      <c r="AD491" s="272"/>
      <c r="AE491" s="272"/>
    </row>
    <row r="492" spans="15:31">
      <c r="O492" s="272"/>
      <c r="P492" s="272"/>
      <c r="Q492" s="272"/>
      <c r="R492" s="272"/>
      <c r="S492" s="272"/>
      <c r="T492" s="272"/>
      <c r="U492" s="272"/>
      <c r="V492" s="272"/>
      <c r="W492" s="272"/>
      <c r="X492" s="272"/>
      <c r="Y492" s="272"/>
      <c r="Z492" s="272"/>
      <c r="AA492" s="272"/>
      <c r="AB492" s="272"/>
      <c r="AC492" s="272"/>
      <c r="AD492" s="272"/>
      <c r="AE492" s="272"/>
    </row>
    <row r="493" spans="15:31">
      <c r="O493" s="272"/>
      <c r="P493" s="272"/>
      <c r="Q493" s="272"/>
      <c r="R493" s="272"/>
      <c r="S493" s="272"/>
      <c r="T493" s="272"/>
      <c r="U493" s="272"/>
      <c r="V493" s="272"/>
      <c r="W493" s="272"/>
      <c r="X493" s="272"/>
      <c r="Y493" s="272"/>
      <c r="Z493" s="272"/>
      <c r="AA493" s="272"/>
      <c r="AB493" s="272"/>
      <c r="AC493" s="272"/>
      <c r="AD493" s="272"/>
      <c r="AE493" s="272"/>
    </row>
    <row r="494" spans="15:31">
      <c r="O494" s="272"/>
      <c r="P494" s="272"/>
      <c r="Q494" s="272"/>
      <c r="R494" s="272"/>
      <c r="S494" s="272"/>
      <c r="T494" s="272"/>
      <c r="U494" s="272"/>
      <c r="V494" s="272"/>
      <c r="W494" s="272"/>
      <c r="X494" s="272"/>
      <c r="Y494" s="272"/>
      <c r="Z494" s="272"/>
      <c r="AA494" s="272"/>
      <c r="AB494" s="272"/>
      <c r="AC494" s="272"/>
      <c r="AD494" s="272"/>
      <c r="AE494" s="272"/>
    </row>
    <row r="495" spans="15:31">
      <c r="O495" s="272"/>
      <c r="P495" s="272"/>
      <c r="Q495" s="272"/>
      <c r="R495" s="272"/>
      <c r="S495" s="272"/>
      <c r="T495" s="272"/>
      <c r="U495" s="272"/>
      <c r="V495" s="272"/>
      <c r="W495" s="272"/>
      <c r="X495" s="272"/>
      <c r="Y495" s="272"/>
      <c r="Z495" s="272"/>
      <c r="AA495" s="272"/>
      <c r="AB495" s="272"/>
      <c r="AC495" s="272"/>
      <c r="AD495" s="272"/>
      <c r="AE495" s="272"/>
    </row>
    <row r="496" spans="15:31">
      <c r="O496" s="272"/>
      <c r="P496" s="272"/>
      <c r="Q496" s="272"/>
      <c r="R496" s="272"/>
      <c r="S496" s="272"/>
      <c r="T496" s="272"/>
      <c r="U496" s="272"/>
      <c r="V496" s="272"/>
      <c r="W496" s="272"/>
      <c r="X496" s="272"/>
      <c r="Y496" s="272"/>
      <c r="Z496" s="272"/>
      <c r="AA496" s="272"/>
      <c r="AB496" s="272"/>
      <c r="AC496" s="272"/>
      <c r="AD496" s="272"/>
      <c r="AE496" s="272"/>
    </row>
    <row r="497" spans="15:31">
      <c r="O497" s="272"/>
      <c r="P497" s="272"/>
      <c r="Q497" s="272"/>
      <c r="R497" s="272"/>
      <c r="S497" s="272"/>
      <c r="T497" s="272"/>
      <c r="U497" s="272"/>
      <c r="V497" s="272"/>
      <c r="W497" s="272"/>
      <c r="X497" s="272"/>
      <c r="Y497" s="272"/>
      <c r="Z497" s="272"/>
      <c r="AA497" s="272"/>
      <c r="AB497" s="272"/>
      <c r="AC497" s="272"/>
      <c r="AD497" s="272"/>
      <c r="AE497" s="272"/>
    </row>
    <row r="498" spans="15:31">
      <c r="O498" s="272"/>
      <c r="P498" s="272"/>
      <c r="Q498" s="272"/>
      <c r="R498" s="272"/>
      <c r="S498" s="272"/>
      <c r="T498" s="272"/>
      <c r="U498" s="272"/>
      <c r="V498" s="272"/>
      <c r="W498" s="272"/>
      <c r="X498" s="272"/>
      <c r="Y498" s="272"/>
      <c r="Z498" s="272"/>
      <c r="AA498" s="272"/>
      <c r="AB498" s="272"/>
      <c r="AC498" s="272"/>
      <c r="AD498" s="272"/>
      <c r="AE498" s="272"/>
    </row>
    <row r="499" spans="15:31">
      <c r="O499" s="272"/>
      <c r="P499" s="272"/>
      <c r="Q499" s="272"/>
      <c r="R499" s="272"/>
      <c r="S499" s="272"/>
      <c r="T499" s="272"/>
      <c r="U499" s="272"/>
      <c r="V499" s="272"/>
      <c r="W499" s="272"/>
      <c r="X499" s="272"/>
      <c r="Y499" s="272"/>
      <c r="Z499" s="272"/>
      <c r="AA499" s="272"/>
      <c r="AB499" s="272"/>
      <c r="AC499" s="272"/>
      <c r="AD499" s="272"/>
      <c r="AE499" s="272"/>
    </row>
    <row r="500" spans="15:31">
      <c r="O500" s="272"/>
      <c r="P500" s="272"/>
      <c r="Q500" s="272"/>
      <c r="R500" s="272"/>
      <c r="S500" s="272"/>
      <c r="T500" s="272"/>
      <c r="U500" s="272"/>
      <c r="V500" s="272"/>
      <c r="W500" s="272"/>
      <c r="X500" s="272"/>
      <c r="Y500" s="272"/>
      <c r="Z500" s="272"/>
      <c r="AA500" s="272"/>
      <c r="AB500" s="272"/>
      <c r="AC500" s="272"/>
      <c r="AD500" s="272"/>
      <c r="AE500" s="272"/>
    </row>
    <row r="501" spans="15:31">
      <c r="O501" s="272"/>
      <c r="P501" s="272"/>
      <c r="Q501" s="272"/>
      <c r="R501" s="272"/>
      <c r="S501" s="272"/>
      <c r="T501" s="272"/>
      <c r="U501" s="272"/>
      <c r="V501" s="272"/>
      <c r="W501" s="272"/>
      <c r="X501" s="272"/>
      <c r="Y501" s="272"/>
      <c r="Z501" s="272"/>
      <c r="AA501" s="272"/>
      <c r="AB501" s="272"/>
      <c r="AC501" s="272"/>
      <c r="AD501" s="272"/>
      <c r="AE501" s="272"/>
    </row>
    <row r="502" spans="15:31">
      <c r="O502" s="272"/>
      <c r="P502" s="272"/>
      <c r="Q502" s="272"/>
      <c r="R502" s="272"/>
      <c r="S502" s="272"/>
      <c r="T502" s="272"/>
      <c r="U502" s="272"/>
      <c r="V502" s="272"/>
      <c r="W502" s="272"/>
      <c r="X502" s="272"/>
      <c r="Y502" s="272"/>
      <c r="Z502" s="272"/>
      <c r="AA502" s="272"/>
      <c r="AB502" s="272"/>
      <c r="AC502" s="272"/>
      <c r="AD502" s="272"/>
      <c r="AE502" s="272"/>
    </row>
    <row r="503" spans="15:31">
      <c r="O503" s="272"/>
      <c r="P503" s="272"/>
      <c r="Q503" s="272"/>
      <c r="R503" s="272"/>
      <c r="S503" s="272"/>
      <c r="T503" s="272"/>
      <c r="U503" s="272"/>
      <c r="V503" s="272"/>
      <c r="W503" s="272"/>
      <c r="X503" s="272"/>
      <c r="Y503" s="272"/>
      <c r="Z503" s="272"/>
      <c r="AA503" s="272"/>
      <c r="AB503" s="272"/>
      <c r="AC503" s="272"/>
      <c r="AD503" s="272"/>
      <c r="AE503" s="272"/>
    </row>
    <row r="504" spans="15:31">
      <c r="O504" s="272"/>
      <c r="P504" s="272"/>
      <c r="Q504" s="272"/>
      <c r="R504" s="272"/>
      <c r="S504" s="272"/>
      <c r="T504" s="272"/>
      <c r="U504" s="272"/>
      <c r="V504" s="272"/>
      <c r="W504" s="272"/>
      <c r="X504" s="272"/>
      <c r="Y504" s="272"/>
      <c r="Z504" s="272"/>
      <c r="AA504" s="272"/>
      <c r="AB504" s="272"/>
      <c r="AC504" s="272"/>
      <c r="AD504" s="272"/>
      <c r="AE504" s="272"/>
    </row>
    <row r="505" spans="15:31">
      <c r="O505" s="272"/>
      <c r="P505" s="272"/>
      <c r="Q505" s="272"/>
      <c r="R505" s="272"/>
      <c r="S505" s="272"/>
      <c r="T505" s="272"/>
      <c r="U505" s="272"/>
      <c r="V505" s="272"/>
      <c r="W505" s="272"/>
      <c r="X505" s="272"/>
      <c r="Y505" s="272"/>
      <c r="Z505" s="272"/>
      <c r="AA505" s="272"/>
      <c r="AB505" s="272"/>
      <c r="AC505" s="272"/>
      <c r="AD505" s="272"/>
      <c r="AE505" s="272"/>
    </row>
    <row r="506" spans="15:31">
      <c r="O506" s="272"/>
      <c r="P506" s="272"/>
      <c r="Q506" s="272"/>
      <c r="R506" s="272"/>
      <c r="S506" s="272"/>
      <c r="T506" s="272"/>
      <c r="U506" s="272"/>
      <c r="V506" s="272"/>
      <c r="W506" s="272"/>
      <c r="X506" s="272"/>
      <c r="Y506" s="272"/>
      <c r="Z506" s="272"/>
      <c r="AA506" s="272"/>
      <c r="AB506" s="272"/>
      <c r="AC506" s="272"/>
      <c r="AD506" s="272"/>
      <c r="AE506" s="272"/>
    </row>
    <row r="507" spans="15:31">
      <c r="O507" s="272"/>
      <c r="P507" s="272"/>
      <c r="Q507" s="272"/>
      <c r="R507" s="272"/>
      <c r="S507" s="272"/>
      <c r="T507" s="272"/>
      <c r="U507" s="272"/>
      <c r="V507" s="272"/>
      <c r="W507" s="272"/>
      <c r="X507" s="272"/>
      <c r="Y507" s="272"/>
      <c r="Z507" s="272"/>
      <c r="AA507" s="272"/>
      <c r="AB507" s="272"/>
      <c r="AC507" s="272"/>
      <c r="AD507" s="272"/>
      <c r="AE507" s="272"/>
    </row>
    <row r="508" spans="15:31">
      <c r="O508" s="272"/>
      <c r="P508" s="272"/>
      <c r="Q508" s="272"/>
      <c r="R508" s="272"/>
      <c r="S508" s="272"/>
      <c r="T508" s="272"/>
      <c r="U508" s="272"/>
      <c r="V508" s="272"/>
      <c r="W508" s="272"/>
      <c r="X508" s="272"/>
      <c r="Y508" s="272"/>
      <c r="Z508" s="272"/>
      <c r="AA508" s="272"/>
      <c r="AB508" s="272"/>
      <c r="AC508" s="272"/>
      <c r="AD508" s="272"/>
      <c r="AE508" s="272"/>
    </row>
    <row r="509" spans="15:31">
      <c r="O509" s="272"/>
      <c r="P509" s="272"/>
      <c r="Q509" s="272"/>
      <c r="R509" s="272"/>
      <c r="S509" s="272"/>
      <c r="T509" s="272"/>
      <c r="U509" s="272"/>
      <c r="V509" s="272"/>
      <c r="W509" s="272"/>
      <c r="X509" s="272"/>
      <c r="Y509" s="272"/>
      <c r="Z509" s="272"/>
      <c r="AA509" s="272"/>
      <c r="AB509" s="272"/>
      <c r="AC509" s="272"/>
      <c r="AD509" s="272"/>
      <c r="AE509" s="272"/>
    </row>
    <row r="510" spans="15:31">
      <c r="O510" s="272"/>
      <c r="P510" s="272"/>
      <c r="Q510" s="272"/>
      <c r="R510" s="272"/>
      <c r="S510" s="272"/>
      <c r="T510" s="272"/>
      <c r="U510" s="272"/>
      <c r="V510" s="272"/>
      <c r="W510" s="272"/>
      <c r="X510" s="272"/>
      <c r="Y510" s="272"/>
      <c r="Z510" s="272"/>
      <c r="AA510" s="272"/>
      <c r="AB510" s="272"/>
      <c r="AC510" s="272"/>
      <c r="AD510" s="272"/>
      <c r="AE510" s="272"/>
    </row>
    <row r="511" spans="15:31">
      <c r="O511" s="272"/>
      <c r="P511" s="272"/>
      <c r="Q511" s="272"/>
      <c r="R511" s="272"/>
      <c r="S511" s="272"/>
      <c r="T511" s="272"/>
      <c r="U511" s="272"/>
      <c r="V511" s="272"/>
      <c r="W511" s="272"/>
      <c r="X511" s="272"/>
      <c r="Y511" s="272"/>
      <c r="Z511" s="272"/>
      <c r="AA511" s="272"/>
      <c r="AB511" s="272"/>
      <c r="AC511" s="272"/>
      <c r="AD511" s="272"/>
      <c r="AE511" s="272"/>
    </row>
    <row r="512" spans="15:31">
      <c r="O512" s="272"/>
      <c r="P512" s="272"/>
      <c r="Q512" s="272"/>
      <c r="R512" s="272"/>
      <c r="S512" s="272"/>
      <c r="T512" s="272"/>
      <c r="U512" s="272"/>
      <c r="V512" s="272"/>
      <c r="W512" s="272"/>
      <c r="X512" s="272"/>
      <c r="Y512" s="272"/>
      <c r="Z512" s="272"/>
      <c r="AA512" s="272"/>
      <c r="AB512" s="272"/>
      <c r="AC512" s="272"/>
      <c r="AD512" s="272"/>
      <c r="AE512" s="272"/>
    </row>
    <row r="513" spans="15:31">
      <c r="O513" s="272"/>
      <c r="P513" s="272"/>
      <c r="Q513" s="272"/>
      <c r="R513" s="272"/>
      <c r="S513" s="272"/>
      <c r="T513" s="272"/>
      <c r="U513" s="272"/>
      <c r="V513" s="272"/>
      <c r="W513" s="272"/>
      <c r="X513" s="272"/>
      <c r="Y513" s="272"/>
      <c r="Z513" s="272"/>
      <c r="AA513" s="272"/>
      <c r="AB513" s="272"/>
      <c r="AC513" s="272"/>
      <c r="AD513" s="272"/>
      <c r="AE513" s="272"/>
    </row>
    <row r="514" spans="15:31">
      <c r="O514" s="272"/>
      <c r="P514" s="272"/>
      <c r="Q514" s="272"/>
      <c r="R514" s="272"/>
      <c r="S514" s="272"/>
      <c r="T514" s="272"/>
      <c r="U514" s="272"/>
      <c r="V514" s="272"/>
      <c r="W514" s="272"/>
      <c r="X514" s="272"/>
      <c r="Y514" s="272"/>
      <c r="Z514" s="272"/>
      <c r="AA514" s="272"/>
      <c r="AB514" s="272"/>
      <c r="AC514" s="272"/>
      <c r="AD514" s="272"/>
      <c r="AE514" s="272"/>
    </row>
    <row r="515" spans="15:31">
      <c r="O515" s="272"/>
      <c r="P515" s="272"/>
      <c r="Q515" s="272"/>
      <c r="R515" s="272"/>
      <c r="S515" s="272"/>
      <c r="T515" s="272"/>
      <c r="U515" s="272"/>
      <c r="V515" s="272"/>
      <c r="W515" s="272"/>
      <c r="X515" s="272"/>
      <c r="Y515" s="272"/>
      <c r="Z515" s="272"/>
      <c r="AA515" s="272"/>
      <c r="AB515" s="272"/>
      <c r="AC515" s="272"/>
      <c r="AD515" s="272"/>
      <c r="AE515" s="272"/>
    </row>
    <row r="516" spans="15:31">
      <c r="O516" s="272"/>
      <c r="P516" s="272"/>
      <c r="Q516" s="272"/>
      <c r="R516" s="272"/>
      <c r="S516" s="272"/>
      <c r="T516" s="272"/>
      <c r="U516" s="272"/>
      <c r="V516" s="272"/>
      <c r="W516" s="272"/>
      <c r="X516" s="272"/>
      <c r="Y516" s="272"/>
      <c r="Z516" s="272"/>
      <c r="AA516" s="272"/>
      <c r="AB516" s="272"/>
      <c r="AC516" s="272"/>
      <c r="AD516" s="272"/>
      <c r="AE516" s="272"/>
    </row>
    <row r="517" spans="15:31">
      <c r="O517" s="272"/>
      <c r="P517" s="272"/>
      <c r="Q517" s="272"/>
      <c r="R517" s="272"/>
      <c r="S517" s="272"/>
      <c r="T517" s="272"/>
      <c r="U517" s="272"/>
      <c r="V517" s="272"/>
      <c r="W517" s="272"/>
      <c r="X517" s="272"/>
      <c r="Y517" s="272"/>
      <c r="Z517" s="272"/>
      <c r="AA517" s="272"/>
      <c r="AB517" s="272"/>
      <c r="AC517" s="272"/>
      <c r="AD517" s="272"/>
      <c r="AE517" s="272"/>
    </row>
    <row r="518" spans="15:31">
      <c r="O518" s="272"/>
      <c r="P518" s="272"/>
      <c r="Q518" s="272"/>
      <c r="R518" s="272"/>
      <c r="S518" s="272"/>
      <c r="T518" s="272"/>
      <c r="U518" s="272"/>
      <c r="V518" s="272"/>
      <c r="W518" s="272"/>
      <c r="X518" s="272"/>
      <c r="Y518" s="272"/>
      <c r="Z518" s="272"/>
      <c r="AA518" s="272"/>
      <c r="AB518" s="272"/>
      <c r="AC518" s="272"/>
      <c r="AD518" s="272"/>
      <c r="AE518" s="272"/>
    </row>
    <row r="519" spans="15:31">
      <c r="O519" s="272"/>
      <c r="P519" s="272"/>
      <c r="Q519" s="272"/>
      <c r="R519" s="272"/>
      <c r="S519" s="272"/>
      <c r="T519" s="272"/>
      <c r="U519" s="272"/>
      <c r="V519" s="272"/>
      <c r="W519" s="272"/>
      <c r="X519" s="272"/>
      <c r="Y519" s="272"/>
      <c r="Z519" s="272"/>
      <c r="AA519" s="272"/>
      <c r="AB519" s="272"/>
      <c r="AC519" s="272"/>
      <c r="AD519" s="272"/>
      <c r="AE519" s="272"/>
    </row>
    <row r="520" spans="15:31">
      <c r="O520" s="272"/>
      <c r="P520" s="272"/>
      <c r="Q520" s="272"/>
      <c r="R520" s="272"/>
      <c r="S520" s="272"/>
      <c r="T520" s="272"/>
      <c r="U520" s="272"/>
      <c r="V520" s="272"/>
      <c r="W520" s="272"/>
      <c r="X520" s="272"/>
      <c r="Y520" s="272"/>
      <c r="Z520" s="272"/>
      <c r="AA520" s="272"/>
      <c r="AB520" s="272"/>
      <c r="AC520" s="272"/>
      <c r="AD520" s="272"/>
      <c r="AE520" s="272"/>
    </row>
    <row r="521" spans="15:31">
      <c r="O521" s="272"/>
      <c r="P521" s="272"/>
      <c r="Q521" s="272"/>
      <c r="R521" s="272"/>
      <c r="S521" s="272"/>
      <c r="T521" s="272"/>
      <c r="U521" s="272"/>
      <c r="V521" s="272"/>
      <c r="W521" s="272"/>
      <c r="X521" s="272"/>
      <c r="Y521" s="272"/>
      <c r="Z521" s="272"/>
      <c r="AA521" s="272"/>
      <c r="AB521" s="272"/>
      <c r="AC521" s="272"/>
      <c r="AD521" s="272"/>
      <c r="AE521" s="272"/>
    </row>
    <row r="522" spans="15:31">
      <c r="O522" s="272"/>
      <c r="P522" s="272"/>
      <c r="Q522" s="272"/>
      <c r="R522" s="272"/>
      <c r="S522" s="272"/>
      <c r="T522" s="272"/>
      <c r="U522" s="272"/>
      <c r="V522" s="272"/>
      <c r="W522" s="272"/>
      <c r="X522" s="272"/>
      <c r="Y522" s="272"/>
      <c r="Z522" s="272"/>
      <c r="AA522" s="272"/>
      <c r="AB522" s="272"/>
      <c r="AC522" s="272"/>
      <c r="AD522" s="272"/>
      <c r="AE522" s="272"/>
    </row>
    <row r="523" spans="15:31">
      <c r="O523" s="272"/>
      <c r="P523" s="272"/>
      <c r="Q523" s="272"/>
      <c r="R523" s="272"/>
      <c r="S523" s="272"/>
      <c r="T523" s="272"/>
      <c r="U523" s="272"/>
      <c r="V523" s="272"/>
      <c r="W523" s="272"/>
      <c r="X523" s="272"/>
      <c r="Y523" s="272"/>
      <c r="Z523" s="272"/>
      <c r="AA523" s="272"/>
      <c r="AB523" s="272"/>
      <c r="AC523" s="272"/>
      <c r="AD523" s="272"/>
      <c r="AE523" s="272"/>
    </row>
    <row r="524" spans="15:31">
      <c r="O524" s="272"/>
      <c r="P524" s="272"/>
      <c r="Q524" s="272"/>
      <c r="R524" s="272"/>
      <c r="S524" s="272"/>
      <c r="T524" s="272"/>
      <c r="U524" s="272"/>
      <c r="V524" s="272"/>
      <c r="W524" s="272"/>
      <c r="X524" s="272"/>
      <c r="Y524" s="272"/>
      <c r="Z524" s="272"/>
      <c r="AA524" s="272"/>
      <c r="AB524" s="272"/>
      <c r="AC524" s="272"/>
      <c r="AD524" s="272"/>
      <c r="AE524" s="272"/>
    </row>
    <row r="525" spans="15:31">
      <c r="O525" s="272"/>
      <c r="P525" s="272"/>
      <c r="Q525" s="272"/>
      <c r="R525" s="272"/>
      <c r="S525" s="272"/>
      <c r="T525" s="272"/>
      <c r="U525" s="272"/>
      <c r="V525" s="272"/>
      <c r="W525" s="272"/>
      <c r="X525" s="272"/>
      <c r="Y525" s="272"/>
      <c r="Z525" s="272"/>
      <c r="AA525" s="272"/>
      <c r="AB525" s="272"/>
      <c r="AC525" s="272"/>
      <c r="AD525" s="272"/>
      <c r="AE525" s="272"/>
    </row>
    <row r="526" spans="15:31">
      <c r="O526" s="272"/>
      <c r="P526" s="272"/>
      <c r="Q526" s="272"/>
      <c r="R526" s="272"/>
      <c r="S526" s="272"/>
      <c r="T526" s="272"/>
      <c r="U526" s="272"/>
      <c r="V526" s="272"/>
      <c r="W526" s="272"/>
      <c r="X526" s="272"/>
      <c r="Y526" s="272"/>
      <c r="Z526" s="272"/>
      <c r="AA526" s="272"/>
      <c r="AB526" s="272"/>
      <c r="AC526" s="272"/>
      <c r="AD526" s="272"/>
      <c r="AE526" s="272"/>
    </row>
    <row r="527" spans="15:31">
      <c r="O527" s="272"/>
      <c r="P527" s="272"/>
      <c r="Q527" s="272"/>
      <c r="R527" s="272"/>
      <c r="S527" s="272"/>
      <c r="T527" s="272"/>
      <c r="U527" s="272"/>
      <c r="V527" s="272"/>
      <c r="W527" s="272"/>
      <c r="X527" s="272"/>
      <c r="Y527" s="272"/>
      <c r="Z527" s="272"/>
      <c r="AA527" s="272"/>
      <c r="AB527" s="272"/>
      <c r="AC527" s="272"/>
      <c r="AD527" s="272"/>
      <c r="AE527" s="272"/>
    </row>
    <row r="528" spans="15:31">
      <c r="O528" s="272"/>
      <c r="P528" s="272"/>
      <c r="Q528" s="272"/>
      <c r="R528" s="272"/>
      <c r="S528" s="272"/>
      <c r="T528" s="272"/>
      <c r="U528" s="272"/>
      <c r="V528" s="272"/>
      <c r="W528" s="272"/>
      <c r="X528" s="272"/>
      <c r="Y528" s="272"/>
      <c r="Z528" s="272"/>
      <c r="AA528" s="272"/>
      <c r="AB528" s="272"/>
      <c r="AC528" s="272"/>
      <c r="AD528" s="272"/>
      <c r="AE528" s="272"/>
    </row>
    <row r="529" spans="15:31">
      <c r="O529" s="272"/>
      <c r="P529" s="272"/>
      <c r="Q529" s="272"/>
      <c r="R529" s="272"/>
      <c r="S529" s="272"/>
      <c r="T529" s="272"/>
      <c r="U529" s="272"/>
      <c r="V529" s="272"/>
      <c r="W529" s="272"/>
      <c r="X529" s="272"/>
      <c r="Y529" s="272"/>
      <c r="Z529" s="272"/>
      <c r="AA529" s="272"/>
      <c r="AB529" s="272"/>
      <c r="AC529" s="272"/>
      <c r="AD529" s="272"/>
      <c r="AE529" s="272"/>
    </row>
    <row r="530" spans="15:31">
      <c r="O530" s="272"/>
      <c r="P530" s="272"/>
      <c r="Q530" s="272"/>
      <c r="R530" s="272"/>
      <c r="S530" s="272"/>
      <c r="T530" s="272"/>
      <c r="U530" s="272"/>
      <c r="V530" s="272"/>
      <c r="W530" s="272"/>
      <c r="X530" s="272"/>
      <c r="Y530" s="272"/>
      <c r="Z530" s="272"/>
      <c r="AA530" s="272"/>
      <c r="AB530" s="272"/>
      <c r="AC530" s="272"/>
      <c r="AD530" s="272"/>
      <c r="AE530" s="272"/>
    </row>
    <row r="531" spans="15:31">
      <c r="O531" s="272"/>
      <c r="P531" s="272"/>
      <c r="Q531" s="272"/>
      <c r="R531" s="272"/>
      <c r="S531" s="272"/>
      <c r="T531" s="272"/>
      <c r="U531" s="272"/>
      <c r="V531" s="272"/>
      <c r="W531" s="272"/>
      <c r="X531" s="272"/>
      <c r="Y531" s="272"/>
      <c r="Z531" s="272"/>
      <c r="AA531" s="272"/>
      <c r="AB531" s="272"/>
      <c r="AC531" s="272"/>
      <c r="AD531" s="272"/>
      <c r="AE531" s="272"/>
    </row>
    <row r="532" spans="15:31">
      <c r="O532" s="272"/>
      <c r="P532" s="272"/>
      <c r="Q532" s="272"/>
      <c r="R532" s="272"/>
      <c r="S532" s="272"/>
      <c r="T532" s="272"/>
      <c r="U532" s="272"/>
      <c r="V532" s="272"/>
      <c r="W532" s="272"/>
      <c r="X532" s="272"/>
      <c r="Y532" s="272"/>
      <c r="Z532" s="272"/>
      <c r="AA532" s="272"/>
      <c r="AB532" s="272"/>
      <c r="AC532" s="272"/>
      <c r="AD532" s="272"/>
      <c r="AE532" s="272"/>
    </row>
    <row r="533" spans="15:31">
      <c r="O533" s="272"/>
      <c r="P533" s="272"/>
      <c r="Q533" s="272"/>
      <c r="R533" s="272"/>
      <c r="S533" s="272"/>
      <c r="T533" s="272"/>
      <c r="U533" s="272"/>
      <c r="V533" s="272"/>
      <c r="W533" s="272"/>
      <c r="X533" s="272"/>
      <c r="Y533" s="272"/>
      <c r="Z533" s="272"/>
      <c r="AA533" s="272"/>
      <c r="AB533" s="272"/>
      <c r="AC533" s="272"/>
      <c r="AD533" s="272"/>
      <c r="AE533" s="272"/>
    </row>
    <row r="534" spans="15:31">
      <c r="O534" s="272"/>
      <c r="P534" s="272"/>
      <c r="Q534" s="272"/>
      <c r="R534" s="272"/>
      <c r="S534" s="272"/>
      <c r="T534" s="272"/>
      <c r="U534" s="272"/>
      <c r="V534" s="272"/>
      <c r="W534" s="272"/>
      <c r="X534" s="272"/>
      <c r="Y534" s="272"/>
      <c r="Z534" s="272"/>
      <c r="AA534" s="272"/>
      <c r="AB534" s="272"/>
      <c r="AC534" s="272"/>
      <c r="AD534" s="272"/>
      <c r="AE534" s="272"/>
    </row>
    <row r="535" spans="15:31">
      <c r="O535" s="272"/>
      <c r="P535" s="272"/>
      <c r="Q535" s="272"/>
      <c r="R535" s="272"/>
      <c r="S535" s="272"/>
      <c r="T535" s="272"/>
      <c r="U535" s="272"/>
      <c r="V535" s="272"/>
      <c r="W535" s="272"/>
      <c r="X535" s="272"/>
      <c r="Y535" s="272"/>
      <c r="Z535" s="272"/>
      <c r="AA535" s="272"/>
      <c r="AB535" s="272"/>
      <c r="AC535" s="272"/>
      <c r="AD535" s="272"/>
      <c r="AE535" s="272"/>
    </row>
    <row r="536" spans="15:31">
      <c r="O536" s="272"/>
      <c r="P536" s="272"/>
      <c r="Q536" s="272"/>
      <c r="R536" s="272"/>
      <c r="S536" s="272"/>
      <c r="T536" s="272"/>
      <c r="U536" s="272"/>
      <c r="V536" s="272"/>
      <c r="W536" s="272"/>
      <c r="X536" s="272"/>
      <c r="Y536" s="272"/>
      <c r="Z536" s="272"/>
      <c r="AA536" s="272"/>
      <c r="AB536" s="272"/>
      <c r="AC536" s="272"/>
      <c r="AD536" s="272"/>
      <c r="AE536" s="272"/>
    </row>
    <row r="537" spans="15:31">
      <c r="O537" s="272"/>
      <c r="P537" s="272"/>
      <c r="Q537" s="272"/>
      <c r="R537" s="272"/>
      <c r="S537" s="272"/>
      <c r="T537" s="272"/>
      <c r="U537" s="272"/>
      <c r="V537" s="272"/>
      <c r="W537" s="272"/>
      <c r="X537" s="272"/>
      <c r="Y537" s="272"/>
      <c r="Z537" s="272"/>
      <c r="AA537" s="272"/>
      <c r="AB537" s="272"/>
      <c r="AC537" s="272"/>
      <c r="AD537" s="272"/>
      <c r="AE537" s="272"/>
    </row>
    <row r="538" spans="15:31">
      <c r="O538" s="272"/>
      <c r="P538" s="272"/>
      <c r="Q538" s="272"/>
      <c r="R538" s="272"/>
      <c r="S538" s="272"/>
      <c r="T538" s="272"/>
      <c r="U538" s="272"/>
      <c r="V538" s="272"/>
      <c r="W538" s="272"/>
      <c r="X538" s="272"/>
      <c r="Y538" s="272"/>
      <c r="Z538" s="272"/>
      <c r="AA538" s="272"/>
      <c r="AB538" s="272"/>
      <c r="AC538" s="272"/>
      <c r="AD538" s="272"/>
      <c r="AE538" s="272"/>
    </row>
    <row r="539" spans="15:31">
      <c r="O539" s="272"/>
      <c r="P539" s="272"/>
      <c r="Q539" s="272"/>
      <c r="R539" s="272"/>
      <c r="S539" s="272"/>
      <c r="T539" s="272"/>
      <c r="U539" s="272"/>
      <c r="V539" s="272"/>
      <c r="W539" s="272"/>
      <c r="X539" s="272"/>
      <c r="Y539" s="272"/>
      <c r="Z539" s="272"/>
      <c r="AA539" s="272"/>
      <c r="AB539" s="272"/>
      <c r="AC539" s="272"/>
      <c r="AD539" s="272"/>
      <c r="AE539" s="272"/>
    </row>
    <row r="540" spans="15:31">
      <c r="O540" s="272"/>
      <c r="P540" s="272"/>
      <c r="Q540" s="272"/>
      <c r="R540" s="272"/>
      <c r="S540" s="272"/>
      <c r="T540" s="272"/>
      <c r="U540" s="272"/>
      <c r="V540" s="272"/>
      <c r="W540" s="272"/>
      <c r="X540" s="272"/>
      <c r="Y540" s="272"/>
      <c r="Z540" s="272"/>
      <c r="AA540" s="272"/>
      <c r="AB540" s="272"/>
      <c r="AC540" s="272"/>
      <c r="AD540" s="272"/>
      <c r="AE540" s="272"/>
    </row>
    <row r="541" spans="15:31">
      <c r="O541" s="272"/>
      <c r="P541" s="272"/>
      <c r="Q541" s="272"/>
      <c r="R541" s="272"/>
      <c r="S541" s="272"/>
      <c r="T541" s="272"/>
      <c r="U541" s="272"/>
      <c r="V541" s="272"/>
      <c r="W541" s="272"/>
      <c r="X541" s="272"/>
      <c r="Y541" s="272"/>
      <c r="Z541" s="272"/>
      <c r="AA541" s="272"/>
      <c r="AB541" s="272"/>
      <c r="AC541" s="272"/>
      <c r="AD541" s="272"/>
      <c r="AE541" s="272"/>
    </row>
    <row r="542" spans="15:31">
      <c r="O542" s="272"/>
      <c r="P542" s="272"/>
      <c r="Q542" s="272"/>
      <c r="R542" s="272"/>
      <c r="S542" s="272"/>
      <c r="T542" s="272"/>
      <c r="U542" s="272"/>
      <c r="V542" s="272"/>
      <c r="W542" s="272"/>
      <c r="X542" s="272"/>
      <c r="Y542" s="272"/>
      <c r="Z542" s="272"/>
      <c r="AA542" s="272"/>
      <c r="AB542" s="272"/>
      <c r="AC542" s="272"/>
      <c r="AD542" s="272"/>
      <c r="AE542" s="272"/>
    </row>
    <row r="543" spans="15:31">
      <c r="O543" s="272"/>
      <c r="P543" s="272"/>
      <c r="Q543" s="272"/>
      <c r="R543" s="272"/>
      <c r="S543" s="272"/>
      <c r="T543" s="272"/>
      <c r="U543" s="272"/>
      <c r="V543" s="272"/>
      <c r="W543" s="272"/>
      <c r="X543" s="272"/>
      <c r="Y543" s="272"/>
      <c r="Z543" s="272"/>
      <c r="AA543" s="272"/>
      <c r="AB543" s="272"/>
      <c r="AC543" s="272"/>
      <c r="AD543" s="272"/>
      <c r="AE543" s="272"/>
    </row>
    <row r="544" spans="15:31">
      <c r="O544" s="272"/>
      <c r="P544" s="272"/>
      <c r="Q544" s="272"/>
      <c r="R544" s="272"/>
      <c r="S544" s="272"/>
      <c r="T544" s="272"/>
      <c r="U544" s="272"/>
      <c r="V544" s="272"/>
      <c r="W544" s="272"/>
      <c r="X544" s="272"/>
      <c r="Y544" s="272"/>
      <c r="Z544" s="272"/>
      <c r="AA544" s="272"/>
      <c r="AB544" s="272"/>
      <c r="AC544" s="272"/>
      <c r="AD544" s="272"/>
      <c r="AE544" s="272"/>
    </row>
    <row r="545" spans="15:31">
      <c r="O545" s="272"/>
      <c r="P545" s="272"/>
      <c r="Q545" s="272"/>
      <c r="R545" s="272"/>
      <c r="S545" s="272"/>
      <c r="T545" s="272"/>
      <c r="U545" s="272"/>
      <c r="V545" s="272"/>
      <c r="W545" s="272"/>
      <c r="X545" s="272"/>
      <c r="Y545" s="272"/>
      <c r="Z545" s="272"/>
      <c r="AA545" s="272"/>
      <c r="AB545" s="272"/>
      <c r="AC545" s="272"/>
      <c r="AD545" s="272"/>
      <c r="AE545" s="272"/>
    </row>
    <row r="546" spans="15:31">
      <c r="O546" s="272"/>
      <c r="P546" s="272"/>
      <c r="Q546" s="272"/>
      <c r="R546" s="272"/>
      <c r="S546" s="272"/>
      <c r="T546" s="272"/>
      <c r="U546" s="272"/>
      <c r="V546" s="272"/>
      <c r="W546" s="272"/>
      <c r="X546" s="272"/>
      <c r="Y546" s="272"/>
      <c r="Z546" s="272"/>
      <c r="AA546" s="272"/>
      <c r="AB546" s="272"/>
      <c r="AC546" s="272"/>
      <c r="AD546" s="272"/>
      <c r="AE546" s="272"/>
    </row>
    <row r="547" spans="15:31">
      <c r="O547" s="272"/>
      <c r="P547" s="272"/>
      <c r="Q547" s="272"/>
      <c r="R547" s="272"/>
      <c r="S547" s="272"/>
      <c r="T547" s="272"/>
      <c r="U547" s="272"/>
      <c r="V547" s="272"/>
      <c r="W547" s="272"/>
      <c r="X547" s="272"/>
      <c r="Y547" s="272"/>
      <c r="Z547" s="272"/>
      <c r="AA547" s="272"/>
      <c r="AB547" s="272"/>
      <c r="AC547" s="272"/>
      <c r="AD547" s="272"/>
      <c r="AE547" s="272"/>
    </row>
    <row r="548" spans="15:31">
      <c r="O548" s="272"/>
      <c r="P548" s="272"/>
      <c r="Q548" s="272"/>
      <c r="R548" s="272"/>
      <c r="S548" s="272"/>
      <c r="T548" s="272"/>
      <c r="U548" s="272"/>
      <c r="V548" s="272"/>
      <c r="W548" s="272"/>
      <c r="X548" s="272"/>
      <c r="Y548" s="272"/>
      <c r="Z548" s="272"/>
      <c r="AA548" s="272"/>
      <c r="AB548" s="272"/>
      <c r="AC548" s="272"/>
      <c r="AD548" s="272"/>
      <c r="AE548" s="272"/>
    </row>
    <row r="549" spans="15:31">
      <c r="O549" s="272"/>
      <c r="P549" s="272"/>
      <c r="Q549" s="272"/>
      <c r="R549" s="272"/>
      <c r="S549" s="272"/>
      <c r="T549" s="272"/>
      <c r="U549" s="272"/>
      <c r="V549" s="272"/>
      <c r="W549" s="272"/>
      <c r="X549" s="272"/>
      <c r="Y549" s="272"/>
      <c r="Z549" s="272"/>
      <c r="AA549" s="272"/>
      <c r="AB549" s="272"/>
      <c r="AC549" s="272"/>
      <c r="AD549" s="272"/>
      <c r="AE549" s="272"/>
    </row>
    <row r="550" spans="15:31">
      <c r="O550" s="272"/>
      <c r="P550" s="272"/>
      <c r="Q550" s="272"/>
      <c r="R550" s="272"/>
      <c r="S550" s="272"/>
      <c r="T550" s="272"/>
      <c r="U550" s="272"/>
      <c r="V550" s="272"/>
      <c r="W550" s="272"/>
      <c r="X550" s="272"/>
      <c r="Y550" s="272"/>
      <c r="Z550" s="272"/>
      <c r="AA550" s="272"/>
      <c r="AB550" s="272"/>
      <c r="AC550" s="272"/>
      <c r="AD550" s="272"/>
      <c r="AE550" s="272"/>
    </row>
    <row r="551" spans="15:31">
      <c r="O551" s="272"/>
      <c r="P551" s="272"/>
      <c r="Q551" s="272"/>
      <c r="R551" s="272"/>
      <c r="S551" s="272"/>
      <c r="T551" s="272"/>
      <c r="U551" s="272"/>
      <c r="V551" s="272"/>
      <c r="W551" s="272"/>
      <c r="X551" s="272"/>
      <c r="Y551" s="272"/>
      <c r="Z551" s="272"/>
      <c r="AA551" s="272"/>
      <c r="AB551" s="272"/>
      <c r="AC551" s="272"/>
      <c r="AD551" s="272"/>
      <c r="AE551" s="272"/>
    </row>
    <row r="552" spans="15:31">
      <c r="O552" s="272"/>
      <c r="P552" s="272"/>
      <c r="Q552" s="272"/>
      <c r="R552" s="272"/>
      <c r="S552" s="272"/>
      <c r="T552" s="272"/>
      <c r="U552" s="272"/>
      <c r="V552" s="272"/>
      <c r="W552" s="272"/>
      <c r="X552" s="272"/>
      <c r="Y552" s="272"/>
      <c r="Z552" s="272"/>
      <c r="AA552" s="272"/>
      <c r="AB552" s="272"/>
      <c r="AC552" s="272"/>
      <c r="AD552" s="272"/>
      <c r="AE552" s="272"/>
    </row>
    <row r="553" spans="15:31">
      <c r="O553" s="272"/>
      <c r="P553" s="272"/>
      <c r="Q553" s="272"/>
      <c r="R553" s="272"/>
      <c r="S553" s="272"/>
      <c r="T553" s="272"/>
      <c r="U553" s="272"/>
      <c r="V553" s="272"/>
      <c r="W553" s="272"/>
      <c r="X553" s="272"/>
      <c r="Y553" s="272"/>
      <c r="Z553" s="272"/>
      <c r="AA553" s="272"/>
      <c r="AB553" s="272"/>
      <c r="AC553" s="272"/>
      <c r="AD553" s="272"/>
      <c r="AE553" s="272"/>
    </row>
    <row r="554" spans="15:31">
      <c r="O554" s="272"/>
      <c r="P554" s="272"/>
      <c r="Q554" s="272"/>
      <c r="R554" s="272"/>
      <c r="S554" s="272"/>
      <c r="T554" s="272"/>
      <c r="U554" s="272"/>
      <c r="V554" s="272"/>
      <c r="W554" s="272"/>
      <c r="X554" s="272"/>
      <c r="Y554" s="272"/>
      <c r="Z554" s="272"/>
      <c r="AA554" s="272"/>
      <c r="AB554" s="272"/>
      <c r="AC554" s="272"/>
      <c r="AD554" s="272"/>
      <c r="AE554" s="272"/>
    </row>
    <row r="555" spans="15:31">
      <c r="O555" s="272"/>
      <c r="P555" s="272"/>
      <c r="Q555" s="272"/>
      <c r="R555" s="272"/>
      <c r="S555" s="272"/>
      <c r="T555" s="272"/>
      <c r="U555" s="272"/>
      <c r="V555" s="272"/>
      <c r="W555" s="272"/>
      <c r="X555" s="272"/>
      <c r="Y555" s="272"/>
      <c r="Z555" s="272"/>
      <c r="AA555" s="272"/>
      <c r="AB555" s="272"/>
      <c r="AC555" s="272"/>
      <c r="AD555" s="272"/>
      <c r="AE555" s="272"/>
    </row>
    <row r="556" spans="15:31">
      <c r="O556" s="272"/>
      <c r="P556" s="272"/>
      <c r="Q556" s="272"/>
      <c r="R556" s="272"/>
      <c r="S556" s="272"/>
      <c r="T556" s="272"/>
      <c r="U556" s="272"/>
      <c r="V556" s="272"/>
      <c r="W556" s="272"/>
      <c r="X556" s="272"/>
      <c r="Y556" s="272"/>
      <c r="Z556" s="272"/>
      <c r="AA556" s="272"/>
      <c r="AB556" s="272"/>
      <c r="AC556" s="272"/>
      <c r="AD556" s="272"/>
      <c r="AE556" s="272"/>
    </row>
    <row r="557" spans="15:31">
      <c r="O557" s="272"/>
      <c r="P557" s="272"/>
      <c r="Q557" s="272"/>
      <c r="R557" s="272"/>
      <c r="S557" s="272"/>
      <c r="T557" s="272"/>
      <c r="U557" s="272"/>
      <c r="V557" s="272"/>
      <c r="W557" s="272"/>
      <c r="X557" s="272"/>
      <c r="Y557" s="272"/>
      <c r="Z557" s="272"/>
      <c r="AA557" s="272"/>
      <c r="AB557" s="272"/>
      <c r="AC557" s="272"/>
      <c r="AD557" s="272"/>
      <c r="AE557" s="272"/>
    </row>
    <row r="558" spans="15:31">
      <c r="O558" s="272"/>
      <c r="P558" s="272"/>
      <c r="Q558" s="272"/>
      <c r="R558" s="272"/>
      <c r="S558" s="272"/>
      <c r="T558" s="272"/>
      <c r="U558" s="272"/>
      <c r="V558" s="272"/>
      <c r="W558" s="272"/>
      <c r="X558" s="272"/>
      <c r="Y558" s="272"/>
      <c r="Z558" s="272"/>
      <c r="AA558" s="272"/>
      <c r="AB558" s="272"/>
      <c r="AC558" s="272"/>
      <c r="AD558" s="272"/>
      <c r="AE558" s="272"/>
    </row>
    <row r="559" spans="15:31">
      <c r="O559" s="272"/>
      <c r="P559" s="272"/>
      <c r="Q559" s="272"/>
      <c r="R559" s="272"/>
      <c r="S559" s="272"/>
      <c r="T559" s="272"/>
      <c r="U559" s="272"/>
      <c r="V559" s="272"/>
      <c r="W559" s="272"/>
      <c r="X559" s="272"/>
      <c r="Y559" s="272"/>
      <c r="Z559" s="272"/>
      <c r="AA559" s="272"/>
      <c r="AB559" s="272"/>
      <c r="AC559" s="272"/>
      <c r="AD559" s="272"/>
      <c r="AE559" s="272"/>
    </row>
    <row r="560" spans="15:31">
      <c r="O560" s="272"/>
      <c r="P560" s="272"/>
      <c r="Q560" s="272"/>
      <c r="R560" s="272"/>
      <c r="S560" s="272"/>
      <c r="T560" s="272"/>
      <c r="U560" s="272"/>
      <c r="V560" s="272"/>
      <c r="W560" s="272"/>
      <c r="X560" s="272"/>
      <c r="Y560" s="272"/>
      <c r="Z560" s="272"/>
      <c r="AA560" s="272"/>
      <c r="AB560" s="272"/>
      <c r="AC560" s="272"/>
      <c r="AD560" s="272"/>
      <c r="AE560" s="272"/>
    </row>
    <row r="561" spans="15:31">
      <c r="O561" s="272"/>
      <c r="P561" s="272"/>
      <c r="Q561" s="272"/>
      <c r="R561" s="272"/>
      <c r="S561" s="272"/>
      <c r="T561" s="272"/>
      <c r="U561" s="272"/>
      <c r="V561" s="272"/>
      <c r="W561" s="272"/>
      <c r="X561" s="272"/>
      <c r="Y561" s="272"/>
      <c r="Z561" s="272"/>
      <c r="AA561" s="272"/>
      <c r="AB561" s="272"/>
      <c r="AC561" s="272"/>
      <c r="AD561" s="272"/>
      <c r="AE561" s="272"/>
    </row>
    <row r="562" spans="15:31">
      <c r="O562" s="272"/>
      <c r="P562" s="272"/>
      <c r="Q562" s="272"/>
      <c r="R562" s="272"/>
      <c r="S562" s="272"/>
      <c r="T562" s="272"/>
      <c r="U562" s="272"/>
      <c r="V562" s="272"/>
      <c r="W562" s="272"/>
      <c r="X562" s="272"/>
      <c r="Y562" s="272"/>
      <c r="Z562" s="272"/>
      <c r="AA562" s="272"/>
      <c r="AB562" s="272"/>
      <c r="AC562" s="272"/>
      <c r="AD562" s="272"/>
      <c r="AE562" s="272"/>
    </row>
    <row r="563" spans="15:31">
      <c r="O563" s="272"/>
      <c r="P563" s="272"/>
      <c r="Q563" s="272"/>
      <c r="R563" s="272"/>
      <c r="S563" s="272"/>
      <c r="T563" s="272"/>
      <c r="U563" s="272"/>
      <c r="V563" s="272"/>
      <c r="W563" s="272"/>
      <c r="X563" s="272"/>
      <c r="Y563" s="272"/>
      <c r="Z563" s="272"/>
      <c r="AA563" s="272"/>
      <c r="AB563" s="272"/>
      <c r="AC563" s="272"/>
      <c r="AD563" s="272"/>
      <c r="AE563" s="272"/>
    </row>
    <row r="564" spans="15:31">
      <c r="O564" s="272"/>
      <c r="P564" s="272"/>
      <c r="Q564" s="272"/>
      <c r="R564" s="272"/>
      <c r="S564" s="272"/>
      <c r="T564" s="272"/>
      <c r="U564" s="272"/>
      <c r="V564" s="272"/>
      <c r="W564" s="272"/>
      <c r="X564" s="272"/>
      <c r="Y564" s="272"/>
      <c r="Z564" s="272"/>
      <c r="AA564" s="272"/>
      <c r="AB564" s="272"/>
      <c r="AC564" s="272"/>
      <c r="AD564" s="272"/>
      <c r="AE564" s="272"/>
    </row>
    <row r="565" spans="15:31">
      <c r="O565" s="272"/>
      <c r="P565" s="272"/>
      <c r="Q565" s="272"/>
      <c r="R565" s="272"/>
      <c r="S565" s="272"/>
      <c r="T565" s="272"/>
      <c r="U565" s="272"/>
      <c r="V565" s="272"/>
      <c r="W565" s="272"/>
      <c r="X565" s="272"/>
      <c r="Y565" s="272"/>
      <c r="Z565" s="272"/>
      <c r="AA565" s="272"/>
      <c r="AB565" s="272"/>
      <c r="AC565" s="272"/>
      <c r="AD565" s="272"/>
      <c r="AE565" s="272"/>
    </row>
    <row r="566" spans="15:31">
      <c r="O566" s="272"/>
      <c r="P566" s="272"/>
      <c r="Q566" s="272"/>
      <c r="R566" s="272"/>
      <c r="S566" s="272"/>
      <c r="T566" s="272"/>
      <c r="U566" s="272"/>
      <c r="V566" s="272"/>
      <c r="W566" s="272"/>
      <c r="X566" s="272"/>
      <c r="Y566" s="272"/>
      <c r="Z566" s="272"/>
      <c r="AA566" s="272"/>
      <c r="AB566" s="272"/>
      <c r="AC566" s="272"/>
      <c r="AD566" s="272"/>
      <c r="AE566" s="272"/>
    </row>
    <row r="567" spans="15:31">
      <c r="O567" s="272"/>
      <c r="P567" s="272"/>
      <c r="Q567" s="272"/>
      <c r="R567" s="272"/>
      <c r="S567" s="272"/>
      <c r="T567" s="272"/>
      <c r="U567" s="272"/>
      <c r="V567" s="272"/>
      <c r="W567" s="272"/>
      <c r="X567" s="272"/>
      <c r="Y567" s="272"/>
      <c r="Z567" s="272"/>
      <c r="AA567" s="272"/>
      <c r="AB567" s="272"/>
      <c r="AC567" s="272"/>
      <c r="AD567" s="272"/>
      <c r="AE567" s="272"/>
    </row>
    <row r="568" spans="15:31">
      <c r="O568" s="272"/>
      <c r="P568" s="272"/>
      <c r="Q568" s="272"/>
      <c r="R568" s="272"/>
      <c r="S568" s="272"/>
      <c r="T568" s="272"/>
      <c r="U568" s="272"/>
      <c r="V568" s="272"/>
      <c r="W568" s="272"/>
      <c r="X568" s="272"/>
      <c r="Y568" s="272"/>
      <c r="Z568" s="272"/>
      <c r="AA568" s="272"/>
      <c r="AB568" s="272"/>
      <c r="AC568" s="272"/>
      <c r="AD568" s="272"/>
      <c r="AE568" s="272"/>
    </row>
    <row r="569" spans="15:31">
      <c r="O569" s="272"/>
      <c r="P569" s="272"/>
      <c r="Q569" s="272"/>
      <c r="R569" s="272"/>
      <c r="S569" s="272"/>
      <c r="T569" s="272"/>
      <c r="U569" s="272"/>
      <c r="V569" s="272"/>
      <c r="W569" s="272"/>
      <c r="X569" s="272"/>
      <c r="Y569" s="272"/>
      <c r="Z569" s="272"/>
      <c r="AA569" s="272"/>
      <c r="AB569" s="272"/>
      <c r="AC569" s="272"/>
      <c r="AD569" s="272"/>
      <c r="AE569" s="272"/>
    </row>
    <row r="570" spans="15:31">
      <c r="O570" s="272"/>
      <c r="P570" s="272"/>
      <c r="Q570" s="272"/>
      <c r="R570" s="272"/>
      <c r="S570" s="272"/>
      <c r="T570" s="272"/>
      <c r="U570" s="272"/>
      <c r="V570" s="272"/>
      <c r="W570" s="272"/>
      <c r="X570" s="272"/>
      <c r="Y570" s="272"/>
      <c r="Z570" s="272"/>
      <c r="AA570" s="272"/>
      <c r="AB570" s="272"/>
      <c r="AC570" s="272"/>
      <c r="AD570" s="272"/>
      <c r="AE570" s="272"/>
    </row>
    <row r="571" spans="15:31">
      <c r="O571" s="272"/>
      <c r="P571" s="272"/>
      <c r="Q571" s="272"/>
      <c r="R571" s="272"/>
      <c r="S571" s="272"/>
      <c r="T571" s="272"/>
      <c r="U571" s="272"/>
      <c r="V571" s="272"/>
      <c r="W571" s="272"/>
      <c r="X571" s="272"/>
      <c r="Y571" s="272"/>
      <c r="Z571" s="272"/>
      <c r="AA571" s="272"/>
      <c r="AB571" s="272"/>
      <c r="AC571" s="272"/>
      <c r="AD571" s="272"/>
      <c r="AE571" s="272"/>
    </row>
    <row r="572" spans="15:31">
      <c r="O572" s="272"/>
      <c r="P572" s="272"/>
      <c r="Q572" s="272"/>
      <c r="R572" s="272"/>
      <c r="S572" s="272"/>
      <c r="T572" s="272"/>
      <c r="U572" s="272"/>
      <c r="V572" s="272"/>
      <c r="W572" s="272"/>
      <c r="X572" s="272"/>
      <c r="Y572" s="272"/>
      <c r="Z572" s="272"/>
      <c r="AA572" s="272"/>
      <c r="AB572" s="272"/>
      <c r="AC572" s="272"/>
      <c r="AD572" s="272"/>
      <c r="AE572" s="272"/>
    </row>
    <row r="573" spans="15:31">
      <c r="O573" s="272"/>
      <c r="P573" s="272"/>
      <c r="Q573" s="272"/>
      <c r="R573" s="272"/>
      <c r="S573" s="272"/>
      <c r="T573" s="272"/>
      <c r="U573" s="272"/>
      <c r="V573" s="272"/>
      <c r="W573" s="272"/>
      <c r="X573" s="272"/>
      <c r="Y573" s="272"/>
      <c r="Z573" s="272"/>
      <c r="AA573" s="272"/>
      <c r="AB573" s="272"/>
      <c r="AC573" s="272"/>
      <c r="AD573" s="272"/>
      <c r="AE573" s="272"/>
    </row>
    <row r="574" spans="15:31">
      <c r="O574" s="272"/>
      <c r="P574" s="272"/>
      <c r="Q574" s="272"/>
      <c r="R574" s="272"/>
      <c r="S574" s="272"/>
      <c r="T574" s="272"/>
      <c r="U574" s="272"/>
      <c r="V574" s="272"/>
      <c r="W574" s="272"/>
      <c r="X574" s="272"/>
      <c r="Y574" s="272"/>
      <c r="Z574" s="272"/>
      <c r="AA574" s="272"/>
      <c r="AB574" s="272"/>
      <c r="AC574" s="272"/>
      <c r="AD574" s="272"/>
      <c r="AE574" s="272"/>
    </row>
    <row r="575" spans="15:31">
      <c r="O575" s="272"/>
      <c r="P575" s="272"/>
      <c r="Q575" s="272"/>
      <c r="R575" s="272"/>
      <c r="S575" s="272"/>
      <c r="T575" s="272"/>
      <c r="U575" s="272"/>
      <c r="V575" s="272"/>
      <c r="W575" s="272"/>
      <c r="X575" s="272"/>
      <c r="Y575" s="272"/>
      <c r="Z575" s="272"/>
      <c r="AA575" s="272"/>
      <c r="AB575" s="272"/>
      <c r="AC575" s="272"/>
      <c r="AD575" s="272"/>
      <c r="AE575" s="272"/>
    </row>
    <row r="576" spans="15:31">
      <c r="O576" s="272"/>
      <c r="P576" s="272"/>
      <c r="Q576" s="272"/>
      <c r="R576" s="272"/>
      <c r="S576" s="272"/>
      <c r="T576" s="272"/>
      <c r="U576" s="272"/>
      <c r="V576" s="272"/>
      <c r="W576" s="272"/>
      <c r="X576" s="272"/>
      <c r="Y576" s="272"/>
      <c r="Z576" s="272"/>
      <c r="AA576" s="272"/>
      <c r="AB576" s="272"/>
      <c r="AC576" s="272"/>
      <c r="AD576" s="272"/>
      <c r="AE576" s="272"/>
    </row>
    <row r="577" spans="15:31">
      <c r="O577" s="272"/>
      <c r="P577" s="272"/>
      <c r="Q577" s="272"/>
      <c r="R577" s="272"/>
      <c r="S577" s="272"/>
      <c r="T577" s="272"/>
      <c r="U577" s="272"/>
      <c r="V577" s="272"/>
      <c r="W577" s="272"/>
      <c r="X577" s="272"/>
      <c r="Y577" s="272"/>
      <c r="Z577" s="272"/>
      <c r="AA577" s="272"/>
      <c r="AB577" s="272"/>
      <c r="AC577" s="272"/>
      <c r="AD577" s="272"/>
      <c r="AE577" s="272"/>
    </row>
    <row r="578" spans="15:31">
      <c r="O578" s="272"/>
      <c r="P578" s="272"/>
      <c r="Q578" s="272"/>
      <c r="R578" s="272"/>
      <c r="S578" s="272"/>
      <c r="T578" s="272"/>
      <c r="U578" s="272"/>
      <c r="V578" s="272"/>
      <c r="W578" s="272"/>
      <c r="X578" s="272"/>
      <c r="Y578" s="272"/>
      <c r="Z578" s="272"/>
      <c r="AA578" s="272"/>
      <c r="AB578" s="272"/>
      <c r="AC578" s="272"/>
      <c r="AD578" s="272"/>
      <c r="AE578" s="272"/>
    </row>
    <row r="579" spans="15:31">
      <c r="O579" s="272"/>
      <c r="P579" s="272"/>
      <c r="Q579" s="272"/>
      <c r="R579" s="272"/>
      <c r="S579" s="272"/>
      <c r="T579" s="272"/>
      <c r="U579" s="272"/>
      <c r="V579" s="272"/>
      <c r="W579" s="272"/>
      <c r="X579" s="272"/>
      <c r="Y579" s="272"/>
      <c r="Z579" s="272"/>
      <c r="AA579" s="272"/>
      <c r="AB579" s="272"/>
      <c r="AC579" s="272"/>
      <c r="AD579" s="272"/>
      <c r="AE579" s="272"/>
    </row>
    <row r="580" spans="15:31">
      <c r="O580" s="272"/>
      <c r="P580" s="272"/>
      <c r="Q580" s="272"/>
      <c r="R580" s="272"/>
      <c r="S580" s="272"/>
      <c r="T580" s="272"/>
      <c r="U580" s="272"/>
      <c r="V580" s="272"/>
      <c r="W580" s="272"/>
      <c r="X580" s="272"/>
      <c r="Y580" s="272"/>
      <c r="Z580" s="272"/>
      <c r="AA580" s="272"/>
      <c r="AB580" s="272"/>
      <c r="AC580" s="272"/>
      <c r="AD580" s="272"/>
      <c r="AE580" s="272"/>
    </row>
    <row r="581" spans="15:31">
      <c r="O581" s="272"/>
      <c r="P581" s="272"/>
      <c r="Q581" s="272"/>
      <c r="R581" s="272"/>
      <c r="S581" s="272"/>
      <c r="T581" s="272"/>
      <c r="U581" s="272"/>
      <c r="V581" s="272"/>
      <c r="W581" s="272"/>
      <c r="X581" s="272"/>
      <c r="Y581" s="272"/>
      <c r="Z581" s="272"/>
      <c r="AA581" s="272"/>
      <c r="AB581" s="272"/>
      <c r="AC581" s="272"/>
      <c r="AD581" s="272"/>
      <c r="AE581" s="272"/>
    </row>
    <row r="582" spans="15:31">
      <c r="O582" s="272"/>
      <c r="P582" s="272"/>
      <c r="Q582" s="272"/>
      <c r="R582" s="272"/>
      <c r="S582" s="272"/>
      <c r="T582" s="272"/>
      <c r="U582" s="272"/>
      <c r="V582" s="272"/>
      <c r="W582" s="272"/>
      <c r="X582" s="272"/>
      <c r="Y582" s="272"/>
      <c r="Z582" s="272"/>
      <c r="AA582" s="272"/>
      <c r="AB582" s="272"/>
      <c r="AC582" s="272"/>
      <c r="AD582" s="272"/>
      <c r="AE582" s="272"/>
    </row>
    <row r="583" spans="15:31">
      <c r="O583" s="272"/>
      <c r="P583" s="272"/>
      <c r="Q583" s="272"/>
      <c r="R583" s="272"/>
      <c r="S583" s="272"/>
      <c r="T583" s="272"/>
      <c r="U583" s="272"/>
      <c r="V583" s="272"/>
      <c r="W583" s="272"/>
      <c r="X583" s="272"/>
      <c r="Y583" s="272"/>
      <c r="Z583" s="272"/>
      <c r="AA583" s="272"/>
      <c r="AB583" s="272"/>
      <c r="AC583" s="272"/>
      <c r="AD583" s="272"/>
      <c r="AE583" s="272"/>
    </row>
    <row r="584" spans="15:31">
      <c r="O584" s="272"/>
      <c r="P584" s="272"/>
      <c r="Q584" s="272"/>
      <c r="R584" s="272"/>
      <c r="S584" s="272"/>
      <c r="T584" s="272"/>
      <c r="U584" s="272"/>
      <c r="V584" s="272"/>
      <c r="W584" s="272"/>
      <c r="X584" s="272"/>
      <c r="Y584" s="272"/>
      <c r="Z584" s="272"/>
      <c r="AA584" s="272"/>
      <c r="AB584" s="272"/>
      <c r="AC584" s="272"/>
      <c r="AD584" s="272"/>
      <c r="AE584" s="272"/>
    </row>
    <row r="585" spans="15:31">
      <c r="O585" s="272"/>
      <c r="P585" s="272"/>
      <c r="Q585" s="272"/>
      <c r="R585" s="272"/>
      <c r="S585" s="272"/>
      <c r="T585" s="272"/>
      <c r="U585" s="272"/>
      <c r="V585" s="272"/>
      <c r="W585" s="272"/>
      <c r="X585" s="272"/>
      <c r="Y585" s="272"/>
      <c r="Z585" s="272"/>
      <c r="AA585" s="272"/>
      <c r="AB585" s="272"/>
      <c r="AC585" s="272"/>
      <c r="AD585" s="272"/>
      <c r="AE585" s="272"/>
    </row>
    <row r="586" spans="15:31">
      <c r="O586" s="272"/>
      <c r="P586" s="272"/>
      <c r="Q586" s="272"/>
      <c r="R586" s="272"/>
      <c r="S586" s="272"/>
      <c r="T586" s="272"/>
      <c r="U586" s="272"/>
      <c r="V586" s="272"/>
      <c r="W586" s="272"/>
      <c r="X586" s="272"/>
      <c r="Y586" s="272"/>
      <c r="Z586" s="272"/>
      <c r="AA586" s="272"/>
      <c r="AB586" s="272"/>
      <c r="AC586" s="272"/>
      <c r="AD586" s="272"/>
      <c r="AE586" s="272"/>
    </row>
    <row r="587" spans="15:31">
      <c r="O587" s="272"/>
      <c r="P587" s="272"/>
      <c r="Q587" s="272"/>
      <c r="R587" s="272"/>
      <c r="S587" s="272"/>
      <c r="T587" s="272"/>
      <c r="U587" s="272"/>
      <c r="V587" s="272"/>
      <c r="W587" s="272"/>
      <c r="X587" s="272"/>
      <c r="Y587" s="272"/>
      <c r="Z587" s="272"/>
      <c r="AA587" s="272"/>
      <c r="AB587" s="272"/>
      <c r="AC587" s="272"/>
      <c r="AD587" s="272"/>
      <c r="AE587" s="272"/>
    </row>
    <row r="588" spans="15:31">
      <c r="O588" s="272"/>
      <c r="P588" s="272"/>
      <c r="Q588" s="272"/>
      <c r="R588" s="272"/>
      <c r="S588" s="272"/>
      <c r="T588" s="272"/>
      <c r="U588" s="272"/>
      <c r="V588" s="272"/>
      <c r="W588" s="272"/>
      <c r="X588" s="272"/>
      <c r="Y588" s="272"/>
      <c r="Z588" s="272"/>
      <c r="AA588" s="272"/>
      <c r="AB588" s="272"/>
      <c r="AC588" s="272"/>
      <c r="AD588" s="272"/>
      <c r="AE588" s="272"/>
    </row>
    <row r="589" spans="15:31">
      <c r="O589" s="272"/>
      <c r="P589" s="272"/>
      <c r="Q589" s="272"/>
      <c r="R589" s="272"/>
      <c r="S589" s="272"/>
      <c r="T589" s="272"/>
      <c r="U589" s="272"/>
      <c r="V589" s="272"/>
      <c r="W589" s="272"/>
      <c r="X589" s="272"/>
      <c r="Y589" s="272"/>
      <c r="Z589" s="272"/>
      <c r="AA589" s="272"/>
      <c r="AB589" s="272"/>
      <c r="AC589" s="272"/>
      <c r="AD589" s="272"/>
      <c r="AE589" s="272"/>
    </row>
    <row r="590" spans="15:31">
      <c r="O590" s="272"/>
      <c r="P590" s="272"/>
      <c r="Q590" s="272"/>
      <c r="R590" s="272"/>
      <c r="S590" s="272"/>
      <c r="T590" s="272"/>
      <c r="U590" s="272"/>
      <c r="V590" s="272"/>
      <c r="W590" s="272"/>
      <c r="X590" s="272"/>
      <c r="Y590" s="272"/>
      <c r="Z590" s="272"/>
      <c r="AA590" s="272"/>
      <c r="AB590" s="272"/>
      <c r="AC590" s="272"/>
      <c r="AD590" s="272"/>
      <c r="AE590" s="272"/>
    </row>
    <row r="591" spans="15:31">
      <c r="O591" s="272"/>
      <c r="P591" s="272"/>
      <c r="Q591" s="272"/>
      <c r="R591" s="272"/>
      <c r="S591" s="272"/>
      <c r="T591" s="272"/>
      <c r="U591" s="272"/>
      <c r="V591" s="272"/>
      <c r="W591" s="272"/>
      <c r="X591" s="272"/>
      <c r="Y591" s="272"/>
      <c r="Z591" s="272"/>
      <c r="AA591" s="272"/>
      <c r="AB591" s="272"/>
      <c r="AC591" s="272"/>
      <c r="AD591" s="272"/>
      <c r="AE591" s="272"/>
    </row>
    <row r="592" spans="15:31">
      <c r="O592" s="272"/>
      <c r="P592" s="272"/>
      <c r="Q592" s="272"/>
      <c r="R592" s="272"/>
      <c r="S592" s="272"/>
      <c r="T592" s="272"/>
      <c r="U592" s="272"/>
      <c r="V592" s="272"/>
      <c r="W592" s="272"/>
      <c r="X592" s="272"/>
      <c r="Y592" s="272"/>
      <c r="Z592" s="272"/>
      <c r="AA592" s="272"/>
      <c r="AB592" s="272"/>
      <c r="AC592" s="272"/>
      <c r="AD592" s="272"/>
      <c r="AE592" s="272"/>
    </row>
    <row r="593" spans="15:31">
      <c r="O593" s="272"/>
      <c r="P593" s="272"/>
      <c r="Q593" s="272"/>
      <c r="R593" s="272"/>
      <c r="S593" s="272"/>
      <c r="T593" s="272"/>
      <c r="U593" s="272"/>
      <c r="V593" s="272"/>
      <c r="W593" s="272"/>
      <c r="X593" s="272"/>
      <c r="Y593" s="272"/>
      <c r="Z593" s="272"/>
      <c r="AA593" s="272"/>
      <c r="AB593" s="272"/>
      <c r="AC593" s="272"/>
      <c r="AD593" s="272"/>
      <c r="AE593" s="272"/>
    </row>
    <row r="594" spans="15:31">
      <c r="O594" s="272"/>
      <c r="P594" s="272"/>
      <c r="Q594" s="272"/>
      <c r="R594" s="272"/>
      <c r="S594" s="272"/>
      <c r="T594" s="272"/>
      <c r="U594" s="272"/>
      <c r="V594" s="272"/>
      <c r="W594" s="272"/>
      <c r="X594" s="272"/>
      <c r="Y594" s="272"/>
      <c r="Z594" s="272"/>
      <c r="AA594" s="272"/>
      <c r="AB594" s="272"/>
      <c r="AC594" s="272"/>
      <c r="AD594" s="272"/>
      <c r="AE594" s="272"/>
    </row>
    <row r="595" spans="15:31">
      <c r="O595" s="272"/>
      <c r="P595" s="272"/>
      <c r="Q595" s="272"/>
      <c r="R595" s="272"/>
      <c r="S595" s="272"/>
      <c r="T595" s="272"/>
      <c r="U595" s="272"/>
      <c r="V595" s="272"/>
      <c r="W595" s="272"/>
      <c r="X595" s="272"/>
      <c r="Y595" s="272"/>
      <c r="Z595" s="272"/>
      <c r="AA595" s="272"/>
      <c r="AB595" s="272"/>
      <c r="AC595" s="272"/>
      <c r="AD595" s="272"/>
      <c r="AE595" s="272"/>
    </row>
    <row r="596" spans="15:31">
      <c r="O596" s="272"/>
      <c r="P596" s="272"/>
      <c r="Q596" s="272"/>
      <c r="R596" s="272"/>
      <c r="S596" s="272"/>
      <c r="T596" s="272"/>
      <c r="U596" s="272"/>
      <c r="V596" s="272"/>
      <c r="W596" s="272"/>
      <c r="X596" s="272"/>
      <c r="Y596" s="272"/>
      <c r="Z596" s="272"/>
      <c r="AA596" s="272"/>
      <c r="AB596" s="272"/>
      <c r="AC596" s="272"/>
      <c r="AD596" s="272"/>
      <c r="AE596" s="272"/>
    </row>
    <row r="597" spans="15:31">
      <c r="O597" s="272"/>
      <c r="P597" s="272"/>
      <c r="Q597" s="272"/>
      <c r="R597" s="272"/>
      <c r="S597" s="272"/>
      <c r="T597" s="272"/>
      <c r="U597" s="272"/>
      <c r="V597" s="272"/>
      <c r="W597" s="272"/>
      <c r="X597" s="272"/>
      <c r="Y597" s="272"/>
      <c r="Z597" s="272"/>
      <c r="AA597" s="272"/>
      <c r="AB597" s="272"/>
      <c r="AC597" s="272"/>
      <c r="AD597" s="272"/>
      <c r="AE597" s="272"/>
    </row>
    <row r="598" spans="15:31">
      <c r="O598" s="272"/>
      <c r="P598" s="272"/>
      <c r="Q598" s="272"/>
      <c r="R598" s="272"/>
      <c r="S598" s="272"/>
      <c r="T598" s="272"/>
      <c r="U598" s="272"/>
      <c r="V598" s="272"/>
      <c r="W598" s="272"/>
      <c r="X598" s="272"/>
      <c r="Y598" s="272"/>
      <c r="Z598" s="272"/>
      <c r="AA598" s="272"/>
      <c r="AB598" s="272"/>
      <c r="AC598" s="272"/>
      <c r="AD598" s="272"/>
      <c r="AE598" s="272"/>
    </row>
    <row r="599" spans="15:31">
      <c r="O599" s="272"/>
      <c r="P599" s="272"/>
      <c r="Q599" s="272"/>
      <c r="R599" s="272"/>
      <c r="S599" s="272"/>
      <c r="T599" s="272"/>
      <c r="U599" s="272"/>
      <c r="V599" s="272"/>
      <c r="W599" s="272"/>
      <c r="X599" s="272"/>
      <c r="Y599" s="272"/>
      <c r="Z599" s="272"/>
      <c r="AA599" s="272"/>
      <c r="AB599" s="272"/>
      <c r="AC599" s="272"/>
      <c r="AD599" s="272"/>
      <c r="AE599" s="272"/>
    </row>
    <row r="600" spans="15:31">
      <c r="O600" s="272"/>
      <c r="P600" s="272"/>
      <c r="Q600" s="272"/>
      <c r="R600" s="272"/>
      <c r="S600" s="272"/>
      <c r="T600" s="272"/>
      <c r="U600" s="272"/>
      <c r="V600" s="272"/>
      <c r="W600" s="272"/>
      <c r="X600" s="272"/>
      <c r="Y600" s="272"/>
      <c r="Z600" s="272"/>
      <c r="AA600" s="272"/>
      <c r="AB600" s="272"/>
      <c r="AC600" s="272"/>
      <c r="AD600" s="272"/>
      <c r="AE600" s="272"/>
    </row>
    <row r="601" spans="15:31">
      <c r="O601" s="272"/>
      <c r="P601" s="272"/>
      <c r="Q601" s="272"/>
      <c r="R601" s="272"/>
      <c r="S601" s="272"/>
      <c r="T601" s="272"/>
      <c r="U601" s="272"/>
      <c r="V601" s="272"/>
      <c r="W601" s="272"/>
      <c r="X601" s="272"/>
      <c r="Y601" s="272"/>
      <c r="Z601" s="272"/>
      <c r="AA601" s="272"/>
      <c r="AB601" s="272"/>
      <c r="AC601" s="272"/>
      <c r="AD601" s="272"/>
      <c r="AE601" s="272"/>
    </row>
    <row r="602" spans="15:31">
      <c r="O602" s="272"/>
      <c r="P602" s="272"/>
      <c r="Q602" s="272"/>
      <c r="R602" s="272"/>
      <c r="S602" s="272"/>
      <c r="T602" s="272"/>
      <c r="U602" s="272"/>
      <c r="V602" s="272"/>
      <c r="W602" s="272"/>
      <c r="X602" s="272"/>
      <c r="Y602" s="272"/>
      <c r="Z602" s="272"/>
      <c r="AA602" s="272"/>
      <c r="AB602" s="272"/>
      <c r="AC602" s="272"/>
      <c r="AD602" s="272"/>
      <c r="AE602" s="272"/>
    </row>
    <row r="603" spans="15:31">
      <c r="O603" s="272"/>
      <c r="P603" s="272"/>
      <c r="Q603" s="272"/>
      <c r="R603" s="272"/>
      <c r="S603" s="272"/>
      <c r="T603" s="272"/>
      <c r="U603" s="272"/>
      <c r="V603" s="272"/>
      <c r="W603" s="272"/>
      <c r="X603" s="272"/>
      <c r="Y603" s="272"/>
      <c r="Z603" s="272"/>
      <c r="AA603" s="272"/>
      <c r="AB603" s="272"/>
      <c r="AC603" s="272"/>
      <c r="AD603" s="272"/>
      <c r="AE603" s="272"/>
    </row>
    <row r="604" spans="15:31">
      <c r="O604" s="272"/>
      <c r="P604" s="272"/>
      <c r="Q604" s="272"/>
      <c r="R604" s="272"/>
      <c r="S604" s="272"/>
      <c r="T604" s="272"/>
      <c r="U604" s="272"/>
      <c r="V604" s="272"/>
      <c r="W604" s="272"/>
      <c r="X604" s="272"/>
      <c r="Y604" s="272"/>
      <c r="Z604" s="272"/>
      <c r="AA604" s="272"/>
      <c r="AB604" s="272"/>
      <c r="AC604" s="272"/>
      <c r="AD604" s="272"/>
      <c r="AE604" s="272"/>
    </row>
    <row r="605" spans="15:31">
      <c r="O605" s="272"/>
      <c r="P605" s="272"/>
      <c r="Q605" s="272"/>
      <c r="R605" s="272"/>
      <c r="S605" s="272"/>
      <c r="T605" s="272"/>
      <c r="U605" s="272"/>
      <c r="V605" s="272"/>
      <c r="W605" s="272"/>
      <c r="X605" s="272"/>
      <c r="Y605" s="272"/>
      <c r="Z605" s="272"/>
      <c r="AA605" s="272"/>
      <c r="AB605" s="272"/>
      <c r="AC605" s="272"/>
      <c r="AD605" s="272"/>
      <c r="AE605" s="272"/>
    </row>
    <row r="606" spans="15:31">
      <c r="O606" s="272"/>
      <c r="P606" s="272"/>
      <c r="Q606" s="272"/>
      <c r="R606" s="272"/>
      <c r="S606" s="272"/>
      <c r="T606" s="272"/>
      <c r="U606" s="272"/>
      <c r="V606" s="272"/>
      <c r="W606" s="272"/>
      <c r="X606" s="272"/>
      <c r="Y606" s="272"/>
      <c r="Z606" s="272"/>
      <c r="AA606" s="272"/>
      <c r="AB606" s="272"/>
      <c r="AC606" s="272"/>
      <c r="AD606" s="272"/>
      <c r="AE606" s="272"/>
    </row>
    <row r="607" spans="15:31">
      <c r="O607" s="272"/>
      <c r="P607" s="272"/>
      <c r="Q607" s="272"/>
      <c r="R607" s="272"/>
      <c r="S607" s="272"/>
      <c r="T607" s="272"/>
      <c r="U607" s="272"/>
      <c r="V607" s="272"/>
      <c r="W607" s="272"/>
      <c r="X607" s="272"/>
      <c r="Y607" s="272"/>
      <c r="Z607" s="272"/>
      <c r="AA607" s="272"/>
      <c r="AB607" s="272"/>
      <c r="AC607" s="272"/>
      <c r="AD607" s="272"/>
      <c r="AE607" s="272"/>
    </row>
    <row r="608" spans="15:31">
      <c r="O608" s="272"/>
      <c r="P608" s="272"/>
      <c r="Q608" s="272"/>
      <c r="R608" s="272"/>
      <c r="S608" s="272"/>
      <c r="T608" s="272"/>
      <c r="U608" s="272"/>
      <c r="V608" s="272"/>
      <c r="W608" s="272"/>
      <c r="X608" s="272"/>
      <c r="Y608" s="272"/>
      <c r="Z608" s="272"/>
      <c r="AA608" s="272"/>
      <c r="AB608" s="272"/>
      <c r="AC608" s="272"/>
      <c r="AD608" s="272"/>
      <c r="AE608" s="272"/>
    </row>
    <row r="609" spans="15:31">
      <c r="O609" s="272"/>
      <c r="P609" s="272"/>
      <c r="Q609" s="272"/>
      <c r="R609" s="272"/>
      <c r="S609" s="272"/>
      <c r="T609" s="272"/>
      <c r="U609" s="272"/>
      <c r="V609" s="272"/>
      <c r="W609" s="272"/>
      <c r="X609" s="272"/>
      <c r="Y609" s="272"/>
      <c r="Z609" s="272"/>
      <c r="AA609" s="272"/>
      <c r="AB609" s="272"/>
      <c r="AC609" s="272"/>
      <c r="AD609" s="272"/>
      <c r="AE609" s="272"/>
    </row>
    <row r="610" spans="15:31">
      <c r="O610" s="272"/>
      <c r="P610" s="272"/>
      <c r="Q610" s="272"/>
      <c r="R610" s="272"/>
      <c r="S610" s="272"/>
      <c r="T610" s="272"/>
      <c r="U610" s="272"/>
      <c r="V610" s="272"/>
      <c r="W610" s="272"/>
      <c r="X610" s="272"/>
      <c r="Y610" s="272"/>
      <c r="Z610" s="272"/>
      <c r="AA610" s="272"/>
      <c r="AB610" s="272"/>
      <c r="AC610" s="272"/>
      <c r="AD610" s="272"/>
      <c r="AE610" s="272"/>
    </row>
    <row r="611" spans="15:31">
      <c r="O611" s="272"/>
      <c r="P611" s="272"/>
      <c r="Q611" s="272"/>
      <c r="R611" s="272"/>
      <c r="S611" s="272"/>
      <c r="T611" s="272"/>
      <c r="U611" s="272"/>
      <c r="V611" s="272"/>
      <c r="W611" s="272"/>
      <c r="X611" s="272"/>
      <c r="Y611" s="272"/>
      <c r="Z611" s="272"/>
      <c r="AA611" s="272"/>
      <c r="AB611" s="272"/>
      <c r="AC611" s="272"/>
      <c r="AD611" s="272"/>
      <c r="AE611" s="272"/>
    </row>
    <row r="612" spans="15:31">
      <c r="O612" s="272"/>
      <c r="P612" s="272"/>
      <c r="Q612" s="272"/>
      <c r="R612" s="272"/>
      <c r="S612" s="272"/>
      <c r="T612" s="272"/>
      <c r="U612" s="272"/>
      <c r="V612" s="272"/>
      <c r="W612" s="272"/>
      <c r="X612" s="272"/>
      <c r="Y612" s="272"/>
      <c r="Z612" s="272"/>
      <c r="AA612" s="272"/>
      <c r="AB612" s="272"/>
      <c r="AC612" s="272"/>
      <c r="AD612" s="272"/>
      <c r="AE612" s="272"/>
    </row>
    <row r="613" spans="15:31">
      <c r="O613" s="272"/>
      <c r="P613" s="272"/>
      <c r="Q613" s="272"/>
      <c r="R613" s="272"/>
      <c r="S613" s="272"/>
      <c r="T613" s="272"/>
      <c r="U613" s="272"/>
      <c r="V613" s="272"/>
      <c r="W613" s="272"/>
      <c r="X613" s="272"/>
      <c r="Y613" s="272"/>
      <c r="Z613" s="272"/>
      <c r="AA613" s="272"/>
      <c r="AB613" s="272"/>
      <c r="AC613" s="272"/>
      <c r="AD613" s="272"/>
      <c r="AE613" s="272"/>
    </row>
    <row r="614" spans="15:31">
      <c r="O614" s="272"/>
      <c r="P614" s="272"/>
      <c r="Q614" s="272"/>
      <c r="R614" s="272"/>
      <c r="S614" s="272"/>
      <c r="T614" s="272"/>
      <c r="U614" s="272"/>
      <c r="V614" s="272"/>
      <c r="W614" s="272"/>
      <c r="X614" s="272"/>
      <c r="Y614" s="272"/>
      <c r="Z614" s="272"/>
      <c r="AA614" s="272"/>
      <c r="AB614" s="272"/>
      <c r="AC614" s="272"/>
      <c r="AD614" s="272"/>
      <c r="AE614" s="272"/>
    </row>
    <row r="615" spans="15:31">
      <c r="O615" s="272"/>
      <c r="P615" s="272"/>
      <c r="Q615" s="272"/>
      <c r="R615" s="272"/>
      <c r="S615" s="272"/>
      <c r="T615" s="272"/>
      <c r="U615" s="272"/>
      <c r="V615" s="272"/>
      <c r="W615" s="272"/>
      <c r="X615" s="272"/>
      <c r="Y615" s="272"/>
      <c r="Z615" s="272"/>
      <c r="AA615" s="272"/>
      <c r="AB615" s="272"/>
      <c r="AC615" s="272"/>
      <c r="AD615" s="272"/>
      <c r="AE615" s="272"/>
    </row>
    <row r="616" spans="15:31">
      <c r="O616" s="272"/>
      <c r="P616" s="272"/>
      <c r="Q616" s="272"/>
      <c r="R616" s="272"/>
      <c r="S616" s="272"/>
      <c r="T616" s="272"/>
      <c r="U616" s="272"/>
      <c r="V616" s="272"/>
      <c r="W616" s="272"/>
      <c r="X616" s="272"/>
      <c r="Y616" s="272"/>
      <c r="Z616" s="272"/>
      <c r="AA616" s="272"/>
      <c r="AB616" s="272"/>
      <c r="AC616" s="272"/>
      <c r="AD616" s="272"/>
      <c r="AE616" s="272"/>
    </row>
    <row r="617" spans="15:31">
      <c r="O617" s="272"/>
      <c r="P617" s="272"/>
      <c r="Q617" s="272"/>
      <c r="R617" s="272"/>
      <c r="S617" s="272"/>
      <c r="T617" s="272"/>
      <c r="U617" s="272"/>
      <c r="V617" s="272"/>
      <c r="W617" s="272"/>
      <c r="X617" s="272"/>
      <c r="Y617" s="272"/>
      <c r="Z617" s="272"/>
      <c r="AA617" s="272"/>
      <c r="AB617" s="272"/>
      <c r="AC617" s="272"/>
      <c r="AD617" s="272"/>
      <c r="AE617" s="272"/>
    </row>
    <row r="618" spans="15:31">
      <c r="O618" s="272"/>
      <c r="P618" s="272"/>
      <c r="Q618" s="272"/>
      <c r="R618" s="272"/>
      <c r="S618" s="272"/>
      <c r="T618" s="272"/>
      <c r="U618" s="272"/>
      <c r="V618" s="272"/>
      <c r="W618" s="272"/>
      <c r="X618" s="272"/>
      <c r="Y618" s="272"/>
      <c r="Z618" s="272"/>
      <c r="AA618" s="272"/>
      <c r="AB618" s="272"/>
      <c r="AC618" s="272"/>
      <c r="AD618" s="272"/>
      <c r="AE618" s="272"/>
    </row>
    <row r="619" spans="15:31">
      <c r="O619" s="272"/>
      <c r="P619" s="272"/>
      <c r="Q619" s="272"/>
      <c r="R619" s="272"/>
      <c r="S619" s="272"/>
      <c r="T619" s="272"/>
      <c r="U619" s="272"/>
      <c r="V619" s="272"/>
      <c r="W619" s="272"/>
      <c r="X619" s="272"/>
      <c r="Y619" s="272"/>
      <c r="Z619" s="272"/>
      <c r="AA619" s="272"/>
      <c r="AB619" s="272"/>
      <c r="AC619" s="272"/>
      <c r="AD619" s="272"/>
      <c r="AE619" s="272"/>
    </row>
    <row r="620" spans="15:31">
      <c r="O620" s="272"/>
      <c r="P620" s="272"/>
      <c r="Q620" s="272"/>
      <c r="R620" s="272"/>
      <c r="S620" s="272"/>
      <c r="T620" s="272"/>
      <c r="U620" s="272"/>
      <c r="V620" s="272"/>
      <c r="W620" s="272"/>
      <c r="X620" s="272"/>
      <c r="Y620" s="272"/>
      <c r="Z620" s="272"/>
      <c r="AA620" s="272"/>
      <c r="AB620" s="272"/>
      <c r="AC620" s="272"/>
      <c r="AD620" s="272"/>
      <c r="AE620" s="272"/>
    </row>
    <row r="621" spans="15:31">
      <c r="O621" s="272"/>
      <c r="P621" s="272"/>
      <c r="Q621" s="272"/>
      <c r="R621" s="272"/>
      <c r="S621" s="272"/>
      <c r="T621" s="272"/>
      <c r="U621" s="272"/>
      <c r="V621" s="272"/>
      <c r="W621" s="272"/>
      <c r="X621" s="272"/>
      <c r="Y621" s="272"/>
      <c r="Z621" s="272"/>
      <c r="AA621" s="272"/>
      <c r="AB621" s="272"/>
      <c r="AC621" s="272"/>
      <c r="AD621" s="272"/>
      <c r="AE621" s="272"/>
    </row>
    <row r="622" spans="15:31">
      <c r="O622" s="272"/>
      <c r="P622" s="272"/>
      <c r="Q622" s="272"/>
      <c r="R622" s="272"/>
      <c r="S622" s="272"/>
      <c r="T622" s="272"/>
      <c r="U622" s="272"/>
      <c r="V622" s="272"/>
      <c r="W622" s="272"/>
      <c r="X622" s="272"/>
      <c r="Y622" s="272"/>
      <c r="Z622" s="272"/>
      <c r="AA622" s="272"/>
      <c r="AB622" s="272"/>
      <c r="AC622" s="272"/>
      <c r="AD622" s="272"/>
      <c r="AE622" s="272"/>
    </row>
    <row r="623" spans="15:31">
      <c r="O623" s="272"/>
      <c r="P623" s="272"/>
      <c r="Q623" s="272"/>
      <c r="R623" s="272"/>
      <c r="S623" s="272"/>
      <c r="T623" s="272"/>
      <c r="U623" s="272"/>
      <c r="V623" s="272"/>
      <c r="W623" s="272"/>
      <c r="X623" s="272"/>
      <c r="Y623" s="272"/>
      <c r="Z623" s="272"/>
      <c r="AA623" s="272"/>
      <c r="AB623" s="272"/>
      <c r="AC623" s="272"/>
      <c r="AD623" s="272"/>
      <c r="AE623" s="272"/>
    </row>
    <row r="624" spans="15:31">
      <c r="O624" s="272"/>
      <c r="P624" s="272"/>
      <c r="Q624" s="272"/>
      <c r="R624" s="272"/>
      <c r="S624" s="272"/>
      <c r="T624" s="272"/>
      <c r="U624" s="272"/>
      <c r="V624" s="272"/>
      <c r="W624" s="272"/>
      <c r="X624" s="272"/>
      <c r="Y624" s="272"/>
      <c r="Z624" s="272"/>
      <c r="AA624" s="272"/>
      <c r="AB624" s="272"/>
      <c r="AC624" s="272"/>
      <c r="AD624" s="272"/>
      <c r="AE624" s="272"/>
    </row>
    <row r="625" spans="15:31">
      <c r="O625" s="272"/>
      <c r="P625" s="272"/>
      <c r="Q625" s="272"/>
      <c r="R625" s="272"/>
      <c r="S625" s="272"/>
      <c r="T625" s="272"/>
      <c r="U625" s="272"/>
      <c r="V625" s="272"/>
      <c r="W625" s="272"/>
      <c r="X625" s="272"/>
      <c r="Y625" s="272"/>
      <c r="Z625" s="272"/>
      <c r="AA625" s="272"/>
      <c r="AB625" s="272"/>
      <c r="AC625" s="272"/>
      <c r="AD625" s="272"/>
      <c r="AE625" s="272"/>
    </row>
    <row r="626" spans="15:31">
      <c r="O626" s="272"/>
      <c r="P626" s="272"/>
      <c r="Q626" s="272"/>
      <c r="R626" s="272"/>
      <c r="S626" s="272"/>
      <c r="T626" s="272"/>
      <c r="U626" s="272"/>
      <c r="V626" s="272"/>
      <c r="W626" s="272"/>
      <c r="X626" s="272"/>
      <c r="Y626" s="272"/>
      <c r="Z626" s="272"/>
      <c r="AA626" s="272"/>
      <c r="AB626" s="272"/>
      <c r="AC626" s="272"/>
      <c r="AD626" s="272"/>
      <c r="AE626" s="272"/>
    </row>
    <row r="627" spans="15:31">
      <c r="O627" s="272"/>
      <c r="P627" s="272"/>
      <c r="Q627" s="272"/>
      <c r="R627" s="272"/>
      <c r="S627" s="272"/>
      <c r="T627" s="272"/>
      <c r="U627" s="272"/>
      <c r="V627" s="272"/>
      <c r="W627" s="272"/>
      <c r="X627" s="272"/>
      <c r="Y627" s="272"/>
      <c r="Z627" s="272"/>
      <c r="AA627" s="272"/>
      <c r="AB627" s="272"/>
      <c r="AC627" s="272"/>
      <c r="AD627" s="272"/>
      <c r="AE627" s="272"/>
    </row>
    <row r="628" spans="15:31">
      <c r="O628" s="272"/>
      <c r="P628" s="272"/>
      <c r="Q628" s="272"/>
      <c r="R628" s="272"/>
      <c r="S628" s="272"/>
      <c r="T628" s="272"/>
      <c r="U628" s="272"/>
      <c r="V628" s="272"/>
      <c r="W628" s="272"/>
      <c r="X628" s="272"/>
      <c r="Y628" s="272"/>
      <c r="Z628" s="272"/>
      <c r="AA628" s="272"/>
      <c r="AB628" s="272"/>
      <c r="AC628" s="272"/>
      <c r="AD628" s="272"/>
      <c r="AE628" s="272"/>
    </row>
    <row r="629" spans="15:31">
      <c r="O629" s="272"/>
      <c r="P629" s="272"/>
      <c r="Q629" s="272"/>
      <c r="R629" s="272"/>
      <c r="S629" s="272"/>
      <c r="T629" s="272"/>
      <c r="U629" s="272"/>
      <c r="V629" s="272"/>
      <c r="W629" s="272"/>
      <c r="X629" s="272"/>
      <c r="Y629" s="272"/>
      <c r="Z629" s="272"/>
      <c r="AA629" s="272"/>
      <c r="AB629" s="272"/>
      <c r="AC629" s="272"/>
      <c r="AD629" s="272"/>
      <c r="AE629" s="272"/>
    </row>
    <row r="630" spans="15:31">
      <c r="O630" s="272"/>
      <c r="P630" s="272"/>
      <c r="Q630" s="272"/>
      <c r="R630" s="272"/>
      <c r="S630" s="272"/>
      <c r="T630" s="272"/>
      <c r="U630" s="272"/>
      <c r="V630" s="272"/>
      <c r="W630" s="272"/>
      <c r="X630" s="272"/>
      <c r="Y630" s="272"/>
      <c r="Z630" s="272"/>
      <c r="AA630" s="272"/>
      <c r="AB630" s="272"/>
      <c r="AC630" s="272"/>
      <c r="AD630" s="272"/>
      <c r="AE630" s="272"/>
    </row>
    <row r="631" spans="15:31">
      <c r="O631" s="272"/>
      <c r="P631" s="272"/>
      <c r="Q631" s="272"/>
      <c r="R631" s="272"/>
      <c r="S631" s="272"/>
      <c r="T631" s="272"/>
      <c r="U631" s="272"/>
      <c r="V631" s="272"/>
      <c r="W631" s="272"/>
      <c r="X631" s="272"/>
      <c r="Y631" s="272"/>
      <c r="Z631" s="272"/>
      <c r="AA631" s="272"/>
      <c r="AB631" s="272"/>
      <c r="AC631" s="272"/>
      <c r="AD631" s="272"/>
      <c r="AE631" s="272"/>
    </row>
    <row r="632" spans="15:31">
      <c r="O632" s="272"/>
      <c r="P632" s="272"/>
      <c r="Q632" s="272"/>
      <c r="R632" s="272"/>
      <c r="S632" s="272"/>
      <c r="T632" s="272"/>
      <c r="U632" s="272"/>
      <c r="V632" s="272"/>
      <c r="W632" s="272"/>
      <c r="X632" s="272"/>
      <c r="Y632" s="272"/>
      <c r="Z632" s="272"/>
      <c r="AA632" s="272"/>
      <c r="AB632" s="272"/>
      <c r="AC632" s="272"/>
      <c r="AD632" s="272"/>
      <c r="AE632" s="272"/>
    </row>
    <row r="633" spans="15:31">
      <c r="O633" s="272"/>
      <c r="P633" s="272"/>
      <c r="Q633" s="272"/>
      <c r="R633" s="272"/>
      <c r="S633" s="272"/>
      <c r="T633" s="272"/>
      <c r="U633" s="272"/>
      <c r="V633" s="272"/>
      <c r="W633" s="272"/>
      <c r="X633" s="272"/>
      <c r="Y633" s="272"/>
      <c r="Z633" s="272"/>
      <c r="AA633" s="272"/>
      <c r="AB633" s="272"/>
      <c r="AC633" s="272"/>
      <c r="AD633" s="272"/>
      <c r="AE633" s="272"/>
    </row>
    <row r="634" spans="15:31">
      <c r="O634" s="272"/>
      <c r="P634" s="272"/>
      <c r="Q634" s="272"/>
      <c r="R634" s="272"/>
      <c r="S634" s="272"/>
      <c r="T634" s="272"/>
      <c r="U634" s="272"/>
      <c r="V634" s="272"/>
      <c r="W634" s="272"/>
      <c r="X634" s="272"/>
      <c r="Y634" s="272"/>
      <c r="Z634" s="272"/>
      <c r="AA634" s="272"/>
      <c r="AB634" s="272"/>
      <c r="AC634" s="272"/>
      <c r="AD634" s="272"/>
      <c r="AE634" s="272"/>
    </row>
    <row r="635" spans="15:31">
      <c r="O635" s="272"/>
      <c r="P635" s="272"/>
      <c r="Q635" s="272"/>
      <c r="R635" s="272"/>
      <c r="S635" s="272"/>
      <c r="T635" s="272"/>
      <c r="U635" s="272"/>
      <c r="V635" s="272"/>
      <c r="W635" s="272"/>
      <c r="X635" s="272"/>
      <c r="Y635" s="272"/>
      <c r="Z635" s="272"/>
      <c r="AA635" s="272"/>
      <c r="AB635" s="272"/>
      <c r="AC635" s="272"/>
      <c r="AD635" s="272"/>
      <c r="AE635" s="272"/>
    </row>
    <row r="636" spans="15:31">
      <c r="O636" s="272"/>
      <c r="P636" s="272"/>
      <c r="Q636" s="272"/>
      <c r="R636" s="272"/>
      <c r="S636" s="272"/>
      <c r="T636" s="272"/>
      <c r="U636" s="272"/>
      <c r="V636" s="272"/>
      <c r="W636" s="272"/>
      <c r="X636" s="272"/>
      <c r="Y636" s="272"/>
      <c r="Z636" s="272"/>
      <c r="AA636" s="272"/>
      <c r="AB636" s="272"/>
      <c r="AC636" s="272"/>
      <c r="AD636" s="272"/>
      <c r="AE636" s="272"/>
    </row>
    <row r="637" spans="15:31">
      <c r="O637" s="272"/>
      <c r="P637" s="272"/>
      <c r="Q637" s="272"/>
      <c r="R637" s="272"/>
      <c r="S637" s="272"/>
      <c r="T637" s="272"/>
      <c r="U637" s="272"/>
      <c r="V637" s="272"/>
      <c r="W637" s="272"/>
      <c r="X637" s="272"/>
      <c r="Y637" s="272"/>
      <c r="Z637" s="272"/>
      <c r="AA637" s="272"/>
      <c r="AB637" s="272"/>
      <c r="AC637" s="272"/>
      <c r="AD637" s="272"/>
      <c r="AE637" s="272"/>
    </row>
    <row r="638" spans="15:31">
      <c r="O638" s="272"/>
      <c r="P638" s="272"/>
      <c r="Q638" s="272"/>
      <c r="R638" s="272"/>
      <c r="S638" s="272"/>
      <c r="T638" s="272"/>
      <c r="U638" s="272"/>
      <c r="V638" s="272"/>
      <c r="W638" s="272"/>
      <c r="X638" s="272"/>
      <c r="Y638" s="272"/>
      <c r="Z638" s="272"/>
      <c r="AA638" s="272"/>
      <c r="AB638" s="272"/>
      <c r="AC638" s="272"/>
      <c r="AD638" s="272"/>
      <c r="AE638" s="272"/>
    </row>
    <row r="639" spans="15:31">
      <c r="O639" s="272"/>
      <c r="P639" s="272"/>
      <c r="Q639" s="272"/>
      <c r="R639" s="272"/>
      <c r="S639" s="272"/>
      <c r="T639" s="272"/>
      <c r="U639" s="272"/>
      <c r="V639" s="272"/>
      <c r="W639" s="272"/>
      <c r="X639" s="272"/>
      <c r="Y639" s="272"/>
      <c r="Z639" s="272"/>
      <c r="AA639" s="272"/>
      <c r="AB639" s="272"/>
      <c r="AC639" s="272"/>
      <c r="AD639" s="272"/>
      <c r="AE639" s="272"/>
    </row>
    <row r="640" spans="15:31">
      <c r="O640" s="272"/>
      <c r="P640" s="272"/>
      <c r="Q640" s="272"/>
      <c r="R640" s="272"/>
      <c r="S640" s="272"/>
      <c r="T640" s="272"/>
      <c r="U640" s="272"/>
      <c r="V640" s="272"/>
      <c r="W640" s="272"/>
      <c r="X640" s="272"/>
      <c r="Y640" s="272"/>
      <c r="Z640" s="272"/>
      <c r="AA640" s="272"/>
      <c r="AB640" s="272"/>
      <c r="AC640" s="272"/>
      <c r="AD640" s="272"/>
      <c r="AE640" s="272"/>
    </row>
    <row r="641" spans="15:31">
      <c r="O641" s="272"/>
      <c r="P641" s="272"/>
      <c r="Q641" s="272"/>
      <c r="R641" s="272"/>
      <c r="S641" s="272"/>
      <c r="T641" s="272"/>
      <c r="U641" s="272"/>
      <c r="V641" s="272"/>
      <c r="W641" s="272"/>
      <c r="X641" s="272"/>
      <c r="Y641" s="272"/>
      <c r="Z641" s="272"/>
      <c r="AA641" s="272"/>
      <c r="AB641" s="272"/>
      <c r="AC641" s="272"/>
      <c r="AD641" s="272"/>
      <c r="AE641" s="272"/>
    </row>
    <row r="642" spans="15:31">
      <c r="O642" s="272"/>
      <c r="P642" s="272"/>
      <c r="Q642" s="272"/>
      <c r="R642" s="272"/>
      <c r="S642" s="272"/>
      <c r="T642" s="272"/>
      <c r="U642" s="272"/>
      <c r="V642" s="272"/>
      <c r="W642" s="272"/>
      <c r="X642" s="272"/>
      <c r="Y642" s="272"/>
      <c r="Z642" s="272"/>
      <c r="AA642" s="272"/>
      <c r="AB642" s="272"/>
      <c r="AC642" s="272"/>
      <c r="AD642" s="272"/>
      <c r="AE642" s="272"/>
    </row>
    <row r="643" spans="15:31">
      <c r="O643" s="272"/>
      <c r="P643" s="272"/>
      <c r="Q643" s="272"/>
      <c r="R643" s="272"/>
      <c r="S643" s="272"/>
      <c r="T643" s="272"/>
      <c r="U643" s="272"/>
      <c r="V643" s="272"/>
      <c r="W643" s="272"/>
      <c r="X643" s="272"/>
      <c r="Y643" s="272"/>
      <c r="Z643" s="272"/>
      <c r="AA643" s="272"/>
      <c r="AB643" s="272"/>
      <c r="AC643" s="272"/>
      <c r="AD643" s="272"/>
      <c r="AE643" s="272"/>
    </row>
    <row r="644" spans="15:31">
      <c r="O644" s="272"/>
      <c r="P644" s="272"/>
      <c r="Q644" s="272"/>
      <c r="R644" s="272"/>
      <c r="S644" s="272"/>
      <c r="T644" s="272"/>
      <c r="U644" s="272"/>
      <c r="V644" s="272"/>
      <c r="W644" s="272"/>
      <c r="X644" s="272"/>
      <c r="Y644" s="272"/>
      <c r="Z644" s="272"/>
      <c r="AA644" s="272"/>
      <c r="AB644" s="272"/>
      <c r="AC644" s="272"/>
      <c r="AD644" s="272"/>
      <c r="AE644" s="272"/>
    </row>
    <row r="645" spans="15:31">
      <c r="O645" s="272"/>
      <c r="P645" s="272"/>
      <c r="Q645" s="272"/>
      <c r="R645" s="272"/>
      <c r="S645" s="272"/>
      <c r="T645" s="272"/>
      <c r="U645" s="272"/>
      <c r="V645" s="272"/>
      <c r="W645" s="272"/>
      <c r="X645" s="272"/>
      <c r="Y645" s="272"/>
      <c r="Z645" s="272"/>
      <c r="AA645" s="272"/>
      <c r="AB645" s="272"/>
      <c r="AC645" s="272"/>
      <c r="AD645" s="272"/>
      <c r="AE645" s="272"/>
    </row>
    <row r="646" spans="15:31">
      <c r="O646" s="272"/>
      <c r="P646" s="272"/>
      <c r="Q646" s="272"/>
      <c r="R646" s="272"/>
      <c r="S646" s="272"/>
      <c r="T646" s="272"/>
      <c r="U646" s="272"/>
      <c r="V646" s="272"/>
      <c r="W646" s="272"/>
      <c r="X646" s="272"/>
      <c r="Y646" s="272"/>
      <c r="Z646" s="272"/>
      <c r="AA646" s="272"/>
      <c r="AB646" s="272"/>
      <c r="AC646" s="272"/>
      <c r="AD646" s="272"/>
      <c r="AE646" s="272"/>
    </row>
    <row r="647" spans="15:31">
      <c r="O647" s="272"/>
      <c r="P647" s="272"/>
      <c r="Q647" s="272"/>
      <c r="R647" s="272"/>
      <c r="S647" s="272"/>
      <c r="T647" s="272"/>
      <c r="U647" s="272"/>
      <c r="V647" s="272"/>
      <c r="W647" s="272"/>
      <c r="X647" s="272"/>
      <c r="Y647" s="272"/>
      <c r="Z647" s="272"/>
      <c r="AA647" s="272"/>
      <c r="AB647" s="272"/>
      <c r="AC647" s="272"/>
      <c r="AD647" s="272"/>
      <c r="AE647" s="272"/>
    </row>
    <row r="648" spans="15:31">
      <c r="O648" s="272"/>
      <c r="P648" s="272"/>
      <c r="Q648" s="272"/>
      <c r="R648" s="272"/>
      <c r="S648" s="272"/>
      <c r="T648" s="272"/>
      <c r="U648" s="272"/>
      <c r="V648" s="272"/>
      <c r="W648" s="272"/>
      <c r="X648" s="272"/>
      <c r="Y648" s="272"/>
      <c r="Z648" s="272"/>
      <c r="AA648" s="272"/>
      <c r="AB648" s="272"/>
      <c r="AC648" s="272"/>
      <c r="AD648" s="272"/>
      <c r="AE648" s="272"/>
    </row>
    <row r="649" spans="15:31">
      <c r="O649" s="272"/>
      <c r="P649" s="272"/>
      <c r="Q649" s="272"/>
      <c r="R649" s="272"/>
      <c r="S649" s="272"/>
      <c r="T649" s="272"/>
      <c r="U649" s="272"/>
      <c r="V649" s="272"/>
      <c r="W649" s="272"/>
      <c r="X649" s="272"/>
      <c r="Y649" s="272"/>
      <c r="Z649" s="272"/>
      <c r="AA649" s="272"/>
      <c r="AB649" s="272"/>
      <c r="AC649" s="272"/>
      <c r="AD649" s="272"/>
      <c r="AE649" s="272"/>
    </row>
    <row r="650" spans="15:31">
      <c r="O650" s="272"/>
      <c r="P650" s="272"/>
      <c r="Q650" s="272"/>
      <c r="R650" s="272"/>
      <c r="S650" s="272"/>
      <c r="T650" s="272"/>
      <c r="U650" s="272"/>
      <c r="V650" s="272"/>
      <c r="W650" s="272"/>
      <c r="X650" s="272"/>
      <c r="Y650" s="272"/>
      <c r="Z650" s="272"/>
      <c r="AA650" s="272"/>
      <c r="AB650" s="272"/>
      <c r="AC650" s="272"/>
      <c r="AD650" s="272"/>
      <c r="AE650" s="272"/>
    </row>
    <row r="651" spans="15:31">
      <c r="O651" s="272"/>
      <c r="P651" s="272"/>
      <c r="Q651" s="272"/>
      <c r="R651" s="272"/>
      <c r="S651" s="272"/>
      <c r="T651" s="272"/>
      <c r="U651" s="272"/>
      <c r="V651" s="272"/>
      <c r="W651" s="272"/>
      <c r="X651" s="272"/>
      <c r="Y651" s="272"/>
      <c r="Z651" s="272"/>
      <c r="AA651" s="272"/>
      <c r="AB651" s="272"/>
      <c r="AC651" s="272"/>
      <c r="AD651" s="272"/>
      <c r="AE651" s="272"/>
    </row>
    <row r="652" spans="15:31">
      <c r="O652" s="272"/>
      <c r="P652" s="272"/>
      <c r="Q652" s="272"/>
      <c r="R652" s="272"/>
      <c r="S652" s="272"/>
      <c r="T652" s="272"/>
      <c r="U652" s="272"/>
      <c r="V652" s="272"/>
      <c r="W652" s="272"/>
      <c r="X652" s="272"/>
      <c r="Y652" s="272"/>
      <c r="Z652" s="272"/>
      <c r="AA652" s="272"/>
      <c r="AB652" s="272"/>
      <c r="AC652" s="272"/>
      <c r="AD652" s="272"/>
      <c r="AE652" s="272"/>
    </row>
    <row r="653" spans="15:31">
      <c r="O653" s="272"/>
      <c r="P653" s="272"/>
      <c r="Q653" s="272"/>
      <c r="R653" s="272"/>
      <c r="S653" s="272"/>
      <c r="T653" s="272"/>
      <c r="U653" s="272"/>
      <c r="V653" s="272"/>
      <c r="W653" s="272"/>
      <c r="X653" s="272"/>
      <c r="Y653" s="272"/>
      <c r="Z653" s="272"/>
      <c r="AA653" s="272"/>
      <c r="AB653" s="272"/>
      <c r="AC653" s="272"/>
      <c r="AD653" s="272"/>
      <c r="AE653" s="272"/>
    </row>
    <row r="654" spans="15:31">
      <c r="O654" s="272"/>
      <c r="P654" s="272"/>
      <c r="Q654" s="272"/>
      <c r="R654" s="272"/>
      <c r="S654" s="272"/>
      <c r="T654" s="272"/>
      <c r="U654" s="272"/>
      <c r="V654" s="272"/>
      <c r="W654" s="272"/>
      <c r="X654" s="272"/>
      <c r="Y654" s="272"/>
      <c r="Z654" s="272"/>
      <c r="AA654" s="272"/>
      <c r="AB654" s="272"/>
      <c r="AC654" s="272"/>
      <c r="AD654" s="272"/>
      <c r="AE654" s="272"/>
    </row>
    <row r="655" spans="15:31">
      <c r="O655" s="272"/>
      <c r="P655" s="272"/>
      <c r="Q655" s="272"/>
      <c r="R655" s="272"/>
      <c r="S655" s="272"/>
      <c r="T655" s="272"/>
      <c r="U655" s="272"/>
      <c r="V655" s="272"/>
      <c r="W655" s="272"/>
      <c r="X655" s="272"/>
      <c r="Y655" s="272"/>
      <c r="Z655" s="272"/>
      <c r="AA655" s="272"/>
      <c r="AB655" s="272"/>
      <c r="AC655" s="272"/>
      <c r="AD655" s="272"/>
      <c r="AE655" s="272"/>
    </row>
    <row r="656" spans="15:31">
      <c r="O656" s="272"/>
      <c r="P656" s="272"/>
      <c r="Q656" s="272"/>
      <c r="R656" s="272"/>
      <c r="S656" s="272"/>
      <c r="T656" s="272"/>
      <c r="U656" s="272"/>
      <c r="V656" s="272"/>
      <c r="W656" s="272"/>
      <c r="X656" s="272"/>
      <c r="Y656" s="272"/>
      <c r="Z656" s="272"/>
      <c r="AA656" s="272"/>
      <c r="AB656" s="272"/>
      <c r="AC656" s="272"/>
      <c r="AD656" s="272"/>
      <c r="AE656" s="272"/>
    </row>
    <row r="657" spans="15:31">
      <c r="O657" s="272"/>
      <c r="P657" s="272"/>
      <c r="Q657" s="272"/>
      <c r="R657" s="272"/>
      <c r="S657" s="272"/>
      <c r="T657" s="272"/>
      <c r="U657" s="272"/>
      <c r="V657" s="272"/>
      <c r="W657" s="272"/>
      <c r="X657" s="272"/>
      <c r="Y657" s="272"/>
      <c r="Z657" s="272"/>
      <c r="AA657" s="272"/>
      <c r="AB657" s="272"/>
      <c r="AC657" s="272"/>
      <c r="AD657" s="272"/>
      <c r="AE657" s="272"/>
    </row>
    <row r="658" spans="15:31">
      <c r="O658" s="272"/>
      <c r="P658" s="272"/>
      <c r="Q658" s="272"/>
      <c r="R658" s="272"/>
      <c r="S658" s="272"/>
      <c r="T658" s="272"/>
      <c r="U658" s="272"/>
      <c r="V658" s="272"/>
      <c r="W658" s="272"/>
      <c r="X658" s="272"/>
      <c r="Y658" s="272"/>
      <c r="Z658" s="272"/>
      <c r="AA658" s="272"/>
      <c r="AB658" s="272"/>
      <c r="AC658" s="272"/>
      <c r="AD658" s="272"/>
      <c r="AE658" s="272"/>
    </row>
    <row r="659" spans="15:31">
      <c r="O659" s="272"/>
      <c r="P659" s="272"/>
      <c r="Q659" s="272"/>
      <c r="R659" s="272"/>
      <c r="S659" s="272"/>
      <c r="T659" s="272"/>
      <c r="U659" s="272"/>
      <c r="V659" s="272"/>
      <c r="W659" s="272"/>
      <c r="X659" s="272"/>
      <c r="Y659" s="272"/>
      <c r="Z659" s="272"/>
      <c r="AA659" s="272"/>
      <c r="AB659" s="272"/>
      <c r="AC659" s="272"/>
      <c r="AD659" s="272"/>
      <c r="AE659" s="272"/>
    </row>
    <row r="660" spans="15:31">
      <c r="O660" s="272"/>
      <c r="P660" s="272"/>
      <c r="Q660" s="272"/>
      <c r="R660" s="272"/>
      <c r="S660" s="272"/>
      <c r="T660" s="272"/>
      <c r="U660" s="272"/>
      <c r="V660" s="272"/>
      <c r="W660" s="272"/>
      <c r="X660" s="272"/>
      <c r="Y660" s="272"/>
      <c r="Z660" s="272"/>
      <c r="AA660" s="272"/>
      <c r="AB660" s="272"/>
      <c r="AC660" s="272"/>
      <c r="AD660" s="272"/>
      <c r="AE660" s="272"/>
    </row>
    <row r="661" spans="15:31">
      <c r="O661" s="272"/>
      <c r="P661" s="272"/>
      <c r="Q661" s="272"/>
      <c r="R661" s="272"/>
      <c r="S661" s="272"/>
      <c r="T661" s="272"/>
      <c r="U661" s="272"/>
      <c r="V661" s="272"/>
      <c r="W661" s="272"/>
      <c r="X661" s="272"/>
      <c r="Y661" s="272"/>
      <c r="Z661" s="272"/>
      <c r="AA661" s="272"/>
      <c r="AB661" s="272"/>
      <c r="AC661" s="272"/>
      <c r="AD661" s="272"/>
      <c r="AE661" s="272"/>
    </row>
    <row r="662" spans="15:31">
      <c r="O662" s="272"/>
      <c r="P662" s="272"/>
      <c r="Q662" s="272"/>
      <c r="R662" s="272"/>
      <c r="S662" s="272"/>
      <c r="T662" s="272"/>
      <c r="U662" s="272"/>
      <c r="V662" s="272"/>
      <c r="W662" s="272"/>
      <c r="X662" s="272"/>
      <c r="Y662" s="272"/>
      <c r="Z662" s="272"/>
      <c r="AA662" s="272"/>
      <c r="AB662" s="272"/>
      <c r="AC662" s="272"/>
      <c r="AD662" s="272"/>
      <c r="AE662" s="272"/>
    </row>
    <row r="663" spans="15:31">
      <c r="O663" s="272"/>
      <c r="P663" s="272"/>
      <c r="Q663" s="272"/>
      <c r="R663" s="272"/>
      <c r="S663" s="272"/>
      <c r="T663" s="272"/>
      <c r="U663" s="272"/>
      <c r="V663" s="272"/>
      <c r="W663" s="272"/>
      <c r="X663" s="272"/>
      <c r="Y663" s="272"/>
      <c r="Z663" s="272"/>
      <c r="AA663" s="272"/>
      <c r="AB663" s="272"/>
      <c r="AC663" s="272"/>
      <c r="AD663" s="272"/>
      <c r="AE663" s="272"/>
    </row>
    <row r="664" spans="15:31">
      <c r="O664" s="272"/>
      <c r="P664" s="272"/>
      <c r="Q664" s="272"/>
      <c r="R664" s="272"/>
      <c r="S664" s="272"/>
      <c r="T664" s="272"/>
      <c r="U664" s="272"/>
      <c r="V664" s="272"/>
      <c r="W664" s="272"/>
      <c r="X664" s="272"/>
      <c r="Y664" s="272"/>
      <c r="Z664" s="272"/>
      <c r="AA664" s="272"/>
      <c r="AB664" s="272"/>
      <c r="AC664" s="272"/>
      <c r="AD664" s="272"/>
      <c r="AE664" s="272"/>
    </row>
    <row r="665" spans="15:31">
      <c r="O665" s="272"/>
      <c r="P665" s="272"/>
      <c r="Q665" s="272"/>
      <c r="R665" s="272"/>
      <c r="S665" s="272"/>
      <c r="T665" s="272"/>
      <c r="U665" s="272"/>
      <c r="V665" s="272"/>
      <c r="W665" s="272"/>
      <c r="X665" s="272"/>
      <c r="Y665" s="272"/>
      <c r="Z665" s="272"/>
      <c r="AA665" s="272"/>
      <c r="AB665" s="272"/>
      <c r="AC665" s="272"/>
      <c r="AD665" s="272"/>
      <c r="AE665" s="272"/>
    </row>
    <row r="666" spans="15:31">
      <c r="O666" s="272"/>
      <c r="P666" s="272"/>
      <c r="Q666" s="272"/>
      <c r="R666" s="272"/>
      <c r="S666" s="272"/>
      <c r="T666" s="272"/>
      <c r="U666" s="272"/>
      <c r="V666" s="272"/>
      <c r="W666" s="272"/>
      <c r="X666" s="272"/>
      <c r="Y666" s="272"/>
      <c r="Z666" s="272"/>
      <c r="AA666" s="272"/>
      <c r="AB666" s="272"/>
      <c r="AC666" s="272"/>
      <c r="AD666" s="272"/>
      <c r="AE666" s="272"/>
    </row>
    <row r="667" spans="15:31">
      <c r="O667" s="272"/>
      <c r="P667" s="272"/>
      <c r="Q667" s="272"/>
      <c r="R667" s="272"/>
      <c r="S667" s="272"/>
      <c r="T667" s="272"/>
      <c r="U667" s="272"/>
      <c r="V667" s="272"/>
      <c r="W667" s="272"/>
      <c r="X667" s="272"/>
      <c r="Y667" s="272"/>
      <c r="Z667" s="272"/>
      <c r="AA667" s="272"/>
      <c r="AB667" s="272"/>
      <c r="AC667" s="272"/>
      <c r="AD667" s="272"/>
      <c r="AE667" s="272"/>
    </row>
    <row r="668" spans="15:31">
      <c r="O668" s="272"/>
      <c r="P668" s="272"/>
      <c r="Q668" s="272"/>
      <c r="R668" s="272"/>
      <c r="S668" s="272"/>
      <c r="T668" s="272"/>
      <c r="U668" s="272"/>
      <c r="V668" s="272"/>
      <c r="W668" s="272"/>
      <c r="X668" s="272"/>
      <c r="Y668" s="272"/>
      <c r="Z668" s="272"/>
      <c r="AA668" s="272"/>
      <c r="AB668" s="272"/>
      <c r="AC668" s="272"/>
      <c r="AD668" s="272"/>
      <c r="AE668" s="272"/>
    </row>
    <row r="669" spans="15:31">
      <c r="O669" s="272"/>
      <c r="P669" s="272"/>
      <c r="Q669" s="272"/>
      <c r="R669" s="272"/>
      <c r="S669" s="272"/>
      <c r="T669" s="272"/>
      <c r="U669" s="272"/>
      <c r="V669" s="272"/>
      <c r="W669" s="272"/>
      <c r="X669" s="272"/>
      <c r="Y669" s="272"/>
      <c r="Z669" s="272"/>
      <c r="AA669" s="272"/>
      <c r="AB669" s="272"/>
      <c r="AC669" s="272"/>
      <c r="AD669" s="272"/>
      <c r="AE669" s="272"/>
    </row>
    <row r="670" spans="15:31">
      <c r="O670" s="272"/>
      <c r="P670" s="272"/>
      <c r="Q670" s="272"/>
      <c r="R670" s="272"/>
      <c r="S670" s="272"/>
      <c r="T670" s="272"/>
      <c r="U670" s="272"/>
      <c r="V670" s="272"/>
      <c r="W670" s="272"/>
      <c r="X670" s="272"/>
      <c r="Y670" s="272"/>
      <c r="Z670" s="272"/>
      <c r="AA670" s="272"/>
      <c r="AB670" s="272"/>
      <c r="AC670" s="272"/>
      <c r="AD670" s="272"/>
      <c r="AE670" s="272"/>
    </row>
    <row r="671" spans="15:31">
      <c r="O671" s="272"/>
      <c r="P671" s="272"/>
      <c r="Q671" s="272"/>
      <c r="R671" s="272"/>
      <c r="S671" s="272"/>
      <c r="T671" s="272"/>
      <c r="U671" s="272"/>
      <c r="V671" s="272"/>
      <c r="W671" s="272"/>
      <c r="X671" s="272"/>
      <c r="Y671" s="272"/>
      <c r="Z671" s="272"/>
      <c r="AA671" s="272"/>
      <c r="AB671" s="272"/>
      <c r="AC671" s="272"/>
      <c r="AD671" s="272"/>
      <c r="AE671" s="272"/>
    </row>
    <row r="672" spans="15:31">
      <c r="O672" s="272"/>
      <c r="P672" s="272"/>
      <c r="Q672" s="272"/>
      <c r="R672" s="272"/>
      <c r="S672" s="272"/>
      <c r="T672" s="272"/>
      <c r="U672" s="272"/>
      <c r="V672" s="272"/>
      <c r="W672" s="272"/>
      <c r="X672" s="272"/>
      <c r="Y672" s="272"/>
      <c r="Z672" s="272"/>
      <c r="AA672" s="272"/>
      <c r="AB672" s="272"/>
      <c r="AC672" s="272"/>
      <c r="AD672" s="272"/>
      <c r="AE672" s="272"/>
    </row>
    <row r="673" spans="15:31">
      <c r="O673" s="272"/>
      <c r="P673" s="272"/>
      <c r="Q673" s="272"/>
      <c r="R673" s="272"/>
      <c r="S673" s="272"/>
      <c r="T673" s="272"/>
      <c r="U673" s="272"/>
      <c r="V673" s="272"/>
      <c r="W673" s="272"/>
      <c r="X673" s="272"/>
      <c r="Y673" s="272"/>
      <c r="Z673" s="272"/>
      <c r="AA673" s="272"/>
      <c r="AB673" s="272"/>
      <c r="AC673" s="272"/>
      <c r="AD673" s="272"/>
      <c r="AE673" s="272"/>
    </row>
    <row r="674" spans="15:31">
      <c r="O674" s="272"/>
      <c r="P674" s="272"/>
      <c r="Q674" s="272"/>
      <c r="R674" s="272"/>
      <c r="S674" s="272"/>
      <c r="T674" s="272"/>
      <c r="U674" s="272"/>
      <c r="V674" s="272"/>
      <c r="W674" s="272"/>
      <c r="X674" s="272"/>
      <c r="Y674" s="272"/>
      <c r="Z674" s="272"/>
      <c r="AA674" s="272"/>
      <c r="AB674" s="272"/>
      <c r="AC674" s="272"/>
      <c r="AD674" s="272"/>
      <c r="AE674" s="272"/>
    </row>
    <row r="675" spans="15:31">
      <c r="O675" s="272"/>
      <c r="P675" s="272"/>
      <c r="Q675" s="272"/>
      <c r="R675" s="272"/>
      <c r="S675" s="272"/>
      <c r="T675" s="272"/>
      <c r="U675" s="272"/>
      <c r="V675" s="272"/>
      <c r="W675" s="272"/>
      <c r="X675" s="272"/>
      <c r="Y675" s="272"/>
      <c r="Z675" s="272"/>
      <c r="AA675" s="272"/>
      <c r="AB675" s="272"/>
      <c r="AC675" s="272"/>
      <c r="AD675" s="272"/>
      <c r="AE675" s="272"/>
    </row>
    <row r="676" spans="15:31">
      <c r="O676" s="272"/>
      <c r="P676" s="272"/>
      <c r="Q676" s="272"/>
      <c r="R676" s="272"/>
      <c r="S676" s="272"/>
      <c r="T676" s="272"/>
      <c r="U676" s="272"/>
      <c r="V676" s="272"/>
      <c r="W676" s="272"/>
      <c r="X676" s="272"/>
      <c r="Y676" s="272"/>
      <c r="Z676" s="272"/>
      <c r="AA676" s="272"/>
      <c r="AB676" s="272"/>
      <c r="AC676" s="272"/>
      <c r="AD676" s="272"/>
      <c r="AE676" s="272"/>
    </row>
    <row r="677" spans="15:31">
      <c r="O677" s="272"/>
      <c r="P677" s="272"/>
      <c r="Q677" s="272"/>
      <c r="R677" s="272"/>
      <c r="S677" s="272"/>
      <c r="T677" s="272"/>
      <c r="U677" s="272"/>
      <c r="V677" s="272"/>
      <c r="W677" s="272"/>
      <c r="X677" s="272"/>
      <c r="Y677" s="272"/>
      <c r="Z677" s="272"/>
      <c r="AA677" s="272"/>
      <c r="AB677" s="272"/>
      <c r="AC677" s="272"/>
      <c r="AD677" s="272"/>
      <c r="AE677" s="272"/>
    </row>
    <row r="678" spans="15:31">
      <c r="O678" s="272"/>
      <c r="P678" s="272"/>
      <c r="Q678" s="272"/>
      <c r="R678" s="272"/>
      <c r="S678" s="272"/>
      <c r="T678" s="272"/>
      <c r="U678" s="272"/>
      <c r="V678" s="272"/>
      <c r="W678" s="272"/>
      <c r="X678" s="272"/>
      <c r="Y678" s="272"/>
      <c r="Z678" s="272"/>
      <c r="AA678" s="272"/>
      <c r="AB678" s="272"/>
      <c r="AC678" s="272"/>
      <c r="AD678" s="272"/>
      <c r="AE678" s="272"/>
    </row>
    <row r="679" spans="15:31">
      <c r="O679" s="272"/>
      <c r="P679" s="272"/>
      <c r="Q679" s="272"/>
      <c r="R679" s="272"/>
      <c r="S679" s="272"/>
      <c r="T679" s="272"/>
      <c r="U679" s="272"/>
      <c r="V679" s="272"/>
      <c r="W679" s="272"/>
      <c r="X679" s="272"/>
      <c r="Y679" s="272"/>
      <c r="Z679" s="272"/>
      <c r="AA679" s="272"/>
      <c r="AB679" s="272"/>
      <c r="AC679" s="272"/>
      <c r="AD679" s="272"/>
      <c r="AE679" s="272"/>
    </row>
    <row r="680" spans="15:31">
      <c r="O680" s="272"/>
      <c r="P680" s="272"/>
      <c r="Q680" s="272"/>
      <c r="R680" s="272"/>
      <c r="S680" s="272"/>
      <c r="T680" s="272"/>
      <c r="U680" s="272"/>
      <c r="V680" s="272"/>
      <c r="W680" s="272"/>
      <c r="X680" s="272"/>
      <c r="Y680" s="272"/>
      <c r="Z680" s="272"/>
      <c r="AA680" s="272"/>
      <c r="AB680" s="272"/>
      <c r="AC680" s="272"/>
      <c r="AD680" s="272"/>
      <c r="AE680" s="272"/>
    </row>
    <row r="681" spans="15:31">
      <c r="O681" s="272"/>
      <c r="P681" s="272"/>
      <c r="Q681" s="272"/>
      <c r="R681" s="272"/>
      <c r="S681" s="272"/>
      <c r="T681" s="272"/>
      <c r="U681" s="272"/>
      <c r="V681" s="272"/>
      <c r="W681" s="272"/>
      <c r="X681" s="272"/>
      <c r="Y681" s="272"/>
      <c r="Z681" s="272"/>
      <c r="AA681" s="272"/>
      <c r="AB681" s="272"/>
      <c r="AC681" s="272"/>
      <c r="AD681" s="272"/>
      <c r="AE681" s="272"/>
    </row>
    <row r="682" spans="15:31">
      <c r="O682" s="272"/>
      <c r="P682" s="272"/>
      <c r="Q682" s="272"/>
      <c r="R682" s="272"/>
      <c r="S682" s="272"/>
      <c r="T682" s="272"/>
      <c r="U682" s="272"/>
      <c r="V682" s="272"/>
      <c r="W682" s="272"/>
      <c r="X682" s="272"/>
      <c r="Y682" s="272"/>
      <c r="Z682" s="272"/>
      <c r="AA682" s="272"/>
      <c r="AB682" s="272"/>
      <c r="AC682" s="272"/>
      <c r="AD682" s="272"/>
      <c r="AE682" s="272"/>
    </row>
    <row r="683" spans="15:31">
      <c r="O683" s="272"/>
      <c r="P683" s="272"/>
      <c r="Q683" s="272"/>
      <c r="R683" s="272"/>
      <c r="S683" s="272"/>
      <c r="T683" s="272"/>
      <c r="U683" s="272"/>
      <c r="V683" s="272"/>
      <c r="W683" s="272"/>
      <c r="X683" s="272"/>
      <c r="Y683" s="272"/>
      <c r="Z683" s="272"/>
      <c r="AA683" s="272"/>
      <c r="AB683" s="272"/>
      <c r="AC683" s="272"/>
      <c r="AD683" s="272"/>
      <c r="AE683" s="272"/>
    </row>
    <row r="684" spans="15:31">
      <c r="O684" s="272"/>
      <c r="P684" s="272"/>
      <c r="Q684" s="272"/>
      <c r="R684" s="272"/>
      <c r="S684" s="272"/>
      <c r="T684" s="272"/>
      <c r="U684" s="272"/>
      <c r="V684" s="272"/>
      <c r="W684" s="272"/>
      <c r="X684" s="272"/>
      <c r="Y684" s="272"/>
      <c r="Z684" s="272"/>
      <c r="AA684" s="272"/>
      <c r="AB684" s="272"/>
      <c r="AC684" s="272"/>
      <c r="AD684" s="272"/>
      <c r="AE684" s="272"/>
    </row>
    <row r="685" spans="15:31">
      <c r="O685" s="272"/>
      <c r="P685" s="272"/>
      <c r="Q685" s="272"/>
      <c r="R685" s="272"/>
      <c r="S685" s="272"/>
      <c r="T685" s="272"/>
      <c r="U685" s="272"/>
      <c r="V685" s="272"/>
      <c r="W685" s="272"/>
      <c r="X685" s="272"/>
      <c r="Y685" s="272"/>
      <c r="Z685" s="272"/>
      <c r="AA685" s="272"/>
      <c r="AB685" s="272"/>
      <c r="AC685" s="272"/>
      <c r="AD685" s="272"/>
      <c r="AE685" s="272"/>
    </row>
    <row r="686" spans="15:31">
      <c r="O686" s="272"/>
      <c r="P686" s="272"/>
      <c r="Q686" s="272"/>
      <c r="R686" s="272"/>
      <c r="S686" s="272"/>
      <c r="T686" s="272"/>
      <c r="U686" s="272"/>
      <c r="V686" s="272"/>
      <c r="W686" s="272"/>
      <c r="X686" s="272"/>
      <c r="Y686" s="272"/>
      <c r="Z686" s="272"/>
      <c r="AA686" s="272"/>
      <c r="AB686" s="272"/>
      <c r="AC686" s="272"/>
      <c r="AD686" s="272"/>
      <c r="AE686" s="272"/>
    </row>
    <row r="687" spans="15:31">
      <c r="O687" s="272"/>
      <c r="P687" s="272"/>
      <c r="Q687" s="272"/>
      <c r="R687" s="272"/>
      <c r="S687" s="272"/>
      <c r="T687" s="272"/>
      <c r="U687" s="272"/>
      <c r="V687" s="272"/>
      <c r="W687" s="272"/>
      <c r="X687" s="272"/>
      <c r="Y687" s="272"/>
      <c r="Z687" s="272"/>
      <c r="AA687" s="272"/>
      <c r="AB687" s="272"/>
      <c r="AC687" s="272"/>
      <c r="AD687" s="272"/>
      <c r="AE687" s="272"/>
    </row>
    <row r="688" spans="15:31">
      <c r="O688" s="272"/>
      <c r="P688" s="272"/>
      <c r="Q688" s="272"/>
      <c r="R688" s="272"/>
      <c r="S688" s="272"/>
      <c r="T688" s="272"/>
      <c r="U688" s="272"/>
      <c r="V688" s="272"/>
      <c r="W688" s="272"/>
      <c r="X688" s="272"/>
      <c r="Y688" s="272"/>
      <c r="Z688" s="272"/>
      <c r="AA688" s="272"/>
      <c r="AB688" s="272"/>
      <c r="AC688" s="272"/>
      <c r="AD688" s="272"/>
      <c r="AE688" s="272"/>
    </row>
    <row r="689" spans="15:31">
      <c r="O689" s="272"/>
      <c r="P689" s="272"/>
      <c r="Q689" s="272"/>
      <c r="R689" s="272"/>
      <c r="S689" s="272"/>
      <c r="T689" s="272"/>
      <c r="U689" s="272"/>
      <c r="V689" s="272"/>
      <c r="W689" s="272"/>
      <c r="X689" s="272"/>
      <c r="Y689" s="272"/>
      <c r="Z689" s="272"/>
      <c r="AA689" s="272"/>
      <c r="AB689" s="272"/>
      <c r="AC689" s="272"/>
      <c r="AD689" s="272"/>
      <c r="AE689" s="272"/>
    </row>
    <row r="690" spans="15:31">
      <c r="O690" s="272"/>
      <c r="P690" s="272"/>
      <c r="Q690" s="272"/>
      <c r="R690" s="272"/>
      <c r="S690" s="272"/>
      <c r="T690" s="272"/>
      <c r="U690" s="272"/>
      <c r="V690" s="272"/>
      <c r="W690" s="272"/>
      <c r="X690" s="272"/>
      <c r="Y690" s="272"/>
      <c r="Z690" s="272"/>
      <c r="AA690" s="272"/>
      <c r="AB690" s="272"/>
      <c r="AC690" s="272"/>
      <c r="AD690" s="272"/>
      <c r="AE690" s="272"/>
    </row>
    <row r="691" spans="15:31">
      <c r="O691" s="272"/>
      <c r="P691" s="272"/>
      <c r="Q691" s="272"/>
      <c r="R691" s="272"/>
      <c r="S691" s="272"/>
      <c r="T691" s="272"/>
      <c r="U691" s="272"/>
      <c r="V691" s="272"/>
      <c r="W691" s="272"/>
      <c r="X691" s="272"/>
      <c r="Y691" s="272"/>
      <c r="Z691" s="272"/>
      <c r="AA691" s="272"/>
      <c r="AB691" s="272"/>
      <c r="AC691" s="272"/>
      <c r="AD691" s="272"/>
      <c r="AE691" s="272"/>
    </row>
    <row r="692" spans="15:31">
      <c r="O692" s="272"/>
      <c r="P692" s="272"/>
      <c r="Q692" s="272"/>
      <c r="R692" s="272"/>
      <c r="S692" s="272"/>
      <c r="T692" s="272"/>
      <c r="U692" s="272"/>
      <c r="V692" s="272"/>
      <c r="W692" s="272"/>
      <c r="X692" s="272"/>
      <c r="Y692" s="272"/>
      <c r="Z692" s="272"/>
      <c r="AA692" s="272"/>
      <c r="AB692" s="272"/>
      <c r="AC692" s="272"/>
      <c r="AD692" s="272"/>
      <c r="AE692" s="272"/>
    </row>
    <row r="693" spans="15:31">
      <c r="O693" s="272"/>
      <c r="P693" s="272"/>
      <c r="Q693" s="272"/>
      <c r="R693" s="272"/>
      <c r="S693" s="272"/>
      <c r="T693" s="272"/>
      <c r="U693" s="272"/>
      <c r="V693" s="272"/>
      <c r="W693" s="272"/>
      <c r="X693" s="272"/>
      <c r="Y693" s="272"/>
      <c r="Z693" s="272"/>
      <c r="AA693" s="272"/>
      <c r="AB693" s="272"/>
      <c r="AC693" s="272"/>
      <c r="AD693" s="272"/>
      <c r="AE693" s="272"/>
    </row>
    <row r="694" spans="15:31">
      <c r="O694" s="272"/>
      <c r="P694" s="272"/>
      <c r="Q694" s="272"/>
      <c r="R694" s="272"/>
      <c r="S694" s="272"/>
      <c r="T694" s="272"/>
      <c r="U694" s="272"/>
      <c r="V694" s="272"/>
      <c r="W694" s="272"/>
      <c r="X694" s="272"/>
      <c r="Y694" s="272"/>
      <c r="Z694" s="272"/>
      <c r="AA694" s="272"/>
      <c r="AB694" s="272"/>
      <c r="AC694" s="272"/>
      <c r="AD694" s="272"/>
      <c r="AE694" s="272"/>
    </row>
    <row r="695" spans="15:31">
      <c r="O695" s="272"/>
      <c r="P695" s="272"/>
      <c r="Q695" s="272"/>
      <c r="R695" s="272"/>
      <c r="S695" s="272"/>
      <c r="T695" s="272"/>
      <c r="U695" s="272"/>
      <c r="V695" s="272"/>
      <c r="W695" s="272"/>
      <c r="X695" s="272"/>
      <c r="Y695" s="272"/>
      <c r="Z695" s="272"/>
      <c r="AA695" s="272"/>
      <c r="AB695" s="272"/>
      <c r="AC695" s="272"/>
      <c r="AD695" s="272"/>
      <c r="AE695" s="272"/>
    </row>
    <row r="696" spans="15:31">
      <c r="O696" s="272"/>
      <c r="P696" s="272"/>
      <c r="Q696" s="272"/>
      <c r="R696" s="272"/>
      <c r="S696" s="272"/>
      <c r="T696" s="272"/>
      <c r="U696" s="272"/>
      <c r="V696" s="272"/>
      <c r="W696" s="272"/>
      <c r="X696" s="272"/>
      <c r="Y696" s="272"/>
      <c r="Z696" s="272"/>
      <c r="AA696" s="272"/>
      <c r="AB696" s="272"/>
      <c r="AC696" s="272"/>
      <c r="AD696" s="272"/>
      <c r="AE696" s="272"/>
    </row>
    <row r="697" spans="15:31">
      <c r="O697" s="272"/>
      <c r="P697" s="272"/>
      <c r="Q697" s="272"/>
      <c r="R697" s="272"/>
      <c r="S697" s="272"/>
      <c r="T697" s="272"/>
      <c r="U697" s="272"/>
      <c r="V697" s="272"/>
      <c r="W697" s="272"/>
      <c r="X697" s="272"/>
      <c r="Y697" s="272"/>
      <c r="Z697" s="272"/>
      <c r="AA697" s="272"/>
      <c r="AB697" s="272"/>
      <c r="AC697" s="272"/>
      <c r="AD697" s="272"/>
      <c r="AE697" s="272"/>
    </row>
    <row r="698" spans="15:31">
      <c r="O698" s="272"/>
      <c r="P698" s="272"/>
      <c r="Q698" s="272"/>
      <c r="R698" s="272"/>
      <c r="S698" s="272"/>
      <c r="T698" s="272"/>
      <c r="U698" s="272"/>
      <c r="V698" s="272"/>
      <c r="W698" s="272"/>
      <c r="X698" s="272"/>
      <c r="Y698" s="272"/>
      <c r="Z698" s="272"/>
      <c r="AA698" s="272"/>
      <c r="AB698" s="272"/>
      <c r="AC698" s="272"/>
      <c r="AD698" s="272"/>
      <c r="AE698" s="272"/>
    </row>
    <row r="699" spans="15:31">
      <c r="O699" s="272"/>
      <c r="P699" s="272"/>
      <c r="Q699" s="272"/>
      <c r="R699" s="272"/>
      <c r="S699" s="272"/>
      <c r="T699" s="272"/>
      <c r="U699" s="272"/>
      <c r="V699" s="272"/>
      <c r="W699" s="272"/>
      <c r="X699" s="272"/>
      <c r="Y699" s="272"/>
      <c r="Z699" s="272"/>
      <c r="AA699" s="272"/>
      <c r="AB699" s="272"/>
      <c r="AC699" s="272"/>
      <c r="AD699" s="272"/>
      <c r="AE699" s="272"/>
    </row>
    <row r="700" spans="15:31">
      <c r="O700" s="272"/>
      <c r="P700" s="272"/>
      <c r="Q700" s="272"/>
      <c r="R700" s="272"/>
      <c r="S700" s="272"/>
      <c r="T700" s="272"/>
      <c r="U700" s="272"/>
      <c r="V700" s="272"/>
      <c r="W700" s="272"/>
      <c r="X700" s="272"/>
      <c r="Y700" s="272"/>
      <c r="Z700" s="272"/>
      <c r="AA700" s="272"/>
      <c r="AB700" s="272"/>
      <c r="AC700" s="272"/>
      <c r="AD700" s="272"/>
      <c r="AE700" s="272"/>
    </row>
    <row r="701" spans="15:31">
      <c r="O701" s="272"/>
      <c r="P701" s="272"/>
      <c r="Q701" s="272"/>
      <c r="R701" s="272"/>
      <c r="S701" s="272"/>
      <c r="T701" s="272"/>
      <c r="U701" s="272"/>
      <c r="V701" s="272"/>
      <c r="W701" s="272"/>
      <c r="X701" s="272"/>
      <c r="Y701" s="272"/>
      <c r="Z701" s="272"/>
      <c r="AA701" s="272"/>
      <c r="AB701" s="272"/>
      <c r="AC701" s="272"/>
      <c r="AD701" s="272"/>
      <c r="AE701" s="272"/>
    </row>
    <row r="702" spans="15:31">
      <c r="O702" s="272"/>
      <c r="P702" s="272"/>
      <c r="Q702" s="272"/>
      <c r="R702" s="272"/>
      <c r="S702" s="272"/>
      <c r="T702" s="272"/>
      <c r="U702" s="272"/>
      <c r="V702" s="272"/>
      <c r="W702" s="272"/>
      <c r="X702" s="272"/>
      <c r="Y702" s="272"/>
      <c r="Z702" s="272"/>
      <c r="AA702" s="272"/>
      <c r="AB702" s="272"/>
      <c r="AC702" s="272"/>
      <c r="AD702" s="272"/>
      <c r="AE702" s="272"/>
    </row>
    <row r="703" spans="15:31">
      <c r="O703" s="272"/>
      <c r="P703" s="272"/>
      <c r="Q703" s="272"/>
      <c r="R703" s="272"/>
      <c r="S703" s="272"/>
      <c r="T703" s="272"/>
      <c r="U703" s="272"/>
      <c r="V703" s="272"/>
      <c r="W703" s="272"/>
      <c r="X703" s="272"/>
      <c r="Y703" s="272"/>
      <c r="Z703" s="272"/>
      <c r="AA703" s="272"/>
      <c r="AB703" s="272"/>
      <c r="AC703" s="272"/>
      <c r="AD703" s="272"/>
      <c r="AE703" s="272"/>
    </row>
    <row r="704" spans="15:31">
      <c r="O704" s="272"/>
      <c r="P704" s="272"/>
      <c r="Q704" s="272"/>
      <c r="R704" s="272"/>
      <c r="S704" s="272"/>
      <c r="T704" s="272"/>
      <c r="U704" s="272"/>
      <c r="V704" s="272"/>
      <c r="W704" s="272"/>
      <c r="X704" s="272"/>
      <c r="Y704" s="272"/>
      <c r="Z704" s="272"/>
      <c r="AA704" s="272"/>
      <c r="AB704" s="272"/>
      <c r="AC704" s="272"/>
      <c r="AD704" s="272"/>
      <c r="AE704" s="272"/>
    </row>
    <row r="705" spans="15:31">
      <c r="O705" s="272"/>
      <c r="P705" s="272"/>
      <c r="Q705" s="272"/>
      <c r="R705" s="272"/>
      <c r="S705" s="272"/>
      <c r="T705" s="272"/>
      <c r="U705" s="272"/>
      <c r="V705" s="272"/>
      <c r="W705" s="272"/>
      <c r="X705" s="272"/>
      <c r="Y705" s="272"/>
      <c r="Z705" s="272"/>
      <c r="AA705" s="272"/>
      <c r="AB705" s="272"/>
      <c r="AC705" s="272"/>
      <c r="AD705" s="272"/>
      <c r="AE705" s="272"/>
    </row>
    <row r="706" spans="15:31">
      <c r="O706" s="272"/>
      <c r="P706" s="272"/>
      <c r="Q706" s="272"/>
      <c r="R706" s="272"/>
      <c r="S706" s="272"/>
      <c r="T706" s="272"/>
      <c r="U706" s="272"/>
      <c r="V706" s="272"/>
      <c r="W706" s="272"/>
      <c r="X706" s="272"/>
      <c r="Y706" s="272"/>
      <c r="Z706" s="272"/>
      <c r="AA706" s="272"/>
      <c r="AB706" s="272"/>
      <c r="AC706" s="272"/>
      <c r="AD706" s="272"/>
      <c r="AE706" s="272"/>
    </row>
    <row r="707" spans="15:31">
      <c r="O707" s="272"/>
      <c r="P707" s="272"/>
      <c r="Q707" s="272"/>
      <c r="R707" s="272"/>
      <c r="S707" s="272"/>
      <c r="T707" s="272"/>
      <c r="U707" s="272"/>
      <c r="V707" s="272"/>
      <c r="W707" s="272"/>
      <c r="X707" s="272"/>
      <c r="Y707" s="272"/>
      <c r="Z707" s="272"/>
      <c r="AA707" s="272"/>
      <c r="AB707" s="272"/>
      <c r="AC707" s="272"/>
      <c r="AD707" s="272"/>
      <c r="AE707" s="272"/>
    </row>
    <row r="708" spans="15:31">
      <c r="O708" s="272"/>
      <c r="P708" s="272"/>
      <c r="Q708" s="272"/>
      <c r="R708" s="272"/>
      <c r="S708" s="272"/>
      <c r="T708" s="272"/>
      <c r="U708" s="272"/>
      <c r="V708" s="272"/>
      <c r="W708" s="272"/>
      <c r="X708" s="272"/>
      <c r="Y708" s="272"/>
      <c r="Z708" s="272"/>
      <c r="AA708" s="272"/>
      <c r="AB708" s="272"/>
      <c r="AC708" s="272"/>
      <c r="AD708" s="272"/>
      <c r="AE708" s="272"/>
    </row>
    <row r="709" spans="15:31">
      <c r="O709" s="272"/>
      <c r="P709" s="272"/>
      <c r="Q709" s="272"/>
      <c r="R709" s="272"/>
      <c r="S709" s="272"/>
      <c r="T709" s="272"/>
      <c r="U709" s="272"/>
      <c r="V709" s="272"/>
      <c r="W709" s="272"/>
      <c r="X709" s="272"/>
      <c r="Y709" s="272"/>
      <c r="Z709" s="272"/>
      <c r="AA709" s="272"/>
      <c r="AB709" s="272"/>
      <c r="AC709" s="272"/>
      <c r="AD709" s="272"/>
      <c r="AE709" s="272"/>
    </row>
    <row r="710" spans="15:31">
      <c r="O710" s="272"/>
      <c r="P710" s="272"/>
      <c r="Q710" s="272"/>
      <c r="R710" s="272"/>
      <c r="S710" s="272"/>
      <c r="T710" s="272"/>
      <c r="U710" s="272"/>
      <c r="V710" s="272"/>
      <c r="W710" s="272"/>
      <c r="X710" s="272"/>
      <c r="Y710" s="272"/>
      <c r="Z710" s="272"/>
      <c r="AA710" s="272"/>
      <c r="AB710" s="272"/>
      <c r="AC710" s="272"/>
      <c r="AD710" s="272"/>
      <c r="AE710" s="272"/>
    </row>
    <row r="711" spans="15:31">
      <c r="O711" s="272"/>
      <c r="P711" s="272"/>
      <c r="Q711" s="272"/>
      <c r="R711" s="272"/>
      <c r="S711" s="272"/>
      <c r="T711" s="272"/>
      <c r="U711" s="272"/>
      <c r="V711" s="272"/>
      <c r="W711" s="272"/>
      <c r="X711" s="272"/>
      <c r="Y711" s="272"/>
      <c r="Z711" s="272"/>
      <c r="AA711" s="272"/>
      <c r="AB711" s="272"/>
      <c r="AC711" s="272"/>
      <c r="AD711" s="272"/>
      <c r="AE711" s="272"/>
    </row>
    <row r="712" spans="15:31">
      <c r="O712" s="272"/>
      <c r="P712" s="272"/>
      <c r="Q712" s="272"/>
      <c r="R712" s="272"/>
      <c r="S712" s="272"/>
      <c r="T712" s="272"/>
      <c r="U712" s="272"/>
      <c r="V712" s="272"/>
      <c r="W712" s="272"/>
      <c r="X712" s="272"/>
      <c r="Y712" s="272"/>
      <c r="Z712" s="272"/>
      <c r="AA712" s="272"/>
      <c r="AB712" s="272"/>
      <c r="AC712" s="272"/>
      <c r="AD712" s="272"/>
      <c r="AE712" s="272"/>
    </row>
    <row r="713" spans="15:31">
      <c r="O713" s="272"/>
      <c r="P713" s="272"/>
      <c r="Q713" s="272"/>
      <c r="R713" s="272"/>
      <c r="S713" s="272"/>
      <c r="T713" s="272"/>
      <c r="U713" s="272"/>
      <c r="V713" s="272"/>
      <c r="W713" s="272"/>
      <c r="X713" s="272"/>
      <c r="Y713" s="272"/>
      <c r="Z713" s="272"/>
      <c r="AA713" s="272"/>
      <c r="AB713" s="272"/>
      <c r="AC713" s="272"/>
      <c r="AD713" s="272"/>
      <c r="AE713" s="272"/>
    </row>
    <row r="714" spans="15:31">
      <c r="O714" s="272"/>
      <c r="P714" s="272"/>
      <c r="Q714" s="272"/>
      <c r="R714" s="272"/>
      <c r="S714" s="272"/>
      <c r="T714" s="272"/>
      <c r="U714" s="272"/>
      <c r="V714" s="272"/>
      <c r="W714" s="272"/>
      <c r="X714" s="272"/>
      <c r="Y714" s="272"/>
      <c r="Z714" s="272"/>
      <c r="AA714" s="272"/>
      <c r="AB714" s="272"/>
      <c r="AC714" s="272"/>
      <c r="AD714" s="272"/>
      <c r="AE714" s="272"/>
    </row>
    <row r="715" spans="15:31">
      <c r="O715" s="272"/>
      <c r="P715" s="272"/>
      <c r="Q715" s="272"/>
      <c r="R715" s="272"/>
      <c r="S715" s="272"/>
      <c r="T715" s="272"/>
      <c r="U715" s="272"/>
      <c r="V715" s="272"/>
      <c r="W715" s="272"/>
      <c r="X715" s="272"/>
      <c r="Y715" s="272"/>
      <c r="Z715" s="272"/>
      <c r="AA715" s="272"/>
      <c r="AB715" s="272"/>
      <c r="AC715" s="272"/>
      <c r="AD715" s="272"/>
      <c r="AE715" s="272"/>
    </row>
    <row r="716" spans="15:31">
      <c r="O716" s="272"/>
      <c r="P716" s="272"/>
      <c r="Q716" s="272"/>
      <c r="R716" s="272"/>
      <c r="S716" s="272"/>
      <c r="T716" s="272"/>
      <c r="U716" s="272"/>
      <c r="V716" s="272"/>
      <c r="W716" s="272"/>
      <c r="X716" s="272"/>
      <c r="Y716" s="272"/>
      <c r="Z716" s="272"/>
      <c r="AA716" s="272"/>
      <c r="AB716" s="272"/>
      <c r="AC716" s="272"/>
      <c r="AD716" s="272"/>
      <c r="AE716" s="272"/>
    </row>
    <row r="717" spans="15:31">
      <c r="O717" s="272"/>
      <c r="P717" s="272"/>
      <c r="Q717" s="272"/>
      <c r="R717" s="272"/>
      <c r="S717" s="272"/>
      <c r="T717" s="272"/>
      <c r="U717" s="272"/>
      <c r="V717" s="272"/>
      <c r="W717" s="272"/>
      <c r="X717" s="272"/>
      <c r="Y717" s="272"/>
      <c r="Z717" s="272"/>
      <c r="AA717" s="272"/>
      <c r="AB717" s="272"/>
      <c r="AC717" s="272"/>
      <c r="AD717" s="272"/>
      <c r="AE717" s="272"/>
    </row>
    <row r="718" spans="15:31">
      <c r="O718" s="272"/>
      <c r="P718" s="272"/>
      <c r="Q718" s="272"/>
      <c r="R718" s="272"/>
      <c r="S718" s="272"/>
      <c r="T718" s="272"/>
      <c r="U718" s="272"/>
      <c r="V718" s="272"/>
      <c r="W718" s="272"/>
      <c r="X718" s="272"/>
      <c r="Y718" s="272"/>
      <c r="Z718" s="272"/>
      <c r="AA718" s="272"/>
      <c r="AB718" s="272"/>
      <c r="AC718" s="272"/>
      <c r="AD718" s="272"/>
      <c r="AE718" s="272"/>
    </row>
    <row r="719" spans="15:31">
      <c r="O719" s="272"/>
      <c r="P719" s="272"/>
      <c r="Q719" s="272"/>
      <c r="R719" s="272"/>
      <c r="S719" s="272"/>
      <c r="T719" s="272"/>
      <c r="U719" s="272"/>
      <c r="V719" s="272"/>
      <c r="W719" s="272"/>
      <c r="X719" s="272"/>
      <c r="Y719" s="272"/>
      <c r="Z719" s="272"/>
      <c r="AA719" s="272"/>
      <c r="AB719" s="272"/>
      <c r="AC719" s="272"/>
      <c r="AD719" s="272"/>
      <c r="AE719" s="272"/>
    </row>
    <row r="720" spans="15:31">
      <c r="O720" s="272"/>
      <c r="P720" s="272"/>
      <c r="Q720" s="272"/>
      <c r="R720" s="272"/>
      <c r="S720" s="272"/>
      <c r="T720" s="272"/>
      <c r="U720" s="272"/>
      <c r="V720" s="272"/>
      <c r="W720" s="272"/>
      <c r="X720" s="272"/>
      <c r="Y720" s="272"/>
      <c r="Z720" s="272"/>
      <c r="AA720" s="272"/>
      <c r="AB720" s="272"/>
      <c r="AC720" s="272"/>
      <c r="AD720" s="272"/>
      <c r="AE720" s="272"/>
    </row>
    <row r="721" spans="15:31">
      <c r="O721" s="272"/>
      <c r="P721" s="272"/>
      <c r="Q721" s="272"/>
      <c r="R721" s="272"/>
      <c r="S721" s="272"/>
      <c r="T721" s="272"/>
      <c r="U721" s="272"/>
      <c r="V721" s="272"/>
      <c r="W721" s="272"/>
      <c r="X721" s="272"/>
      <c r="Y721" s="272"/>
      <c r="Z721" s="272"/>
      <c r="AA721" s="272"/>
      <c r="AB721" s="272"/>
      <c r="AC721" s="272"/>
      <c r="AD721" s="272"/>
      <c r="AE721" s="272"/>
    </row>
    <row r="722" spans="15:31">
      <c r="O722" s="272"/>
      <c r="P722" s="272"/>
      <c r="Q722" s="272"/>
      <c r="R722" s="272"/>
      <c r="S722" s="272"/>
      <c r="T722" s="272"/>
      <c r="U722" s="272"/>
      <c r="V722" s="272"/>
      <c r="W722" s="272"/>
      <c r="X722" s="272"/>
      <c r="Y722" s="272"/>
      <c r="Z722" s="272"/>
      <c r="AA722" s="272"/>
      <c r="AB722" s="272"/>
      <c r="AC722" s="272"/>
      <c r="AD722" s="272"/>
      <c r="AE722" s="272"/>
    </row>
    <row r="723" spans="15:31">
      <c r="O723" s="272"/>
      <c r="P723" s="272"/>
      <c r="Q723" s="272"/>
      <c r="R723" s="272"/>
      <c r="S723" s="272"/>
      <c r="T723" s="272"/>
      <c r="U723" s="272"/>
      <c r="V723" s="272"/>
      <c r="W723" s="272"/>
      <c r="X723" s="272"/>
      <c r="Y723" s="272"/>
      <c r="Z723" s="272"/>
      <c r="AA723" s="272"/>
      <c r="AB723" s="272"/>
      <c r="AC723" s="272"/>
      <c r="AD723" s="272"/>
      <c r="AE723" s="272"/>
    </row>
    <row r="724" spans="15:31">
      <c r="O724" s="272"/>
      <c r="P724" s="272"/>
      <c r="Q724" s="272"/>
      <c r="R724" s="272"/>
      <c r="S724" s="272"/>
      <c r="T724" s="272"/>
      <c r="U724" s="272"/>
      <c r="V724" s="272"/>
      <c r="W724" s="272"/>
      <c r="X724" s="272"/>
      <c r="Y724" s="272"/>
      <c r="Z724" s="272"/>
      <c r="AA724" s="272"/>
      <c r="AB724" s="272"/>
      <c r="AC724" s="272"/>
      <c r="AD724" s="272"/>
      <c r="AE724" s="272"/>
    </row>
    <row r="725" spans="15:31">
      <c r="O725" s="272"/>
      <c r="P725" s="272"/>
      <c r="Q725" s="272"/>
      <c r="R725" s="272"/>
      <c r="S725" s="272"/>
      <c r="T725" s="272"/>
      <c r="U725" s="272"/>
      <c r="V725" s="272"/>
      <c r="W725" s="272"/>
      <c r="X725" s="272"/>
      <c r="Y725" s="272"/>
      <c r="Z725" s="272"/>
      <c r="AA725" s="272"/>
      <c r="AB725" s="272"/>
      <c r="AC725" s="272"/>
      <c r="AD725" s="272"/>
      <c r="AE725" s="272"/>
    </row>
    <row r="726" spans="15:31">
      <c r="O726" s="272"/>
      <c r="P726" s="272"/>
      <c r="Q726" s="272"/>
      <c r="R726" s="272"/>
      <c r="S726" s="272"/>
      <c r="T726" s="272"/>
      <c r="U726" s="272"/>
      <c r="V726" s="272"/>
      <c r="W726" s="272"/>
      <c r="X726" s="272"/>
      <c r="Y726" s="272"/>
      <c r="Z726" s="272"/>
      <c r="AA726" s="272"/>
      <c r="AB726" s="272"/>
      <c r="AC726" s="272"/>
      <c r="AD726" s="272"/>
      <c r="AE726" s="272"/>
    </row>
    <row r="727" spans="15:31">
      <c r="O727" s="272"/>
      <c r="P727" s="272"/>
      <c r="Q727" s="272"/>
      <c r="R727" s="272"/>
      <c r="S727" s="272"/>
      <c r="T727" s="272"/>
      <c r="U727" s="272"/>
      <c r="V727" s="272"/>
      <c r="W727" s="272"/>
      <c r="X727" s="272"/>
      <c r="Y727" s="272"/>
      <c r="Z727" s="272"/>
      <c r="AA727" s="272"/>
      <c r="AB727" s="272"/>
      <c r="AC727" s="272"/>
      <c r="AD727" s="272"/>
      <c r="AE727" s="272"/>
    </row>
    <row r="728" spans="15:31">
      <c r="O728" s="272"/>
      <c r="P728" s="272"/>
      <c r="Q728" s="272"/>
      <c r="R728" s="272"/>
      <c r="S728" s="272"/>
      <c r="T728" s="272"/>
      <c r="U728" s="272"/>
      <c r="V728" s="272"/>
      <c r="W728" s="272"/>
      <c r="X728" s="272"/>
      <c r="Y728" s="272"/>
      <c r="Z728" s="272"/>
      <c r="AA728" s="272"/>
      <c r="AB728" s="272"/>
      <c r="AC728" s="272"/>
      <c r="AD728" s="272"/>
      <c r="AE728" s="272"/>
    </row>
    <row r="729" spans="15:31">
      <c r="O729" s="272"/>
      <c r="P729" s="272"/>
      <c r="Q729" s="272"/>
      <c r="R729" s="272"/>
      <c r="S729" s="272"/>
      <c r="T729" s="272"/>
      <c r="U729" s="272"/>
      <c r="V729" s="272"/>
      <c r="W729" s="272"/>
      <c r="X729" s="272"/>
      <c r="Y729" s="272"/>
      <c r="Z729" s="272"/>
      <c r="AA729" s="272"/>
      <c r="AB729" s="272"/>
      <c r="AC729" s="272"/>
      <c r="AD729" s="272"/>
      <c r="AE729" s="272"/>
    </row>
    <row r="730" spans="15:31">
      <c r="O730" s="272"/>
      <c r="P730" s="272"/>
      <c r="Q730" s="272"/>
      <c r="R730" s="272"/>
      <c r="S730" s="272"/>
      <c r="T730" s="272"/>
      <c r="U730" s="272"/>
      <c r="V730" s="272"/>
      <c r="W730" s="272"/>
      <c r="X730" s="272"/>
      <c r="Y730" s="272"/>
      <c r="Z730" s="272"/>
      <c r="AA730" s="272"/>
      <c r="AB730" s="272"/>
      <c r="AC730" s="272"/>
      <c r="AD730" s="272"/>
      <c r="AE730" s="272"/>
    </row>
    <row r="731" spans="15:31">
      <c r="O731" s="272"/>
      <c r="P731" s="272"/>
      <c r="Q731" s="272"/>
      <c r="R731" s="272"/>
      <c r="S731" s="272"/>
      <c r="T731" s="272"/>
      <c r="U731" s="272"/>
      <c r="V731" s="272"/>
      <c r="W731" s="272"/>
      <c r="X731" s="272"/>
      <c r="Y731" s="272"/>
      <c r="Z731" s="272"/>
      <c r="AA731" s="272"/>
      <c r="AB731" s="272"/>
      <c r="AC731" s="272"/>
      <c r="AD731" s="272"/>
      <c r="AE731" s="272"/>
    </row>
    <row r="732" spans="15:31">
      <c r="O732" s="272"/>
      <c r="P732" s="272"/>
      <c r="Q732" s="272"/>
      <c r="R732" s="272"/>
      <c r="S732" s="272"/>
      <c r="T732" s="272"/>
      <c r="U732" s="272"/>
      <c r="V732" s="272"/>
      <c r="W732" s="272"/>
      <c r="X732" s="272"/>
      <c r="Y732" s="272"/>
      <c r="Z732" s="272"/>
      <c r="AA732" s="272"/>
      <c r="AB732" s="272"/>
      <c r="AC732" s="272"/>
      <c r="AD732" s="272"/>
      <c r="AE732" s="272"/>
    </row>
    <row r="733" spans="15:31">
      <c r="O733" s="272"/>
      <c r="P733" s="272"/>
      <c r="Q733" s="272"/>
      <c r="R733" s="272"/>
      <c r="S733" s="272"/>
      <c r="T733" s="272"/>
      <c r="U733" s="272"/>
      <c r="V733" s="272"/>
      <c r="W733" s="272"/>
      <c r="X733" s="272"/>
      <c r="Y733" s="272"/>
      <c r="Z733" s="272"/>
      <c r="AA733" s="272"/>
      <c r="AB733" s="272"/>
      <c r="AC733" s="272"/>
      <c r="AD733" s="272"/>
      <c r="AE733" s="272"/>
    </row>
    <row r="734" spans="15:31">
      <c r="O734" s="272"/>
      <c r="P734" s="272"/>
      <c r="Q734" s="272"/>
      <c r="R734" s="272"/>
      <c r="S734" s="272"/>
      <c r="T734" s="272"/>
      <c r="U734" s="272"/>
      <c r="V734" s="272"/>
      <c r="W734" s="272"/>
      <c r="X734" s="272"/>
      <c r="Y734" s="272"/>
      <c r="Z734" s="272"/>
      <c r="AA734" s="272"/>
      <c r="AB734" s="272"/>
      <c r="AC734" s="272"/>
      <c r="AD734" s="272"/>
      <c r="AE734" s="272"/>
    </row>
    <row r="735" spans="15:31">
      <c r="O735" s="272"/>
      <c r="P735" s="272"/>
      <c r="Q735" s="272"/>
      <c r="R735" s="272"/>
      <c r="S735" s="272"/>
      <c r="T735" s="272"/>
      <c r="U735" s="272"/>
      <c r="V735" s="272"/>
      <c r="W735" s="272"/>
      <c r="X735" s="272"/>
      <c r="Y735" s="272"/>
      <c r="Z735" s="272"/>
      <c r="AA735" s="272"/>
      <c r="AB735" s="272"/>
      <c r="AC735" s="272"/>
      <c r="AD735" s="272"/>
      <c r="AE735" s="272"/>
    </row>
    <row r="736" spans="15:31">
      <c r="O736" s="272"/>
      <c r="P736" s="272"/>
      <c r="Q736" s="272"/>
      <c r="R736" s="272"/>
      <c r="S736" s="272"/>
      <c r="T736" s="272"/>
      <c r="U736" s="272"/>
      <c r="V736" s="272"/>
      <c r="W736" s="272"/>
      <c r="X736" s="272"/>
      <c r="Y736" s="272"/>
      <c r="Z736" s="272"/>
      <c r="AA736" s="272"/>
      <c r="AB736" s="272"/>
      <c r="AC736" s="272"/>
      <c r="AD736" s="272"/>
      <c r="AE736" s="272"/>
    </row>
    <row r="737" spans="15:31">
      <c r="O737" s="272"/>
      <c r="P737" s="272"/>
      <c r="Q737" s="272"/>
      <c r="R737" s="272"/>
      <c r="S737" s="272"/>
      <c r="T737" s="272"/>
      <c r="U737" s="272"/>
      <c r="V737" s="272"/>
      <c r="W737" s="272"/>
      <c r="X737" s="272"/>
      <c r="Y737" s="272"/>
      <c r="Z737" s="272"/>
      <c r="AA737" s="272"/>
      <c r="AB737" s="272"/>
      <c r="AC737" s="272"/>
      <c r="AD737" s="272"/>
      <c r="AE737" s="272"/>
    </row>
    <row r="738" spans="15:31">
      <c r="O738" s="272"/>
      <c r="P738" s="272"/>
      <c r="Q738" s="272"/>
      <c r="R738" s="272"/>
      <c r="S738" s="272"/>
      <c r="T738" s="272"/>
      <c r="U738" s="272"/>
      <c r="V738" s="272"/>
      <c r="W738" s="272"/>
      <c r="X738" s="272"/>
      <c r="Y738" s="272"/>
      <c r="Z738" s="272"/>
      <c r="AA738" s="272"/>
      <c r="AB738" s="272"/>
      <c r="AC738" s="272"/>
      <c r="AD738" s="272"/>
      <c r="AE738" s="272"/>
    </row>
    <row r="739" spans="15:31">
      <c r="O739" s="272"/>
      <c r="P739" s="272"/>
      <c r="Q739" s="272"/>
      <c r="R739" s="272"/>
      <c r="S739" s="272"/>
      <c r="T739" s="272"/>
      <c r="U739" s="272"/>
      <c r="V739" s="272"/>
      <c r="W739" s="272"/>
      <c r="X739" s="272"/>
      <c r="Y739" s="272"/>
      <c r="Z739" s="272"/>
      <c r="AA739" s="272"/>
      <c r="AB739" s="272"/>
      <c r="AC739" s="272"/>
      <c r="AD739" s="272"/>
      <c r="AE739" s="272"/>
    </row>
    <row r="740" spans="15:31">
      <c r="O740" s="272"/>
      <c r="P740" s="272"/>
      <c r="Q740" s="272"/>
      <c r="R740" s="272"/>
      <c r="S740" s="272"/>
      <c r="T740" s="272"/>
      <c r="U740" s="272"/>
      <c r="V740" s="272"/>
      <c r="W740" s="272"/>
      <c r="X740" s="272"/>
      <c r="Y740" s="272"/>
      <c r="Z740" s="272"/>
      <c r="AA740" s="272"/>
      <c r="AB740" s="272"/>
      <c r="AC740" s="272"/>
      <c r="AD740" s="272"/>
      <c r="AE740" s="272"/>
    </row>
    <row r="741" spans="15:31">
      <c r="O741" s="272"/>
      <c r="P741" s="272"/>
      <c r="Q741" s="272"/>
      <c r="R741" s="272"/>
      <c r="S741" s="272"/>
      <c r="T741" s="272"/>
      <c r="U741" s="272"/>
      <c r="V741" s="272"/>
      <c r="W741" s="272"/>
      <c r="X741" s="272"/>
      <c r="Y741" s="272"/>
      <c r="Z741" s="272"/>
      <c r="AA741" s="272"/>
      <c r="AB741" s="272"/>
      <c r="AC741" s="272"/>
      <c r="AD741" s="272"/>
      <c r="AE741" s="272"/>
    </row>
    <row r="742" spans="15:31">
      <c r="O742" s="272"/>
      <c r="P742" s="272"/>
      <c r="Q742" s="272"/>
      <c r="R742" s="272"/>
      <c r="S742" s="272"/>
      <c r="T742" s="272"/>
      <c r="U742" s="272"/>
      <c r="V742" s="272"/>
      <c r="W742" s="272"/>
      <c r="X742" s="272"/>
      <c r="Y742" s="272"/>
      <c r="Z742" s="272"/>
      <c r="AA742" s="272"/>
      <c r="AB742" s="272"/>
      <c r="AC742" s="272"/>
      <c r="AD742" s="272"/>
      <c r="AE742" s="272"/>
    </row>
    <row r="743" spans="15:31">
      <c r="O743" s="272"/>
      <c r="P743" s="272"/>
      <c r="Q743" s="272"/>
      <c r="R743" s="272"/>
      <c r="S743" s="272"/>
      <c r="T743" s="272"/>
      <c r="U743" s="272"/>
      <c r="V743" s="272"/>
      <c r="W743" s="272"/>
      <c r="X743" s="272"/>
      <c r="Y743" s="272"/>
      <c r="Z743" s="272"/>
      <c r="AA743" s="272"/>
      <c r="AB743" s="272"/>
      <c r="AC743" s="272"/>
      <c r="AD743" s="272"/>
      <c r="AE743" s="272"/>
    </row>
    <row r="744" spans="15:31">
      <c r="O744" s="272"/>
      <c r="P744" s="272"/>
      <c r="Q744" s="272"/>
      <c r="R744" s="272"/>
      <c r="S744" s="272"/>
      <c r="T744" s="272"/>
      <c r="U744" s="272"/>
      <c r="V744" s="272"/>
      <c r="W744" s="272"/>
      <c r="X744" s="272"/>
      <c r="Y744" s="272"/>
      <c r="Z744" s="272"/>
      <c r="AA744" s="272"/>
      <c r="AB744" s="272"/>
      <c r="AC744" s="272"/>
      <c r="AD744" s="272"/>
      <c r="AE744" s="272"/>
    </row>
    <row r="745" spans="15:31">
      <c r="O745" s="272"/>
      <c r="P745" s="272"/>
      <c r="Q745" s="272"/>
      <c r="R745" s="272"/>
      <c r="S745" s="272"/>
      <c r="T745" s="272"/>
      <c r="U745" s="272"/>
      <c r="V745" s="272"/>
      <c r="W745" s="272"/>
      <c r="X745" s="272"/>
      <c r="Y745" s="272"/>
      <c r="Z745" s="272"/>
      <c r="AA745" s="272"/>
      <c r="AB745" s="272"/>
      <c r="AC745" s="272"/>
      <c r="AD745" s="272"/>
      <c r="AE745" s="272"/>
    </row>
    <row r="746" spans="15:31">
      <c r="O746" s="272"/>
      <c r="P746" s="272"/>
      <c r="Q746" s="272"/>
      <c r="R746" s="272"/>
      <c r="S746" s="272"/>
      <c r="T746" s="272"/>
      <c r="U746" s="272"/>
      <c r="V746" s="272"/>
      <c r="W746" s="272"/>
      <c r="X746" s="272"/>
      <c r="Y746" s="272"/>
      <c r="Z746" s="272"/>
      <c r="AA746" s="272"/>
      <c r="AB746" s="272"/>
      <c r="AC746" s="272"/>
      <c r="AD746" s="272"/>
      <c r="AE746" s="272"/>
    </row>
    <row r="747" spans="15:31">
      <c r="O747" s="272"/>
      <c r="P747" s="272"/>
      <c r="Q747" s="272"/>
      <c r="R747" s="272"/>
      <c r="S747" s="272"/>
      <c r="T747" s="272"/>
      <c r="U747" s="272"/>
      <c r="V747" s="272"/>
      <c r="W747" s="272"/>
      <c r="X747" s="272"/>
      <c r="Y747" s="272"/>
      <c r="Z747" s="272"/>
      <c r="AA747" s="272"/>
      <c r="AB747" s="272"/>
      <c r="AC747" s="272"/>
      <c r="AD747" s="272"/>
      <c r="AE747" s="272"/>
    </row>
    <row r="748" spans="15:31">
      <c r="O748" s="272"/>
      <c r="P748" s="272"/>
      <c r="Q748" s="272"/>
      <c r="R748" s="272"/>
      <c r="S748" s="272"/>
      <c r="T748" s="272"/>
      <c r="U748" s="272"/>
      <c r="V748" s="272"/>
      <c r="W748" s="272"/>
      <c r="X748" s="272"/>
      <c r="Y748" s="272"/>
      <c r="Z748" s="272"/>
      <c r="AA748" s="272"/>
      <c r="AB748" s="272"/>
      <c r="AC748" s="272"/>
      <c r="AD748" s="272"/>
      <c r="AE748" s="272"/>
    </row>
    <row r="749" spans="15:31">
      <c r="O749" s="272"/>
      <c r="P749" s="272"/>
      <c r="Q749" s="272"/>
      <c r="R749" s="272"/>
      <c r="S749" s="272"/>
      <c r="T749" s="272"/>
      <c r="U749" s="272"/>
      <c r="V749" s="272"/>
      <c r="W749" s="272"/>
      <c r="X749" s="272"/>
      <c r="Y749" s="272"/>
      <c r="Z749" s="272"/>
      <c r="AA749" s="272"/>
      <c r="AB749" s="272"/>
      <c r="AC749" s="272"/>
      <c r="AD749" s="272"/>
      <c r="AE749" s="272"/>
    </row>
    <row r="750" spans="15:31">
      <c r="O750" s="272"/>
      <c r="P750" s="272"/>
      <c r="Q750" s="272"/>
      <c r="R750" s="272"/>
      <c r="S750" s="272"/>
      <c r="T750" s="272"/>
      <c r="U750" s="272"/>
      <c r="V750" s="272"/>
      <c r="W750" s="272"/>
      <c r="X750" s="272"/>
      <c r="Y750" s="272"/>
      <c r="Z750" s="272"/>
      <c r="AA750" s="272"/>
      <c r="AB750" s="272"/>
      <c r="AC750" s="272"/>
      <c r="AD750" s="272"/>
      <c r="AE750" s="272"/>
    </row>
    <row r="751" spans="15:31">
      <c r="O751" s="272"/>
      <c r="P751" s="272"/>
      <c r="Q751" s="272"/>
      <c r="R751" s="272"/>
      <c r="S751" s="272"/>
      <c r="T751" s="272"/>
      <c r="U751" s="272"/>
      <c r="V751" s="272"/>
      <c r="W751" s="272"/>
      <c r="X751" s="272"/>
      <c r="Y751" s="272"/>
      <c r="Z751" s="272"/>
      <c r="AA751" s="272"/>
      <c r="AB751" s="272"/>
      <c r="AC751" s="272"/>
      <c r="AD751" s="272"/>
      <c r="AE751" s="272"/>
    </row>
    <row r="752" spans="15:31">
      <c r="O752" s="272"/>
      <c r="P752" s="272"/>
      <c r="Q752" s="272"/>
      <c r="R752" s="272"/>
      <c r="S752" s="272"/>
      <c r="T752" s="272"/>
      <c r="U752" s="272"/>
      <c r="V752" s="272"/>
      <c r="W752" s="272"/>
      <c r="X752" s="272"/>
      <c r="Y752" s="272"/>
      <c r="Z752" s="272"/>
      <c r="AA752" s="272"/>
      <c r="AB752" s="272"/>
      <c r="AC752" s="272"/>
      <c r="AD752" s="272"/>
      <c r="AE752" s="272"/>
    </row>
    <row r="753" spans="15:31">
      <c r="O753" s="272"/>
      <c r="P753" s="272"/>
      <c r="Q753" s="272"/>
      <c r="R753" s="272"/>
      <c r="S753" s="272"/>
      <c r="T753" s="272"/>
      <c r="U753" s="272"/>
      <c r="V753" s="272"/>
      <c r="W753" s="272"/>
      <c r="X753" s="272"/>
      <c r="Y753" s="272"/>
      <c r="Z753" s="272"/>
      <c r="AA753" s="272"/>
      <c r="AB753" s="272"/>
      <c r="AC753" s="272"/>
      <c r="AD753" s="272"/>
      <c r="AE753" s="272"/>
    </row>
    <row r="754" spans="15:31">
      <c r="O754" s="272"/>
      <c r="P754" s="272"/>
      <c r="Q754" s="272"/>
      <c r="R754" s="272"/>
      <c r="S754" s="272"/>
      <c r="T754" s="272"/>
      <c r="U754" s="272"/>
      <c r="V754" s="272"/>
      <c r="W754" s="272"/>
      <c r="X754" s="272"/>
      <c r="Y754" s="272"/>
      <c r="Z754" s="272"/>
      <c r="AA754" s="272"/>
      <c r="AB754" s="272"/>
      <c r="AC754" s="272"/>
      <c r="AD754" s="272"/>
      <c r="AE754" s="272"/>
    </row>
    <row r="755" spans="15:31">
      <c r="O755" s="272"/>
      <c r="P755" s="272"/>
      <c r="Q755" s="272"/>
      <c r="R755" s="272"/>
      <c r="S755" s="272"/>
      <c r="T755" s="272"/>
      <c r="U755" s="272"/>
      <c r="V755" s="272"/>
      <c r="W755" s="272"/>
      <c r="X755" s="272"/>
      <c r="Y755" s="272"/>
      <c r="Z755" s="272"/>
      <c r="AA755" s="272"/>
      <c r="AB755" s="272"/>
      <c r="AC755" s="272"/>
      <c r="AD755" s="272"/>
      <c r="AE755" s="272"/>
    </row>
    <row r="756" spans="15:31">
      <c r="O756" s="272"/>
      <c r="P756" s="272"/>
      <c r="Q756" s="272"/>
      <c r="R756" s="272"/>
      <c r="S756" s="272"/>
      <c r="T756" s="272"/>
      <c r="U756" s="272"/>
      <c r="V756" s="272"/>
      <c r="W756" s="272"/>
      <c r="X756" s="272"/>
      <c r="Y756" s="272"/>
      <c r="Z756" s="272"/>
      <c r="AA756" s="272"/>
      <c r="AB756" s="272"/>
      <c r="AC756" s="272"/>
      <c r="AD756" s="272"/>
      <c r="AE756" s="272"/>
    </row>
    <row r="757" spans="15:31">
      <c r="O757" s="272"/>
      <c r="P757" s="272"/>
      <c r="Q757" s="272"/>
      <c r="R757" s="272"/>
      <c r="S757" s="272"/>
      <c r="T757" s="272"/>
      <c r="U757" s="272"/>
      <c r="V757" s="272"/>
      <c r="W757" s="272"/>
      <c r="X757" s="272"/>
      <c r="Y757" s="272"/>
      <c r="Z757" s="272"/>
      <c r="AA757" s="272"/>
      <c r="AB757" s="272"/>
      <c r="AC757" s="272"/>
      <c r="AD757" s="272"/>
      <c r="AE757" s="272"/>
    </row>
    <row r="758" spans="15:31">
      <c r="O758" s="272"/>
      <c r="P758" s="272"/>
      <c r="Q758" s="272"/>
      <c r="R758" s="272"/>
      <c r="S758" s="272"/>
      <c r="T758" s="272"/>
      <c r="U758" s="272"/>
      <c r="V758" s="272"/>
      <c r="W758" s="272"/>
      <c r="X758" s="272"/>
      <c r="Y758" s="272"/>
      <c r="Z758" s="272"/>
      <c r="AA758" s="272"/>
      <c r="AB758" s="272"/>
      <c r="AC758" s="272"/>
      <c r="AD758" s="272"/>
      <c r="AE758" s="272"/>
    </row>
    <row r="759" spans="15:31">
      <c r="O759" s="272"/>
      <c r="P759" s="272"/>
      <c r="Q759" s="272"/>
      <c r="R759" s="272"/>
      <c r="S759" s="272"/>
      <c r="T759" s="272"/>
      <c r="U759" s="272"/>
      <c r="V759" s="272"/>
      <c r="W759" s="272"/>
      <c r="X759" s="272"/>
      <c r="Y759" s="272"/>
      <c r="Z759" s="272"/>
      <c r="AA759" s="272"/>
      <c r="AB759" s="272"/>
      <c r="AC759" s="272"/>
      <c r="AD759" s="272"/>
      <c r="AE759" s="272"/>
    </row>
    <row r="760" spans="15:31">
      <c r="O760" s="272"/>
      <c r="P760" s="272"/>
      <c r="Q760" s="272"/>
      <c r="R760" s="272"/>
      <c r="S760" s="272"/>
      <c r="T760" s="272"/>
      <c r="U760" s="272"/>
      <c r="V760" s="272"/>
      <c r="W760" s="272"/>
      <c r="X760" s="272"/>
      <c r="Y760" s="272"/>
      <c r="Z760" s="272"/>
      <c r="AA760" s="272"/>
      <c r="AB760" s="272"/>
      <c r="AC760" s="272"/>
      <c r="AD760" s="272"/>
      <c r="AE760" s="272"/>
    </row>
    <row r="761" spans="15:31">
      <c r="O761" s="272"/>
      <c r="P761" s="272"/>
      <c r="Q761" s="272"/>
      <c r="R761" s="272"/>
      <c r="S761" s="272"/>
      <c r="T761" s="272"/>
      <c r="U761" s="272"/>
      <c r="V761" s="272"/>
      <c r="W761" s="272"/>
      <c r="X761" s="272"/>
      <c r="Y761" s="272"/>
      <c r="Z761" s="272"/>
      <c r="AA761" s="272"/>
      <c r="AB761" s="272"/>
      <c r="AC761" s="272"/>
      <c r="AD761" s="272"/>
      <c r="AE761" s="272"/>
    </row>
    <row r="762" spans="15:31">
      <c r="O762" s="272"/>
      <c r="P762" s="272"/>
      <c r="Q762" s="272"/>
      <c r="R762" s="272"/>
      <c r="S762" s="272"/>
      <c r="T762" s="272"/>
      <c r="U762" s="272"/>
      <c r="V762" s="272"/>
      <c r="W762" s="272"/>
      <c r="X762" s="272"/>
      <c r="Y762" s="272"/>
      <c r="Z762" s="272"/>
      <c r="AA762" s="272"/>
      <c r="AB762" s="272"/>
      <c r="AC762" s="272"/>
      <c r="AD762" s="272"/>
      <c r="AE762" s="272"/>
    </row>
    <row r="763" spans="15:31">
      <c r="O763" s="272"/>
      <c r="P763" s="272"/>
      <c r="Q763" s="272"/>
      <c r="R763" s="272"/>
      <c r="S763" s="272"/>
      <c r="T763" s="272"/>
      <c r="U763" s="272"/>
      <c r="V763" s="272"/>
      <c r="W763" s="272"/>
      <c r="X763" s="272"/>
      <c r="Y763" s="272"/>
      <c r="Z763" s="272"/>
      <c r="AA763" s="272"/>
      <c r="AB763" s="272"/>
      <c r="AC763" s="272"/>
      <c r="AD763" s="272"/>
      <c r="AE763" s="272"/>
    </row>
    <row r="764" spans="15:31">
      <c r="O764" s="272"/>
      <c r="P764" s="272"/>
      <c r="Q764" s="272"/>
      <c r="R764" s="272"/>
      <c r="S764" s="272"/>
      <c r="T764" s="272"/>
      <c r="U764" s="272"/>
      <c r="V764" s="272"/>
      <c r="W764" s="272"/>
      <c r="X764" s="272"/>
      <c r="Y764" s="272"/>
      <c r="Z764" s="272"/>
      <c r="AA764" s="272"/>
      <c r="AB764" s="272"/>
      <c r="AC764" s="272"/>
      <c r="AD764" s="272"/>
      <c r="AE764" s="272"/>
    </row>
    <row r="765" spans="15:31">
      <c r="O765" s="272"/>
      <c r="P765" s="272"/>
      <c r="Q765" s="272"/>
      <c r="R765" s="272"/>
      <c r="S765" s="272"/>
      <c r="T765" s="272"/>
      <c r="U765" s="272"/>
      <c r="V765" s="272"/>
      <c r="W765" s="272"/>
      <c r="X765" s="272"/>
      <c r="Y765" s="272"/>
      <c r="Z765" s="272"/>
      <c r="AA765" s="272"/>
      <c r="AB765" s="272"/>
      <c r="AC765" s="272"/>
      <c r="AD765" s="272"/>
      <c r="AE765" s="272"/>
    </row>
    <row r="766" spans="15:31">
      <c r="O766" s="272"/>
      <c r="P766" s="272"/>
      <c r="Q766" s="272"/>
      <c r="R766" s="272"/>
      <c r="S766" s="272"/>
      <c r="T766" s="272"/>
      <c r="U766" s="272"/>
      <c r="V766" s="272"/>
      <c r="W766" s="272"/>
      <c r="X766" s="272"/>
      <c r="Y766" s="272"/>
      <c r="Z766" s="272"/>
      <c r="AA766" s="272"/>
      <c r="AB766" s="272"/>
      <c r="AC766" s="272"/>
      <c r="AD766" s="272"/>
      <c r="AE766" s="272"/>
    </row>
    <row r="767" spans="15:31">
      <c r="O767" s="272"/>
      <c r="P767" s="272"/>
      <c r="Q767" s="272"/>
      <c r="R767" s="272"/>
      <c r="S767" s="272"/>
      <c r="T767" s="272"/>
      <c r="U767" s="272"/>
      <c r="V767" s="272"/>
      <c r="W767" s="272"/>
      <c r="X767" s="272"/>
      <c r="Y767" s="272"/>
      <c r="Z767" s="272"/>
      <c r="AA767" s="272"/>
      <c r="AB767" s="272"/>
      <c r="AC767" s="272"/>
      <c r="AD767" s="272"/>
      <c r="AE767" s="272"/>
    </row>
    <row r="768" spans="15:31">
      <c r="O768" s="272"/>
      <c r="P768" s="272"/>
      <c r="Q768" s="272"/>
      <c r="R768" s="272"/>
      <c r="S768" s="272"/>
      <c r="T768" s="272"/>
      <c r="U768" s="272"/>
      <c r="V768" s="272"/>
      <c r="W768" s="272"/>
      <c r="X768" s="272"/>
      <c r="Y768" s="272"/>
      <c r="Z768" s="272"/>
      <c r="AA768" s="272"/>
      <c r="AB768" s="272"/>
      <c r="AC768" s="272"/>
      <c r="AD768" s="272"/>
      <c r="AE768" s="272"/>
    </row>
    <row r="769" spans="15:31">
      <c r="O769" s="272"/>
      <c r="P769" s="272"/>
      <c r="Q769" s="272"/>
      <c r="R769" s="272"/>
      <c r="S769" s="272"/>
      <c r="T769" s="272"/>
      <c r="U769" s="272"/>
      <c r="V769" s="272"/>
      <c r="W769" s="272"/>
      <c r="X769" s="272"/>
      <c r="Y769" s="272"/>
      <c r="Z769" s="272"/>
      <c r="AA769" s="272"/>
      <c r="AB769" s="272"/>
      <c r="AC769" s="272"/>
      <c r="AD769" s="272"/>
      <c r="AE769" s="272"/>
    </row>
    <row r="770" spans="15:31">
      <c r="O770" s="272"/>
      <c r="P770" s="272"/>
      <c r="Q770" s="272"/>
      <c r="R770" s="272"/>
      <c r="S770" s="272"/>
      <c r="T770" s="272"/>
      <c r="U770" s="272"/>
      <c r="V770" s="272"/>
      <c r="W770" s="272"/>
      <c r="X770" s="272"/>
      <c r="Y770" s="272"/>
      <c r="Z770" s="272"/>
      <c r="AA770" s="272"/>
      <c r="AB770" s="272"/>
      <c r="AC770" s="272"/>
      <c r="AD770" s="272"/>
      <c r="AE770" s="272"/>
    </row>
    <row r="771" spans="15:31">
      <c r="O771" s="272"/>
      <c r="P771" s="272"/>
      <c r="Q771" s="272"/>
      <c r="R771" s="272"/>
      <c r="S771" s="272"/>
      <c r="T771" s="272"/>
      <c r="U771" s="272"/>
      <c r="V771" s="272"/>
      <c r="W771" s="272"/>
      <c r="X771" s="272"/>
      <c r="Y771" s="272"/>
      <c r="Z771" s="272"/>
      <c r="AA771" s="272"/>
      <c r="AB771" s="272"/>
      <c r="AC771" s="272"/>
      <c r="AD771" s="272"/>
      <c r="AE771" s="272"/>
    </row>
    <row r="772" spans="15:31">
      <c r="O772" s="272"/>
      <c r="P772" s="272"/>
      <c r="Q772" s="272"/>
      <c r="R772" s="272"/>
      <c r="S772" s="272"/>
      <c r="T772" s="272"/>
      <c r="U772" s="272"/>
      <c r="V772" s="272"/>
      <c r="W772" s="272"/>
      <c r="X772" s="272"/>
      <c r="Y772" s="272"/>
      <c r="Z772" s="272"/>
      <c r="AA772" s="272"/>
      <c r="AB772" s="272"/>
      <c r="AC772" s="272"/>
      <c r="AD772" s="272"/>
      <c r="AE772" s="272"/>
    </row>
    <row r="773" spans="15:31">
      <c r="O773" s="272"/>
      <c r="P773" s="272"/>
      <c r="Q773" s="272"/>
      <c r="R773" s="272"/>
      <c r="S773" s="272"/>
      <c r="T773" s="272"/>
      <c r="U773" s="272"/>
      <c r="V773" s="272"/>
      <c r="W773" s="272"/>
      <c r="X773" s="272"/>
      <c r="Y773" s="272"/>
      <c r="Z773" s="272"/>
      <c r="AA773" s="272"/>
      <c r="AB773" s="272"/>
      <c r="AC773" s="272"/>
      <c r="AD773" s="272"/>
      <c r="AE773" s="272"/>
    </row>
    <row r="774" spans="15:31">
      <c r="O774" s="272"/>
      <c r="P774" s="272"/>
      <c r="Q774" s="272"/>
      <c r="R774" s="272"/>
      <c r="S774" s="272"/>
      <c r="T774" s="272"/>
      <c r="U774" s="272"/>
      <c r="V774" s="272"/>
      <c r="W774" s="272"/>
      <c r="X774" s="272"/>
      <c r="Y774" s="272"/>
      <c r="Z774" s="272"/>
      <c r="AA774" s="272"/>
      <c r="AB774" s="272"/>
      <c r="AC774" s="272"/>
      <c r="AD774" s="272"/>
      <c r="AE774" s="272"/>
    </row>
    <row r="775" spans="15:31">
      <c r="O775" s="272"/>
      <c r="P775" s="272"/>
      <c r="Q775" s="272"/>
      <c r="R775" s="272"/>
      <c r="S775" s="272"/>
      <c r="T775" s="272"/>
      <c r="U775" s="272"/>
      <c r="V775" s="272"/>
      <c r="W775" s="272"/>
      <c r="X775" s="272"/>
      <c r="Y775" s="272"/>
      <c r="Z775" s="272"/>
      <c r="AA775" s="272"/>
      <c r="AB775" s="272"/>
      <c r="AC775" s="272"/>
      <c r="AD775" s="272"/>
      <c r="AE775" s="272"/>
    </row>
    <row r="776" spans="15:31">
      <c r="O776" s="272"/>
      <c r="P776" s="272"/>
      <c r="Q776" s="272"/>
      <c r="R776" s="272"/>
      <c r="S776" s="272"/>
      <c r="T776" s="272"/>
      <c r="U776" s="272"/>
      <c r="V776" s="272"/>
      <c r="W776" s="272"/>
      <c r="X776" s="272"/>
      <c r="Y776" s="272"/>
      <c r="Z776" s="272"/>
      <c r="AA776" s="272"/>
      <c r="AB776" s="272"/>
      <c r="AC776" s="272"/>
      <c r="AD776" s="272"/>
      <c r="AE776" s="272"/>
    </row>
    <row r="777" spans="15:31">
      <c r="O777" s="272"/>
      <c r="P777" s="272"/>
      <c r="Q777" s="272"/>
      <c r="R777" s="272"/>
      <c r="S777" s="272"/>
      <c r="T777" s="272"/>
      <c r="U777" s="272"/>
      <c r="V777" s="272"/>
      <c r="W777" s="272"/>
      <c r="X777" s="272"/>
      <c r="Y777" s="272"/>
      <c r="Z777" s="272"/>
      <c r="AA777" s="272"/>
      <c r="AB777" s="272"/>
      <c r="AC777" s="272"/>
      <c r="AD777" s="272"/>
      <c r="AE777" s="272"/>
    </row>
    <row r="778" spans="15:31">
      <c r="O778" s="272"/>
      <c r="P778" s="272"/>
      <c r="Q778" s="272"/>
      <c r="R778" s="272"/>
      <c r="S778" s="272"/>
      <c r="T778" s="272"/>
      <c r="U778" s="272"/>
      <c r="V778" s="272"/>
      <c r="W778" s="272"/>
      <c r="X778" s="272"/>
      <c r="Y778" s="272"/>
      <c r="Z778" s="272"/>
      <c r="AA778" s="272"/>
      <c r="AB778" s="272"/>
      <c r="AC778" s="272"/>
      <c r="AD778" s="272"/>
      <c r="AE778" s="272"/>
    </row>
    <row r="779" spans="15:31">
      <c r="O779" s="272"/>
      <c r="P779" s="272"/>
      <c r="Q779" s="272"/>
      <c r="R779" s="272"/>
      <c r="S779" s="272"/>
      <c r="T779" s="272"/>
      <c r="U779" s="272"/>
      <c r="V779" s="272"/>
      <c r="W779" s="272"/>
      <c r="X779" s="272"/>
      <c r="Y779" s="272"/>
      <c r="Z779" s="272"/>
      <c r="AA779" s="272"/>
      <c r="AB779" s="272"/>
      <c r="AC779" s="272"/>
      <c r="AD779" s="272"/>
      <c r="AE779" s="272"/>
    </row>
    <row r="780" spans="15:31">
      <c r="O780" s="272"/>
      <c r="P780" s="272"/>
      <c r="Q780" s="272"/>
      <c r="R780" s="272"/>
      <c r="S780" s="272"/>
      <c r="T780" s="272"/>
      <c r="U780" s="272"/>
      <c r="V780" s="272"/>
      <c r="W780" s="272"/>
      <c r="X780" s="272"/>
      <c r="Y780" s="272"/>
      <c r="Z780" s="272"/>
      <c r="AA780" s="272"/>
      <c r="AB780" s="272"/>
      <c r="AC780" s="272"/>
      <c r="AD780" s="272"/>
      <c r="AE780" s="272"/>
    </row>
    <row r="781" spans="15:31">
      <c r="O781" s="272"/>
      <c r="P781" s="272"/>
      <c r="Q781" s="272"/>
      <c r="R781" s="272"/>
      <c r="S781" s="272"/>
      <c r="T781" s="272"/>
      <c r="U781" s="272"/>
      <c r="V781" s="272"/>
      <c r="W781" s="272"/>
      <c r="X781" s="272"/>
      <c r="Y781" s="272"/>
      <c r="Z781" s="272"/>
      <c r="AA781" s="272"/>
      <c r="AB781" s="272"/>
      <c r="AC781" s="272"/>
      <c r="AD781" s="272"/>
      <c r="AE781" s="272"/>
    </row>
    <row r="782" spans="15:31">
      <c r="O782" s="272"/>
      <c r="P782" s="272"/>
      <c r="Q782" s="272"/>
      <c r="R782" s="272"/>
      <c r="S782" s="272"/>
      <c r="T782" s="272"/>
      <c r="U782" s="272"/>
      <c r="V782" s="272"/>
      <c r="W782" s="272"/>
      <c r="X782" s="272"/>
      <c r="Y782" s="272"/>
      <c r="Z782" s="272"/>
      <c r="AA782" s="272"/>
      <c r="AB782" s="272"/>
      <c r="AC782" s="272"/>
      <c r="AD782" s="272"/>
      <c r="AE782" s="272"/>
    </row>
    <row r="783" spans="15:31">
      <c r="O783" s="272"/>
      <c r="P783" s="272"/>
      <c r="Q783" s="272"/>
      <c r="R783" s="272"/>
      <c r="S783" s="272"/>
      <c r="T783" s="272"/>
      <c r="U783" s="272"/>
      <c r="V783" s="272"/>
      <c r="W783" s="272"/>
      <c r="X783" s="272"/>
      <c r="Y783" s="272"/>
      <c r="Z783" s="272"/>
      <c r="AA783" s="272"/>
      <c r="AB783" s="272"/>
      <c r="AC783" s="272"/>
      <c r="AD783" s="272"/>
      <c r="AE783" s="272"/>
    </row>
    <row r="784" spans="15:31">
      <c r="O784" s="272"/>
      <c r="P784" s="272"/>
      <c r="Q784" s="272"/>
      <c r="R784" s="272"/>
      <c r="S784" s="272"/>
      <c r="T784" s="272"/>
      <c r="U784" s="272"/>
      <c r="V784" s="272"/>
      <c r="W784" s="272"/>
      <c r="X784" s="272"/>
      <c r="Y784" s="272"/>
      <c r="Z784" s="272"/>
      <c r="AA784" s="272"/>
      <c r="AB784" s="272"/>
      <c r="AC784" s="272"/>
      <c r="AD784" s="272"/>
      <c r="AE784" s="272"/>
    </row>
    <row r="785" spans="15:31">
      <c r="O785" s="272"/>
      <c r="P785" s="272"/>
      <c r="Q785" s="272"/>
      <c r="R785" s="272"/>
      <c r="S785" s="272"/>
      <c r="T785" s="272"/>
      <c r="U785" s="272"/>
      <c r="V785" s="272"/>
      <c r="W785" s="272"/>
      <c r="X785" s="272"/>
      <c r="Y785" s="272"/>
      <c r="Z785" s="272"/>
      <c r="AA785" s="272"/>
      <c r="AB785" s="272"/>
      <c r="AC785" s="272"/>
      <c r="AD785" s="272"/>
      <c r="AE785" s="272"/>
    </row>
    <row r="786" spans="15:31">
      <c r="O786" s="272"/>
      <c r="P786" s="272"/>
      <c r="Q786" s="272"/>
      <c r="R786" s="272"/>
      <c r="S786" s="272"/>
      <c r="T786" s="272"/>
      <c r="U786" s="272"/>
      <c r="V786" s="272"/>
      <c r="W786" s="272"/>
      <c r="X786" s="272"/>
      <c r="Y786" s="272"/>
      <c r="Z786" s="272"/>
      <c r="AA786" s="272"/>
      <c r="AB786" s="272"/>
      <c r="AC786" s="272"/>
      <c r="AD786" s="272"/>
      <c r="AE786" s="272"/>
    </row>
    <row r="787" spans="15:31">
      <c r="O787" s="272"/>
      <c r="P787" s="272"/>
      <c r="Q787" s="272"/>
      <c r="R787" s="272"/>
      <c r="S787" s="272"/>
      <c r="T787" s="272"/>
      <c r="U787" s="272"/>
      <c r="V787" s="272"/>
      <c r="W787" s="272"/>
      <c r="X787" s="272"/>
      <c r="Y787" s="272"/>
      <c r="Z787" s="272"/>
      <c r="AA787" s="272"/>
      <c r="AB787" s="272"/>
      <c r="AC787" s="272"/>
      <c r="AD787" s="272"/>
      <c r="AE787" s="272"/>
    </row>
    <row r="788" spans="15:31">
      <c r="O788" s="272"/>
      <c r="P788" s="272"/>
      <c r="Q788" s="272"/>
      <c r="R788" s="272"/>
      <c r="S788" s="272"/>
      <c r="T788" s="272"/>
      <c r="U788" s="272"/>
      <c r="V788" s="272"/>
      <c r="W788" s="272"/>
      <c r="X788" s="272"/>
      <c r="Y788" s="272"/>
      <c r="Z788" s="272"/>
      <c r="AA788" s="272"/>
      <c r="AB788" s="272"/>
      <c r="AC788" s="272"/>
      <c r="AD788" s="272"/>
      <c r="AE788" s="272"/>
    </row>
    <row r="789" spans="15:31">
      <c r="O789" s="272"/>
      <c r="P789" s="272"/>
      <c r="Q789" s="272"/>
      <c r="R789" s="272"/>
      <c r="S789" s="272"/>
      <c r="T789" s="272"/>
      <c r="U789" s="272"/>
      <c r="V789" s="272"/>
      <c r="W789" s="272"/>
      <c r="X789" s="272"/>
      <c r="Y789" s="272"/>
      <c r="Z789" s="272"/>
      <c r="AA789" s="272"/>
      <c r="AB789" s="272"/>
      <c r="AC789" s="272"/>
      <c r="AD789" s="272"/>
      <c r="AE789" s="272"/>
    </row>
    <row r="790" spans="15:31">
      <c r="O790" s="272"/>
      <c r="P790" s="272"/>
      <c r="Q790" s="272"/>
      <c r="R790" s="272"/>
      <c r="S790" s="272"/>
      <c r="T790" s="272"/>
      <c r="U790" s="272"/>
      <c r="V790" s="272"/>
      <c r="W790" s="272"/>
      <c r="X790" s="272"/>
      <c r="Y790" s="272"/>
      <c r="Z790" s="272"/>
      <c r="AA790" s="272"/>
      <c r="AB790" s="272"/>
      <c r="AC790" s="272"/>
      <c r="AD790" s="272"/>
      <c r="AE790" s="272"/>
    </row>
    <row r="791" spans="15:31">
      <c r="O791" s="272"/>
      <c r="P791" s="272"/>
      <c r="Q791" s="272"/>
      <c r="R791" s="272"/>
      <c r="S791" s="272"/>
      <c r="T791" s="272"/>
      <c r="U791" s="272"/>
      <c r="V791" s="272"/>
      <c r="W791" s="272"/>
      <c r="X791" s="272"/>
      <c r="Y791" s="272"/>
      <c r="Z791" s="272"/>
      <c r="AA791" s="272"/>
      <c r="AB791" s="272"/>
      <c r="AC791" s="272"/>
      <c r="AD791" s="272"/>
      <c r="AE791" s="272"/>
    </row>
    <row r="792" spans="15:31">
      <c r="O792" s="272"/>
      <c r="P792" s="272"/>
      <c r="Q792" s="272"/>
      <c r="R792" s="272"/>
      <c r="S792" s="272"/>
      <c r="T792" s="272"/>
      <c r="U792" s="272"/>
      <c r="V792" s="272"/>
      <c r="W792" s="272"/>
      <c r="X792" s="272"/>
      <c r="Y792" s="272"/>
      <c r="Z792" s="272"/>
      <c r="AA792" s="272"/>
      <c r="AB792" s="272"/>
      <c r="AC792" s="272"/>
      <c r="AD792" s="272"/>
      <c r="AE792" s="272"/>
    </row>
    <row r="793" spans="15:31">
      <c r="O793" s="272"/>
      <c r="P793" s="272"/>
      <c r="Q793" s="272"/>
      <c r="R793" s="272"/>
      <c r="S793" s="272"/>
      <c r="T793" s="272"/>
      <c r="U793" s="272"/>
      <c r="V793" s="272"/>
      <c r="W793" s="272"/>
      <c r="X793" s="272"/>
      <c r="Y793" s="272"/>
      <c r="Z793" s="272"/>
      <c r="AA793" s="272"/>
      <c r="AB793" s="272"/>
      <c r="AC793" s="272"/>
      <c r="AD793" s="272"/>
      <c r="AE793" s="272"/>
    </row>
    <row r="794" spans="15:31">
      <c r="O794" s="272"/>
      <c r="P794" s="272"/>
      <c r="Q794" s="272"/>
      <c r="R794" s="272"/>
      <c r="S794" s="272"/>
      <c r="T794" s="272"/>
      <c r="U794" s="272"/>
      <c r="V794" s="272"/>
      <c r="W794" s="272"/>
      <c r="X794" s="272"/>
      <c r="Y794" s="272"/>
      <c r="Z794" s="272"/>
      <c r="AA794" s="272"/>
      <c r="AB794" s="272"/>
      <c r="AC794" s="272"/>
      <c r="AD794" s="272"/>
      <c r="AE794" s="272"/>
    </row>
    <row r="795" spans="15:31">
      <c r="O795" s="272"/>
      <c r="P795" s="272"/>
      <c r="Q795" s="272"/>
      <c r="R795" s="272"/>
      <c r="S795" s="272"/>
      <c r="T795" s="272"/>
      <c r="U795" s="272"/>
      <c r="V795" s="272"/>
      <c r="W795" s="272"/>
      <c r="X795" s="272"/>
      <c r="Y795" s="272"/>
      <c r="Z795" s="272"/>
      <c r="AA795" s="272"/>
      <c r="AB795" s="272"/>
      <c r="AC795" s="272"/>
      <c r="AD795" s="272"/>
      <c r="AE795" s="272"/>
    </row>
    <row r="796" spans="15:31">
      <c r="O796" s="272"/>
      <c r="P796" s="272"/>
      <c r="Q796" s="272"/>
      <c r="R796" s="272"/>
      <c r="S796" s="272"/>
      <c r="T796" s="272"/>
      <c r="U796" s="272"/>
      <c r="V796" s="272"/>
      <c r="W796" s="272"/>
      <c r="X796" s="272"/>
      <c r="Y796" s="272"/>
      <c r="Z796" s="272"/>
      <c r="AA796" s="272"/>
      <c r="AB796" s="272"/>
      <c r="AC796" s="272"/>
      <c r="AD796" s="272"/>
      <c r="AE796" s="272"/>
    </row>
    <row r="797" spans="15:31">
      <c r="O797" s="272"/>
      <c r="P797" s="272"/>
      <c r="Q797" s="272"/>
      <c r="R797" s="272"/>
      <c r="S797" s="272"/>
      <c r="T797" s="272"/>
      <c r="U797" s="272"/>
      <c r="V797" s="272"/>
      <c r="W797" s="272"/>
      <c r="X797" s="272"/>
      <c r="Y797" s="272"/>
      <c r="Z797" s="272"/>
      <c r="AA797" s="272"/>
      <c r="AB797" s="272"/>
      <c r="AC797" s="272"/>
      <c r="AD797" s="272"/>
      <c r="AE797" s="272"/>
    </row>
    <row r="798" spans="15:31">
      <c r="O798" s="272"/>
      <c r="P798" s="272"/>
      <c r="Q798" s="272"/>
      <c r="R798" s="272"/>
      <c r="S798" s="272"/>
      <c r="T798" s="272"/>
      <c r="U798" s="272"/>
      <c r="V798" s="272"/>
      <c r="W798" s="272"/>
      <c r="X798" s="272"/>
      <c r="Y798" s="272"/>
      <c r="Z798" s="272"/>
      <c r="AA798" s="272"/>
      <c r="AB798" s="272"/>
      <c r="AC798" s="272"/>
      <c r="AD798" s="272"/>
      <c r="AE798" s="272"/>
    </row>
    <row r="799" spans="15:31">
      <c r="O799" s="272"/>
      <c r="P799" s="272"/>
      <c r="Q799" s="272"/>
      <c r="R799" s="272"/>
      <c r="S799" s="272"/>
      <c r="T799" s="272"/>
      <c r="U799" s="272"/>
      <c r="V799" s="272"/>
      <c r="W799" s="272"/>
      <c r="X799" s="272"/>
      <c r="Y799" s="272"/>
      <c r="Z799" s="272"/>
      <c r="AA799" s="272"/>
      <c r="AB799" s="272"/>
      <c r="AC799" s="272"/>
      <c r="AD799" s="272"/>
      <c r="AE799" s="272"/>
    </row>
    <row r="800" spans="15:31">
      <c r="O800" s="272"/>
      <c r="P800" s="272"/>
      <c r="Q800" s="272"/>
      <c r="R800" s="272"/>
      <c r="S800" s="272"/>
      <c r="T800" s="272"/>
      <c r="U800" s="272"/>
      <c r="V800" s="272"/>
      <c r="W800" s="272"/>
      <c r="X800" s="272"/>
      <c r="Y800" s="272"/>
      <c r="Z800" s="272"/>
      <c r="AA800" s="272"/>
      <c r="AB800" s="272"/>
      <c r="AC800" s="272"/>
      <c r="AD800" s="272"/>
      <c r="AE800" s="272"/>
    </row>
    <row r="801" spans="15:31">
      <c r="O801" s="272"/>
      <c r="P801" s="272"/>
      <c r="Q801" s="272"/>
      <c r="R801" s="272"/>
      <c r="S801" s="272"/>
      <c r="T801" s="272"/>
      <c r="U801" s="272"/>
      <c r="V801" s="272"/>
      <c r="W801" s="272"/>
      <c r="X801" s="272"/>
      <c r="Y801" s="272"/>
      <c r="Z801" s="272"/>
      <c r="AA801" s="272"/>
      <c r="AB801" s="272"/>
      <c r="AC801" s="272"/>
      <c r="AD801" s="272"/>
      <c r="AE801" s="272"/>
    </row>
    <row r="802" spans="15:31">
      <c r="O802" s="272"/>
      <c r="P802" s="272"/>
      <c r="Q802" s="272"/>
      <c r="R802" s="272"/>
      <c r="S802" s="272"/>
      <c r="T802" s="272"/>
      <c r="U802" s="272"/>
      <c r="V802" s="272"/>
      <c r="W802" s="272"/>
      <c r="X802" s="272"/>
      <c r="Y802" s="272"/>
      <c r="Z802" s="272"/>
      <c r="AA802" s="272"/>
      <c r="AB802" s="272"/>
      <c r="AC802" s="272"/>
      <c r="AD802" s="272"/>
      <c r="AE802" s="272"/>
    </row>
    <row r="803" spans="15:31">
      <c r="O803" s="272"/>
      <c r="P803" s="272"/>
      <c r="Q803" s="272"/>
      <c r="R803" s="272"/>
      <c r="S803" s="272"/>
      <c r="T803" s="272"/>
      <c r="U803" s="272"/>
      <c r="V803" s="272"/>
      <c r="W803" s="272"/>
      <c r="X803" s="272"/>
      <c r="Y803" s="272"/>
      <c r="Z803" s="272"/>
      <c r="AA803" s="272"/>
      <c r="AB803" s="272"/>
      <c r="AC803" s="272"/>
      <c r="AD803" s="272"/>
      <c r="AE803" s="272"/>
    </row>
    <row r="804" spans="15:31">
      <c r="O804" s="272"/>
      <c r="P804" s="272"/>
      <c r="Q804" s="272"/>
      <c r="R804" s="272"/>
      <c r="S804" s="272"/>
      <c r="T804" s="272"/>
      <c r="U804" s="272"/>
      <c r="V804" s="272"/>
      <c r="W804" s="272"/>
      <c r="X804" s="272"/>
      <c r="Y804" s="272"/>
      <c r="Z804" s="272"/>
      <c r="AA804" s="272"/>
      <c r="AB804" s="272"/>
      <c r="AC804" s="272"/>
      <c r="AD804" s="272"/>
      <c r="AE804" s="272"/>
    </row>
    <row r="805" spans="15:31">
      <c r="O805" s="272"/>
      <c r="P805" s="272"/>
      <c r="Q805" s="272"/>
      <c r="R805" s="272"/>
      <c r="S805" s="272"/>
      <c r="T805" s="272"/>
      <c r="U805" s="272"/>
      <c r="V805" s="272"/>
      <c r="W805" s="272"/>
      <c r="X805" s="272"/>
      <c r="Y805" s="272"/>
      <c r="Z805" s="272"/>
      <c r="AA805" s="272"/>
      <c r="AB805" s="272"/>
      <c r="AC805" s="272"/>
      <c r="AD805" s="272"/>
      <c r="AE805" s="272"/>
    </row>
    <row r="806" spans="15:31">
      <c r="O806" s="272"/>
      <c r="P806" s="272"/>
      <c r="Q806" s="272"/>
      <c r="R806" s="272"/>
      <c r="S806" s="272"/>
      <c r="T806" s="272"/>
      <c r="U806" s="272"/>
      <c r="V806" s="272"/>
      <c r="W806" s="272"/>
      <c r="X806" s="272"/>
      <c r="Y806" s="272"/>
      <c r="Z806" s="272"/>
      <c r="AA806" s="272"/>
      <c r="AB806" s="272"/>
      <c r="AC806" s="272"/>
      <c r="AD806" s="272"/>
      <c r="AE806" s="272"/>
    </row>
    <row r="807" spans="15:31">
      <c r="O807" s="272"/>
      <c r="P807" s="272"/>
      <c r="Q807" s="272"/>
      <c r="R807" s="272"/>
      <c r="S807" s="272"/>
      <c r="T807" s="272"/>
      <c r="U807" s="272"/>
      <c r="V807" s="272"/>
      <c r="W807" s="272"/>
      <c r="X807" s="272"/>
      <c r="Y807" s="272"/>
      <c r="Z807" s="272"/>
      <c r="AA807" s="272"/>
      <c r="AB807" s="272"/>
      <c r="AC807" s="272"/>
      <c r="AD807" s="272"/>
      <c r="AE807" s="272"/>
    </row>
    <row r="808" spans="15:31">
      <c r="O808" s="272"/>
      <c r="P808" s="272"/>
      <c r="Q808" s="272"/>
      <c r="R808" s="272"/>
      <c r="S808" s="272"/>
      <c r="T808" s="272"/>
      <c r="U808" s="272"/>
      <c r="V808" s="272"/>
      <c r="W808" s="272"/>
      <c r="X808" s="272"/>
      <c r="Y808" s="272"/>
      <c r="Z808" s="272"/>
      <c r="AA808" s="272"/>
      <c r="AB808" s="272"/>
      <c r="AC808" s="272"/>
      <c r="AD808" s="272"/>
      <c r="AE808" s="272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28" baseType="lpstr">
      <vt:lpstr>Parametres</vt:lpstr>
      <vt:lpstr>Option</vt:lpstr>
      <vt:lpstr>IRS Strip</vt:lpstr>
      <vt:lpstr>CDS Strip</vt:lpstr>
      <vt:lpstr>Fwd Intensity</vt:lpstr>
      <vt:lpstr>CDS</vt:lpstr>
      <vt:lpstr>CDO Bespoke</vt:lpstr>
      <vt:lpstr>FRTB</vt:lpstr>
      <vt:lpstr>CDO2</vt:lpstr>
      <vt:lpstr>Chart1</vt:lpstr>
      <vt:lpstr>Chart2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2024-09-30T14:59:53Z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