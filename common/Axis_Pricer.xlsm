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82" documentId="13_ncr:1_{A2FA8FAE-01D5-4A76-89B9-02441FA56CFF}" xr6:coauthVersionLast="47" xr6:coauthVersionMax="47" xr10:uidLastSave="{1A07E1DC-5A33-4866-9164-1DE513FC27D4}"/>
  <bookViews>
    <workbookView xWindow="0" yWindow="50" windowWidth="19200" windowHeight="1123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T9" i="16" a="1"/>
  <c r="T9" i="16"/>
  <c r="S9" i="16" a="1"/>
  <c r="S9" i="16"/>
  <c r="V14" i="16"/>
  <c r="W14" i="16"/>
  <c r="X14" i="16"/>
  <c r="V15" i="16"/>
  <c r="W15" i="16"/>
  <c r="X15" i="16"/>
  <c r="V16" i="16"/>
  <c r="W16" i="16"/>
  <c r="X16" i="16"/>
  <c r="V17" i="16"/>
  <c r="W17" i="16"/>
  <c r="X17" i="16"/>
  <c r="V18" i="16"/>
  <c r="W18" i="16"/>
  <c r="X18" i="16"/>
  <c r="V19" i="16"/>
  <c r="W19" i="16"/>
  <c r="X19" i="16"/>
  <c r="V20" i="16"/>
  <c r="W20" i="16"/>
  <c r="X20" i="16"/>
  <c r="V21" i="16"/>
  <c r="W21" i="16"/>
  <c r="X21" i="16"/>
  <c r="V22" i="16"/>
  <c r="W22" i="16"/>
  <c r="X22" i="16"/>
  <c r="V23" i="16"/>
  <c r="W23" i="16"/>
  <c r="X23" i="16"/>
  <c r="V24" i="16"/>
  <c r="W24" i="16"/>
  <c r="X24" i="16"/>
  <c r="V25" i="16"/>
  <c r="W25" i="16"/>
  <c r="X25" i="16"/>
  <c r="V26" i="16"/>
  <c r="W26" i="16"/>
  <c r="X26" i="16"/>
  <c r="V27" i="16"/>
  <c r="W27" i="16"/>
  <c r="X27" i="16"/>
  <c r="V28" i="16"/>
  <c r="W28" i="16"/>
  <c r="X28" i="16"/>
  <c r="V29" i="16"/>
  <c r="W29" i="16"/>
  <c r="X29" i="16"/>
  <c r="V30" i="16"/>
  <c r="W30" i="16"/>
  <c r="X30" i="16"/>
  <c r="V31" i="16"/>
  <c r="W31" i="16"/>
  <c r="X31" i="16"/>
  <c r="V32" i="16"/>
  <c r="W32" i="16"/>
  <c r="X32" i="16"/>
  <c r="V33" i="16"/>
  <c r="W33" i="16"/>
  <c r="X33" i="16"/>
  <c r="V34" i="16"/>
  <c r="W34" i="16"/>
  <c r="X34" i="16"/>
  <c r="V35" i="16"/>
  <c r="W35" i="16"/>
  <c r="X35" i="16"/>
  <c r="V36" i="16"/>
  <c r="W36" i="16"/>
  <c r="X36" i="16"/>
  <c r="V37" i="16"/>
  <c r="W37" i="16"/>
  <c r="X37" i="16"/>
  <c r="V38" i="16"/>
  <c r="W38" i="16"/>
  <c r="X38" i="16"/>
  <c r="V39" i="16"/>
  <c r="W39" i="16"/>
  <c r="X39" i="16"/>
  <c r="V40" i="16"/>
  <c r="W40" i="16"/>
  <c r="X40" i="16"/>
  <c r="V41" i="16"/>
  <c r="W41" i="16"/>
  <c r="X41" i="16"/>
  <c r="V42" i="16"/>
  <c r="W42" i="16"/>
  <c r="X42" i="16"/>
  <c r="V43" i="16"/>
  <c r="W43" i="16"/>
  <c r="X43" i="16"/>
  <c r="V44" i="16"/>
  <c r="W44" i="16"/>
  <c r="X44" i="16"/>
  <c r="V45" i="16"/>
  <c r="W45" i="16"/>
  <c r="X45" i="16"/>
  <c r="V46" i="16"/>
  <c r="W46" i="16"/>
  <c r="X46" i="16"/>
  <c r="V47" i="16"/>
  <c r="W47" i="16"/>
  <c r="X47" i="16"/>
  <c r="V48" i="16"/>
  <c r="W48" i="16"/>
  <c r="X48" i="16"/>
  <c r="V49" i="16"/>
  <c r="W49" i="16"/>
  <c r="X49" i="16"/>
  <c r="V50" i="16"/>
  <c r="W50" i="16"/>
  <c r="X50" i="16"/>
  <c r="V51" i="16"/>
  <c r="W51" i="16"/>
  <c r="X51" i="16"/>
  <c r="V52" i="16"/>
  <c r="W52" i="16"/>
  <c r="X52" i="16"/>
  <c r="V53" i="16"/>
  <c r="W53" i="16"/>
  <c r="X53" i="16"/>
  <c r="V54" i="16"/>
  <c r="W54" i="16"/>
  <c r="X54" i="16"/>
  <c r="V55" i="16"/>
  <c r="W55" i="16"/>
  <c r="X55" i="16"/>
  <c r="V56" i="16"/>
  <c r="W56" i="16"/>
  <c r="X56" i="16"/>
  <c r="V57" i="16"/>
  <c r="W57" i="16"/>
  <c r="X57" i="16"/>
  <c r="V58" i="16"/>
  <c r="W58" i="16"/>
  <c r="X58" i="16"/>
  <c r="V59" i="16"/>
  <c r="W59" i="16"/>
  <c r="X59" i="16"/>
  <c r="V60" i="16"/>
  <c r="W60" i="16"/>
  <c r="X60" i="16"/>
  <c r="V61" i="16"/>
  <c r="W61" i="16"/>
  <c r="X61" i="16"/>
  <c r="V62" i="16"/>
  <c r="W62" i="16"/>
  <c r="X62" i="16"/>
  <c r="V63" i="16"/>
  <c r="W63" i="16"/>
  <c r="X63" i="16"/>
  <c r="V64" i="16"/>
  <c r="W64" i="16"/>
  <c r="X64" i="16"/>
  <c r="V65" i="16"/>
  <c r="W65" i="16"/>
  <c r="X65" i="16"/>
  <c r="V66" i="16"/>
  <c r="W66" i="16"/>
  <c r="X66" i="16"/>
  <c r="V67" i="16"/>
  <c r="W67" i="16"/>
  <c r="X67" i="16"/>
  <c r="V68" i="16"/>
  <c r="W68" i="16"/>
  <c r="X68" i="16"/>
  <c r="V69" i="16"/>
  <c r="W69" i="16"/>
  <c r="X69" i="16"/>
  <c r="V70" i="16"/>
  <c r="W70" i="16"/>
  <c r="X70" i="16"/>
  <c r="V71" i="16"/>
  <c r="W71" i="16"/>
  <c r="X71" i="16"/>
  <c r="V72" i="16"/>
  <c r="W72" i="16"/>
  <c r="X72" i="16"/>
  <c r="V73" i="16"/>
  <c r="W73" i="16"/>
  <c r="X73" i="16"/>
  <c r="V74" i="16"/>
  <c r="W74" i="16"/>
  <c r="X74" i="16"/>
  <c r="V75" i="16"/>
  <c r="W75" i="16"/>
  <c r="X75" i="16"/>
  <c r="V76" i="16"/>
  <c r="W76" i="16"/>
  <c r="X76" i="16"/>
  <c r="V77" i="16"/>
  <c r="W77" i="16"/>
  <c r="X77" i="16"/>
  <c r="V78" i="16"/>
  <c r="W78" i="16"/>
  <c r="X78" i="16"/>
  <c r="V79" i="16"/>
  <c r="W79" i="16"/>
  <c r="X79" i="16"/>
  <c r="V80" i="16"/>
  <c r="W80" i="16"/>
  <c r="X80" i="16"/>
  <c r="V81" i="16"/>
  <c r="W81" i="16"/>
  <c r="X81" i="16"/>
  <c r="V82" i="16"/>
  <c r="W82" i="16"/>
  <c r="X82" i="16"/>
  <c r="V83" i="16"/>
  <c r="W83" i="16"/>
  <c r="X83" i="16"/>
  <c r="V84" i="16"/>
  <c r="W84" i="16"/>
  <c r="X84" i="16"/>
  <c r="V85" i="16"/>
  <c r="W85" i="16"/>
  <c r="X85" i="16"/>
  <c r="V86" i="16"/>
  <c r="W86" i="16"/>
  <c r="X86" i="16"/>
  <c r="V87" i="16"/>
  <c r="W87" i="16"/>
  <c r="X87" i="16"/>
  <c r="V88" i="16"/>
  <c r="W88" i="16"/>
  <c r="X88" i="16"/>
  <c r="V89" i="16"/>
  <c r="W89" i="16"/>
  <c r="X89" i="16"/>
  <c r="V90" i="16"/>
  <c r="W90" i="16"/>
  <c r="X90" i="16"/>
  <c r="V91" i="16"/>
  <c r="W91" i="16"/>
  <c r="X91" i="16"/>
  <c r="V92" i="16"/>
  <c r="W92" i="16"/>
  <c r="X92" i="16"/>
  <c r="V93" i="16"/>
  <c r="W93" i="16"/>
  <c r="X93" i="16"/>
  <c r="V94" i="16"/>
  <c r="W94" i="16"/>
  <c r="X94" i="16"/>
  <c r="V95" i="16"/>
  <c r="W95" i="16"/>
  <c r="X95" i="16"/>
  <c r="V96" i="16"/>
  <c r="W96" i="16"/>
  <c r="X96" i="16"/>
  <c r="V97" i="16"/>
  <c r="W97" i="16"/>
  <c r="X97" i="16"/>
  <c r="V98" i="16"/>
  <c r="W98" i="16"/>
  <c r="X98" i="16"/>
  <c r="V99" i="16"/>
  <c r="W99" i="16"/>
  <c r="X99" i="16"/>
  <c r="V100" i="16"/>
  <c r="W100" i="16"/>
  <c r="X100" i="16"/>
  <c r="V101" i="16"/>
  <c r="W101" i="16"/>
  <c r="X101" i="16"/>
  <c r="V102" i="16"/>
  <c r="W102" i="16"/>
  <c r="X102" i="16"/>
  <c r="V103" i="16"/>
  <c r="W103" i="16"/>
  <c r="X103" i="16"/>
  <c r="V104" i="16"/>
  <c r="W104" i="16"/>
  <c r="X104" i="16"/>
  <c r="V105" i="16"/>
  <c r="W105" i="16"/>
  <c r="X105" i="16"/>
  <c r="V106" i="16"/>
  <c r="W106" i="16"/>
  <c r="X106" i="16"/>
  <c r="V107" i="16"/>
  <c r="W107" i="16"/>
  <c r="X107" i="16"/>
  <c r="V108" i="16"/>
  <c r="W108" i="16"/>
  <c r="X108" i="16"/>
  <c r="V109" i="16"/>
  <c r="X109" i="16"/>
  <c r="V110" i="16"/>
  <c r="X110" i="16"/>
  <c r="V111" i="16"/>
  <c r="X111" i="16"/>
  <c r="V112" i="16"/>
  <c r="X112" i="16"/>
  <c r="V113" i="16"/>
  <c r="X113" i="16"/>
  <c r="V114" i="16"/>
  <c r="X114" i="16"/>
  <c r="V115" i="16"/>
  <c r="X115" i="16"/>
  <c r="V116" i="16"/>
  <c r="X116" i="16"/>
  <c r="V117" i="16"/>
  <c r="X117" i="16"/>
  <c r="V118" i="16"/>
  <c r="X118" i="16"/>
  <c r="V119" i="16"/>
  <c r="X119" i="16"/>
  <c r="V120" i="16"/>
  <c r="X120" i="16"/>
  <c r="V121" i="16"/>
  <c r="X121" i="16"/>
  <c r="V122" i="16"/>
  <c r="X122" i="16"/>
  <c r="V123" i="16"/>
  <c r="X123" i="16"/>
  <c r="V124" i="16"/>
  <c r="X124" i="16"/>
  <c r="V125" i="16"/>
  <c r="X125" i="16"/>
  <c r="V126" i="16"/>
  <c r="X126" i="16"/>
  <c r="V127" i="16"/>
  <c r="X127" i="16"/>
  <c r="V128" i="16"/>
  <c r="X128" i="16"/>
  <c r="V129" i="16"/>
  <c r="X129" i="16"/>
  <c r="V130" i="16"/>
  <c r="X130" i="16"/>
  <c r="V131" i="16"/>
  <c r="X131" i="16"/>
  <c r="V132" i="16"/>
  <c r="X132" i="16"/>
  <c r="V133" i="16"/>
  <c r="X133" i="16"/>
  <c r="V134" i="16"/>
  <c r="X134" i="16"/>
  <c r="V135" i="16"/>
  <c r="X135" i="16"/>
  <c r="V136" i="16"/>
  <c r="X136" i="16"/>
  <c r="V137" i="16"/>
  <c r="X137" i="16"/>
  <c r="V138" i="16"/>
  <c r="X138" i="16"/>
  <c r="W11" i="16"/>
  <c r="W10" i="16"/>
  <c r="Z14" i="16"/>
  <c r="AA14" i="16"/>
  <c r="AB14" i="16"/>
  <c r="Z15" i="16"/>
  <c r="AA15" i="16"/>
  <c r="AB15" i="16"/>
  <c r="Z16" i="16"/>
  <c r="AA16" i="16"/>
  <c r="AB16" i="16"/>
  <c r="Z17" i="16"/>
  <c r="AA17" i="16"/>
  <c r="AB17" i="16"/>
  <c r="Z18" i="16"/>
  <c r="AA18" i="16"/>
  <c r="AB18" i="16"/>
  <c r="Z19" i="16"/>
  <c r="AA19" i="16"/>
  <c r="AB19" i="16"/>
  <c r="Z20" i="16"/>
  <c r="AA20" i="16"/>
  <c r="AB20" i="16"/>
  <c r="Z21" i="16"/>
  <c r="AA21" i="16"/>
  <c r="AB21" i="16"/>
  <c r="Z22" i="16"/>
  <c r="AA22" i="16"/>
  <c r="AB22" i="16"/>
  <c r="Z23" i="16"/>
  <c r="AA23" i="16"/>
  <c r="AB23" i="16"/>
  <c r="Z24" i="16"/>
  <c r="AA24" i="16"/>
  <c r="AB24" i="16"/>
  <c r="Z25" i="16"/>
  <c r="AA25" i="16"/>
  <c r="AB25" i="16"/>
  <c r="Z26" i="16"/>
  <c r="AA26" i="16"/>
  <c r="AB26" i="16"/>
  <c r="Z27" i="16"/>
  <c r="AA27" i="16"/>
  <c r="AB27" i="16"/>
  <c r="Z28" i="16"/>
  <c r="AA28" i="16"/>
  <c r="AB28" i="16"/>
  <c r="Z29" i="16"/>
  <c r="AA29" i="16"/>
  <c r="AB29" i="16"/>
  <c r="Z30" i="16"/>
  <c r="AA30" i="16"/>
  <c r="AB30" i="16"/>
  <c r="Z31" i="16"/>
  <c r="AA31" i="16"/>
  <c r="AB31" i="16"/>
  <c r="Z32" i="16"/>
  <c r="AA32" i="16"/>
  <c r="AB32" i="16"/>
  <c r="Z33" i="16"/>
  <c r="AA33" i="16"/>
  <c r="AB33" i="16"/>
  <c r="Z34" i="16"/>
  <c r="AA34" i="16"/>
  <c r="AB34" i="16"/>
  <c r="Z35" i="16"/>
  <c r="AA35" i="16"/>
  <c r="AB35" i="16"/>
  <c r="Z36" i="16"/>
  <c r="AA36" i="16"/>
  <c r="AB36" i="16"/>
  <c r="Z37" i="16"/>
  <c r="AA37" i="16"/>
  <c r="AB37" i="16"/>
  <c r="Z38" i="16"/>
  <c r="AA38" i="16"/>
  <c r="AB38" i="16"/>
  <c r="Z39" i="16"/>
  <c r="AA39" i="16"/>
  <c r="AB39" i="16"/>
  <c r="Z40" i="16"/>
  <c r="AA40" i="16"/>
  <c r="AB40" i="16"/>
  <c r="Z41" i="16"/>
  <c r="AA41" i="16"/>
  <c r="AB41" i="16"/>
  <c r="Z42" i="16"/>
  <c r="AA42" i="16"/>
  <c r="AB42" i="16"/>
  <c r="Z43" i="16"/>
  <c r="AA43" i="16"/>
  <c r="AB43" i="16"/>
  <c r="Z44" i="16"/>
  <c r="AA44" i="16"/>
  <c r="AB44" i="16"/>
  <c r="Z45" i="16"/>
  <c r="AA45" i="16"/>
  <c r="AB45" i="16"/>
  <c r="Z46" i="16"/>
  <c r="AA46" i="16"/>
  <c r="AB46" i="16"/>
  <c r="Z47" i="16"/>
  <c r="AA47" i="16"/>
  <c r="AB47" i="16"/>
  <c r="Z48" i="16"/>
  <c r="AA48" i="16"/>
  <c r="AB48" i="16"/>
  <c r="Z49" i="16"/>
  <c r="AA49" i="16"/>
  <c r="AB49" i="16"/>
  <c r="Z50" i="16"/>
  <c r="AA50" i="16"/>
  <c r="AB50" i="16"/>
  <c r="Z51" i="16"/>
  <c r="AA51" i="16"/>
  <c r="AB51" i="16"/>
  <c r="Z52" i="16"/>
  <c r="AA52" i="16"/>
  <c r="AB52" i="16"/>
  <c r="Z53" i="16"/>
  <c r="AA53" i="16"/>
  <c r="AB53" i="16"/>
  <c r="Z54" i="16"/>
  <c r="AA54" i="16"/>
  <c r="AB54" i="16"/>
  <c r="Z55" i="16"/>
  <c r="AA55" i="16"/>
  <c r="AB55" i="16"/>
  <c r="Z56" i="16"/>
  <c r="AA56" i="16"/>
  <c r="AB56" i="16"/>
  <c r="Z57" i="16"/>
  <c r="AA57" i="16"/>
  <c r="AB57" i="16"/>
  <c r="Z58" i="16"/>
  <c r="AA58" i="16"/>
  <c r="AB58" i="16"/>
  <c r="Z59" i="16"/>
  <c r="AA59" i="16"/>
  <c r="AB59" i="16"/>
  <c r="Z60" i="16"/>
  <c r="AA60" i="16"/>
  <c r="AB60" i="16"/>
  <c r="Z61" i="16"/>
  <c r="AA61" i="16"/>
  <c r="AB61" i="16"/>
  <c r="Z62" i="16"/>
  <c r="AA62" i="16"/>
  <c r="AB62" i="16"/>
  <c r="Z63" i="16"/>
  <c r="AA63" i="16"/>
  <c r="AB63" i="16"/>
  <c r="Z64" i="16"/>
  <c r="AA64" i="16"/>
  <c r="AB64" i="16"/>
  <c r="Z65" i="16"/>
  <c r="AA65" i="16"/>
  <c r="AB65" i="16"/>
  <c r="Z66" i="16"/>
  <c r="AA66" i="16"/>
  <c r="AB66" i="16"/>
  <c r="Z67" i="16"/>
  <c r="AA67" i="16"/>
  <c r="AB67" i="16"/>
  <c r="Z68" i="16"/>
  <c r="AA68" i="16"/>
  <c r="AB68" i="16"/>
  <c r="Z69" i="16"/>
  <c r="AA69" i="16"/>
  <c r="AB69" i="16"/>
  <c r="Z70" i="16"/>
  <c r="AA70" i="16"/>
  <c r="AB70" i="16"/>
  <c r="Z71" i="16"/>
  <c r="AA71" i="16"/>
  <c r="AB71" i="16"/>
  <c r="Z72" i="16"/>
  <c r="AA72" i="16"/>
  <c r="AB72" i="16"/>
  <c r="Z73" i="16"/>
  <c r="AA73" i="16"/>
  <c r="AB73" i="16"/>
  <c r="Z74" i="16"/>
  <c r="AA74" i="16"/>
  <c r="AB74" i="16"/>
  <c r="Z75" i="16"/>
  <c r="AA75" i="16"/>
  <c r="AB75" i="16"/>
  <c r="Z76" i="16"/>
  <c r="AA76" i="16"/>
  <c r="AB76" i="16"/>
  <c r="Z77" i="16"/>
  <c r="AA77" i="16"/>
  <c r="AB77" i="16"/>
  <c r="Z78" i="16"/>
  <c r="AA78" i="16"/>
  <c r="AB78" i="16"/>
  <c r="Z79" i="16"/>
  <c r="AA79" i="16"/>
  <c r="AB79" i="16"/>
  <c r="Z80" i="16"/>
  <c r="AA80" i="16"/>
  <c r="AB80" i="16"/>
  <c r="Z81" i="16"/>
  <c r="AA81" i="16"/>
  <c r="AB81" i="16"/>
  <c r="Z82" i="16"/>
  <c r="AA82" i="16"/>
  <c r="AB82" i="16"/>
  <c r="Z83" i="16"/>
  <c r="AA83" i="16"/>
  <c r="AB83" i="16"/>
  <c r="Z84" i="16"/>
  <c r="AA84" i="16"/>
  <c r="AB84" i="16"/>
  <c r="Z85" i="16"/>
  <c r="AA85" i="16"/>
  <c r="AB85" i="16"/>
  <c r="Z86" i="16"/>
  <c r="AA86" i="16"/>
  <c r="AB86" i="16"/>
  <c r="Z87" i="16"/>
  <c r="AA87" i="16"/>
  <c r="AB87" i="16"/>
  <c r="Z88" i="16"/>
  <c r="AA88" i="16"/>
  <c r="AB88" i="16"/>
  <c r="Z89" i="16"/>
  <c r="AA89" i="16"/>
  <c r="AB89" i="16"/>
  <c r="Z90" i="16"/>
  <c r="AA90" i="16"/>
  <c r="AB90" i="16"/>
  <c r="Z91" i="16"/>
  <c r="AA91" i="16"/>
  <c r="AB91" i="16"/>
  <c r="Z92" i="16"/>
  <c r="AA92" i="16"/>
  <c r="AB92" i="16"/>
  <c r="Z93" i="16"/>
  <c r="AA93" i="16"/>
  <c r="AB93" i="16"/>
  <c r="Z94" i="16"/>
  <c r="AA94" i="16"/>
  <c r="AB94" i="16"/>
  <c r="Z95" i="16"/>
  <c r="AA95" i="16"/>
  <c r="AB95" i="16"/>
  <c r="Z96" i="16"/>
  <c r="AA96" i="16"/>
  <c r="AB96" i="16"/>
  <c r="Z97" i="16"/>
  <c r="AA97" i="16"/>
  <c r="AB97" i="16"/>
  <c r="Z98" i="16"/>
  <c r="AA98" i="16"/>
  <c r="AB98" i="16"/>
  <c r="Z99" i="16"/>
  <c r="AA99" i="16"/>
  <c r="AB99" i="16"/>
  <c r="Z100" i="16"/>
  <c r="AA100" i="16"/>
  <c r="AB100" i="16"/>
  <c r="Z101" i="16"/>
  <c r="AA101" i="16"/>
  <c r="AB101" i="16"/>
  <c r="Z102" i="16"/>
  <c r="AA102" i="16"/>
  <c r="AB102" i="16"/>
  <c r="Z103" i="16"/>
  <c r="AA103" i="16"/>
  <c r="AB103" i="16"/>
  <c r="Z104" i="16"/>
  <c r="AA104" i="16"/>
  <c r="AB104" i="16"/>
  <c r="Z105" i="16"/>
  <c r="AA105" i="16"/>
  <c r="AB105" i="16"/>
  <c r="Z106" i="16"/>
  <c r="AA106" i="16"/>
  <c r="AB106" i="16"/>
  <c r="Z107" i="16"/>
  <c r="AA107" i="16"/>
  <c r="AB107" i="16"/>
  <c r="Z108" i="16"/>
  <c r="AA108" i="16"/>
  <c r="AB108" i="16"/>
  <c r="Z109" i="16"/>
  <c r="AB109" i="16"/>
  <c r="Z110" i="16"/>
  <c r="AB110" i="16"/>
  <c r="Z111" i="16"/>
  <c r="AB111" i="16"/>
  <c r="Z112" i="16"/>
  <c r="AB112" i="16"/>
  <c r="Z113" i="16"/>
  <c r="AB113" i="16"/>
  <c r="Z114" i="16"/>
  <c r="AB114" i="16"/>
  <c r="Z115" i="16"/>
  <c r="AB115" i="16"/>
  <c r="Z116" i="16"/>
  <c r="AB116" i="16"/>
  <c r="Z117" i="16"/>
  <c r="AB117" i="16"/>
  <c r="Z118" i="16"/>
  <c r="AB118" i="16"/>
  <c r="Z119" i="16"/>
  <c r="AB119" i="16"/>
  <c r="Z120" i="16"/>
  <c r="AB120" i="16"/>
  <c r="Z121" i="16"/>
  <c r="AB121" i="16"/>
  <c r="Z122" i="16"/>
  <c r="AB122" i="16"/>
  <c r="Z123" i="16"/>
  <c r="AB123" i="16"/>
  <c r="Z124" i="16"/>
  <c r="AB124" i="16"/>
  <c r="Z125" i="16"/>
  <c r="AB125" i="16"/>
  <c r="Z126" i="16"/>
  <c r="AB126" i="16"/>
  <c r="Z127" i="16"/>
  <c r="AB127" i="16"/>
  <c r="Z128" i="16"/>
  <c r="AB128" i="16"/>
  <c r="Z129" i="16"/>
  <c r="AB129" i="16"/>
  <c r="Z130" i="16"/>
  <c r="AB130" i="16"/>
  <c r="Z131" i="16"/>
  <c r="AB131" i="16"/>
  <c r="Z132" i="16"/>
  <c r="AB132" i="16"/>
  <c r="Z133" i="16"/>
  <c r="AB133" i="16"/>
  <c r="Z134" i="16"/>
  <c r="AB134" i="16"/>
  <c r="Z135" i="16"/>
  <c r="AB135" i="16"/>
  <c r="Z136" i="16"/>
  <c r="AB136" i="16"/>
  <c r="Z137" i="16"/>
  <c r="AB137" i="16"/>
  <c r="Z138" i="16"/>
  <c r="AB138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A12" i="16"/>
  <c r="AA11" i="16"/>
  <c r="AA10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W12" i="16"/>
  <c r="W109" i="16"/>
  <c r="AA109" i="16"/>
  <c r="W110" i="16"/>
  <c r="AA110" i="16"/>
  <c r="W111" i="16"/>
  <c r="AA111" i="16"/>
  <c r="W112" i="16"/>
  <c r="AA112" i="16"/>
  <c r="W113" i="16"/>
  <c r="AA113" i="16"/>
  <c r="W114" i="16"/>
  <c r="AA114" i="16"/>
  <c r="W115" i="16"/>
  <c r="AA115" i="16"/>
  <c r="W116" i="16"/>
  <c r="AA116" i="16"/>
  <c r="W117" i="16"/>
  <c r="AA117" i="16"/>
  <c r="W118" i="16"/>
  <c r="AA118" i="16"/>
  <c r="W119" i="16"/>
  <c r="AA119" i="16"/>
  <c r="W120" i="16"/>
  <c r="AA120" i="16"/>
  <c r="W121" i="16"/>
  <c r="AA121" i="16"/>
  <c r="W122" i="16"/>
  <c r="AA122" i="16"/>
  <c r="W123" i="16"/>
  <c r="AA123" i="16"/>
  <c r="W124" i="16"/>
  <c r="AA124" i="16"/>
  <c r="W125" i="16"/>
  <c r="AA125" i="16"/>
  <c r="W126" i="16"/>
  <c r="AA126" i="16"/>
  <c r="W127" i="16"/>
  <c r="AA127" i="16"/>
  <c r="W128" i="16"/>
  <c r="AA128" i="16"/>
  <c r="W129" i="16"/>
  <c r="AA129" i="16"/>
  <c r="W130" i="16"/>
  <c r="AA130" i="16"/>
  <c r="W131" i="16"/>
  <c r="AA131" i="16"/>
  <c r="W132" i="16"/>
  <c r="AA132" i="16"/>
  <c r="W133" i="16"/>
  <c r="AA133" i="16"/>
  <c r="W134" i="16"/>
  <c r="AA134" i="16"/>
  <c r="W135" i="16"/>
  <c r="AA135" i="16"/>
  <c r="W136" i="16"/>
  <c r="AA136" i="16"/>
  <c r="W137" i="16"/>
  <c r="AA137" i="16"/>
  <c r="W138" i="16"/>
  <c r="AA138" i="16"/>
  <c r="AL8" i="16"/>
  <c r="AU14" i="16" a="1"/>
  <c r="AU14" i="16"/>
  <c r="AR14" i="16" a="1"/>
  <c r="AR14" i="16"/>
  <c r="AL14" i="16" a="1"/>
  <c r="AL14" i="16"/>
  <c r="AF14" i="16" a="1"/>
  <c r="AF14" i="16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5" i="8" a="1"/>
  <c r="F15" i="8"/>
  <c r="AZ14" i="16" a="1"/>
  <c r="AZ14" i="16"/>
  <c r="C18" i="4" a="1"/>
  <c r="C18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AF11" i="16"/>
  <c r="AF11" i="16" a="1"/>
  <c r="C9" i="8" l="1"/>
  <c r="F10" i="8"/>
  <c r="C7" i="4"/>
  <c r="BL18" i="16"/>
  <c r="AE14" i="16"/>
  <c r="BK14" i="16"/>
  <c r="BL14" i="16"/>
  <c r="AE15" i="16"/>
  <c r="BK15" i="16"/>
  <c r="BL15" i="16"/>
  <c r="AE16" i="16"/>
  <c r="BK16" i="16"/>
  <c r="BL16" i="16"/>
  <c r="AE17" i="16"/>
  <c r="BK17" i="16"/>
  <c r="BL17" i="16"/>
  <c r="AE18" i="16"/>
  <c r="BK18" i="16"/>
  <c r="AE19" i="16"/>
  <c r="BK19" i="16"/>
  <c r="BL19" i="16"/>
  <c r="AE20" i="16"/>
  <c r="BK20" i="16"/>
  <c r="BL20" i="16"/>
  <c r="AE21" i="16"/>
  <c r="BK21" i="16"/>
  <c r="BL21" i="16"/>
  <c r="AE22" i="16"/>
  <c r="BK22" i="16"/>
  <c r="BL22" i="16"/>
  <c r="AE23" i="16"/>
  <c r="BK23" i="16"/>
  <c r="BL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</authors>
  <commentList>
    <comment ref="B18" authorId="0" shapeId="0" xr:uid="{307A4BD7-0803-4E9B-9255-8C9698C4F491}">
      <text>
        <r>
          <rPr>
            <b/>
            <sz val="9"/>
            <color indexed="81"/>
            <rFont val="Tahoma"/>
            <family val="2"/>
          </rPr>
          <t>Store all the curves for the delta GIRR part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AMASCIA</author>
    <author>E&amp;P</author>
    <author>akhedher070405</author>
    <author>Francois Jordan</author>
    <author>TLAUNAY</author>
    <author>SG - Emmanuel</author>
  </authors>
  <commentList>
    <comment ref="K5" authorId="0" shapeId="0" xr:uid="{E48144EF-8C52-4598-B0E8-0E867EEEB538}">
      <text>
        <r>
          <rPr>
            <b/>
            <sz val="9"/>
            <color indexed="81"/>
            <rFont val="Tahoma"/>
            <family val="2"/>
          </rPr>
          <t>Compute all sensitivities according to the "jump to default". Computation time can be important</t>
        </r>
      </text>
    </comment>
    <comment ref="K6" authorId="0" shapeId="0" xr:uid="{BAF87253-3A3E-4E24-BF47-2360CECD6315}">
      <text>
        <r>
          <rPr>
            <b/>
            <sz val="9"/>
            <color indexed="81"/>
            <rFont val="Tahoma"/>
            <family val="2"/>
          </rPr>
          <t>Compute the tranche enabling the stochastic recovery rather than a deterministic one. Computation time can be important. Be careful if you're computing FRTB sensitivities</t>
        </r>
      </text>
    </comment>
    <comment ref="I8" authorId="1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2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1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0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1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1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1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1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1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2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1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2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2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Francois Jordan</author>
  </authors>
  <commentList>
    <comment ref="V9" authorId="0" shapeId="0" xr:uid="{2FF1D58D-CDD6-4C01-A78E-BC3098F3AEAE}">
      <text>
        <r>
          <rPr>
            <b/>
            <sz val="9"/>
            <color indexed="81"/>
            <rFont val="Tahoma"/>
            <family val="2"/>
          </rPr>
          <t>DRC on the tranche without any hedge</t>
        </r>
      </text>
    </comment>
    <comment ref="Z9" authorId="0" shapeId="0" xr:uid="{E61B73B1-ABB4-423C-B971-6300DEB10E70}">
      <text>
        <r>
          <rPr>
            <b/>
            <sz val="9"/>
            <color indexed="81"/>
            <rFont val="Tahoma"/>
            <family val="2"/>
          </rPr>
          <t>DRC of the tranche delta hedged</t>
        </r>
      </text>
    </comment>
    <comment ref="AR9" authorId="0" shapeId="0" xr:uid="{ACBDE395-4F12-45A9-B785-3BC29A644C6A}">
      <text>
        <r>
          <rPr>
            <b/>
            <sz val="9"/>
            <color indexed="81"/>
            <rFont val="Tahoma"/>
            <family val="2"/>
          </rPr>
          <t xml:space="preserve">Risk Class of the product you want to compute the curvature. Either SEC CTP, NON SEC </t>
        </r>
      </text>
    </comment>
    <comment ref="V10" authorId="1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V11" authorId="1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R11" authorId="0" shapeId="0" xr:uid="{5FDB5E3E-19B1-438C-BE81-B00E7E9B5803}">
      <text>
        <r>
          <rPr>
            <b/>
            <sz val="9"/>
            <color indexed="81"/>
            <rFont val="Tahoma"/>
            <family val="2"/>
          </rPr>
          <t>Because curvature need a DownWard shock, the credit spread could be negative. Hence a floor is permitted</t>
        </r>
      </text>
    </comment>
    <comment ref="V12" authorId="1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3" authorId="0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BJ13" authorId="0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0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0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<sst xmlns="http://schemas.openxmlformats.org/spreadsheetml/2006/main" count="4172" uniqueCount="711">
  <si>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</si>
  <si>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</si>
  <si>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</si>
  <si>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</si>
  <si>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</si>
  <si>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</si>
  <si>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</si>
  <si>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</si>
  <si>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</si>
  <si>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</si>
  <si>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</si>
  <si>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</si>
  <si>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</si>
  <si>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</si>
  <si>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</si>
  <si>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</si>
  <si>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</si>
  <si>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</si>
  <si>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</si>
  <si>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</si>
  <si>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</si>
  <si>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</si>
  <si>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</si>
  <si>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</si>
  <si>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</si>
  <si>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</si>
  <si>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</si>
  <si>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</si>
  <si>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</si>
  <si>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</si>
  <si>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</si>
  <si>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</si>
  <si>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</si>
  <si>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</si>
  <si>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</si>
  <si>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</si>
  <si>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</si>
  <si>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</si>
  <si>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</si>
  <si>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</si>
  <si>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</si>
  <si>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</si>
  <si>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</si>
  <si>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</si>
  <si>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</si>
  <si>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</si>
  <si>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</si>
  <si>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</si>
  <si>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</si>
  <si>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</si>
  <si>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</si>
  <si>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</si>
  <si>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</si>
  <si>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</si>
  <si>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</si>
  <si>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</si>
  <si>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</si>
  <si>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</si>
  <si>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</si>
  <si>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</si>
  <si>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</si>
  <si>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</si>
  <si>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</si>
  <si>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</si>
  <si>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</si>
  <si>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</si>
  <si>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</si>
  <si>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</si>
  <si>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</si>
  <si>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</si>
  <si>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</si>
  <si>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</si>
  <si>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</si>
  <si>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</si>
  <si>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</si>
  <si>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</si>
  <si>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</si>
  <si>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</si>
  <si>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</si>
  <si>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</si>
  <si>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</si>
  <si>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</si>
  <si>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</si>
  <si>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</si>
  <si>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</si>
  <si>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</si>
  <si>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</si>
  <si>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</si>
  <si>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</si>
  <si>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</si>
  <si>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</si>
  <si>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</si>
  <si>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</si>
  <si>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</si>
  <si>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</si>
  <si>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</si>
  <si>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</si>
  <si>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</si>
  <si>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</si>
  <si>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</si>
  <si>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</si>
  <si>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</si>
  <si>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</si>
  <si>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</si>
  <si>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</si>
  <si>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</si>
  <si>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</si>
  <si>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</si>
  <si>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</si>
  <si>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</si>
  <si>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</si>
  <si>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</si>
  <si>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</si>
  <si>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</si>
  <si>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</si>
  <si>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</si>
  <si>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</si>
  <si>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</si>
  <si>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</si>
  <si>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</si>
  <si>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</si>
  <si>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</si>
  <si>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</si>
  <si>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</si>
  <si>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</si>
  <si>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</si>
  <si>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</si>
  <si>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</si>
  <si>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</si>
  <si>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</si>
  <si>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</si>
  <si>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</si>
  <si>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</si>
  <si>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</si>
  <si>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</si>
  <si>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</si>
  <si>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</si>
  <si>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</si>
  <si>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</si>
  <si>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</si>
  <si>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</si>
  <si>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</si>
  <si>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</si>
  <si>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</si>
  <si>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</si>
  <si>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</si>
  <si>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</si>
  <si>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</si>
  <si>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</si>
  <si>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</si>
  <si>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</si>
  <si>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</si>
  <si>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</si>
  <si>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</si>
  <si>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</si>
  <si>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</si>
  <si>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</si>
  <si>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</si>
  <si>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</si>
  <si>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</si>
  <si>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</si>
  <si>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</si>
  <si>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</si>
  <si>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</si>
  <si>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</si>
  <si>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</si>
  <si>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</si>
  <si>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</si>
  <si>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</si>
  <si>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</si>
  <si>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</si>
  <si>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</si>
  <si>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</si>
  <si>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</si>
  <si>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</si>
  <si>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</si>
  <si>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</si>
  <si>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</si>
  <si>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</si>
  <si>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</si>
  <si>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</si>
  <si>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</si>
  <si>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</si>
  <si>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</si>
  <si>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</si>
  <si>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</si>
  <si>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</si>
  <si>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</si>
  <si>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</si>
  <si>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</si>
  <si>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</si>
  <si>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</si>
  <si>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</si>
  <si>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</si>
  <si>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</si>
  <si>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</si>
  <si>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</si>
  <si>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</si>
  <si>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</si>
  <si>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</si>
  <si>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</si>
  <si>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</si>
  <si>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</si>
  <si>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</si>
  <si>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</si>
  <si>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</si>
  <si>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</si>
  <si>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</si>
  <si>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</si>
  <si>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</si>
  <si>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</si>
  <si>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</si>
  <si>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</si>
  <si>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</si>
  <si>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</si>
  <si>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</si>
  <si>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</si>
  <si>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</si>
  <si>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</si>
  <si>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</si>
  <si>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</si>
  <si>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</si>
  <si>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</si>
  <si>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</si>
  <si>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</si>
  <si>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</si>
  <si>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</si>
  <si>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</si>
  <si>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</si>
  <si>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</si>
  <si>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</si>
  <si>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</si>
  <si>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</si>
  <si>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</si>
  <si>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</si>
  <si>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</si>
  <si>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</si>
  <si>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</si>
  <si>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</si>
  <si>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</si>
  <si>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</si>
  <si>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</si>
  <si>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</si>
  <si>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</si>
  <si>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</si>
  <si>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</si>
  <si>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</si>
  <si>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</si>
  <si>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</si>
  <si>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</si>
  <si>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</si>
  <si>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</si>
  <si>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</si>
  <si>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</si>
  <si>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</si>
  <si>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</si>
  <si>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</si>
  <si>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</si>
  <si>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</si>
  <si>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</si>
  <si>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</si>
  <si>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</si>
  <si>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</si>
  <si>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</si>
  <si>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</si>
  <si>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</si>
  <si>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</si>
  <si>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</si>
  <si>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</si>
  <si>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</si>
  <si>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</si>
  <si>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</si>
  <si>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</si>
  <si>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</si>
  <si>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</si>
  <si>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</si>
  <si>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</si>
  <si>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</si>
  <si>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</si>
  <si>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</si>
  <si>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</si>
  <si>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</si>
  <si>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</si>
  <si>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</si>
  <si>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</si>
  <si>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</si>
  <si>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</si>
  <si>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</si>
  <si>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</si>
  <si>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</si>
  <si>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</si>
  <si>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</si>
  <si>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</si>
  <si>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</si>
  <si>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</si>
  <si>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</si>
  <si>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</si>
  <si>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</si>
  <si>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</si>
  <si>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</si>
  <si>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</si>
  <si>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</si>
  <si>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</si>
  <si>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</si>
  <si>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</si>
  <si>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</si>
  <si>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</si>
  <si>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</si>
  <si>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</si>
  <si>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</si>
  <si>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</si>
  <si>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</si>
  <si>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</si>
  <si>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</si>
  <si>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</si>
  <si>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</si>
  <si>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</si>
  <si>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</si>
  <si>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</si>
  <si>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</si>
  <si>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</si>
  <si>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</si>
  <si>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</si>
  <si>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</si>
  <si>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</si>
  <si>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</si>
  <si>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</si>
  <si>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</si>
  <si>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</si>
  <si>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</si>
  <si>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</si>
  <si>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</si>
  <si>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</si>
  <si>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</si>
  <si>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</si>
  <si>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</si>
  <si>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</si>
  <si>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</si>
  <si>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</si>
  <si>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</si>
  <si>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</si>
  <si>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</si>
  <si>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</si>
  <si>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</si>
  <si>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</si>
  <si>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</si>
  <si>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</si>
  <si>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</si>
  <si>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</si>
  <si>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</si>
  <si>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</si>
  <si>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</si>
  <si>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</si>
  <si>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</si>
  <si>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</si>
  <si>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</si>
  <si>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</si>
  <si>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</si>
  <si>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</si>
  <si>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</si>
  <si>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</si>
  <si>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</si>
  <si>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</si>
  <si>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</si>
  <si>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</si>
  <si>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</si>
  <si>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</si>
  <si>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</si>
  <si>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</si>
  <si>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</si>
  <si>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</si>
  <si>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</si>
  <si>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</si>
  <si>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</si>
  <si>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</si>
  <si>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</si>
  <si>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</si>
  <si>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</si>
  <si>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</si>
  <si>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</si>
  <si>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</si>
  <si>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</si>
  <si>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</si>
  <si>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</si>
  <si>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</si>
  <si>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</si>
  <si>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</si>
  <si>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</si>
  <si>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</si>
  <si>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</si>
  <si>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</si>
  <si>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</si>
  <si>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</si>
  <si>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</si>
  <si>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</si>
  <si>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</si>
  <si>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</si>
  <si>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</si>
  <si>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</si>
  <si>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</si>
  <si>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</si>
  <si>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</si>
  <si>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</si>
  <si>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</si>
  <si>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</si>
  <si>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</si>
  <si>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</si>
  <si>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</si>
  <si>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</si>
  <si>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</si>
  <si>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</si>
  <si>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</si>
  <si>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</si>
  <si>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</si>
  <si>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</si>
  <si>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</si>
  <si>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</si>
  <si>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</si>
  <si>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</si>
  <si>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</si>
  <si>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</si>
  <si>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</si>
  <si>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</si>
  <si>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</si>
  <si>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</si>
  <si>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</si>
  <si>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</si>
  <si>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</si>
  <si>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</si>
  <si>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</si>
  <si>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</si>
  <si>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</si>
  <si>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</si>
  <si>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</si>
  <si>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</si>
  <si>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</si>
  <si>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</si>
  <si>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</si>
  <si>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</si>
  <si>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</si>
  <si>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</si>
  <si>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</si>
  <si>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</si>
  <si>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</si>
  <si>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</si>
  <si>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</si>
  <si>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</si>
  <si>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</si>
  <si>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</si>
  <si>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</si>
  <si>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</si>
  <si>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</si>
  <si>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</si>
  <si>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</si>
  <si>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</si>
  <si>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</si>
  <si>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</si>
  <si>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</si>
  <si>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</si>
  <si>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</si>
  <si>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</si>
  <si>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</si>
  <si>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</si>
  <si>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</si>
  <si>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</si>
  <si>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</si>
  <si>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</si>
  <si>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</si>
  <si>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</si>
  <si>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</si>
  <si>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</si>
  <si>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</si>
  <si>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</si>
  <si>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</si>
  <si>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</si>
  <si>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</si>
  <si>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</si>
  <si>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</si>
  <si>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</si>
  <si>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</si>
  <si>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</si>
  <si>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</si>
  <si>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</si>
  <si>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</si>
  <si>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</si>
  <si>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</si>
  <si>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</si>
  <si>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</si>
  <si>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</si>
  <si>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</si>
  <si>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</si>
  <si>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</si>
  <si>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</si>
  <si>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</si>
  <si>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</si>
  <si>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</si>
  <si>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</si>
  <si>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</si>
  <si>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</si>
  <si>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</si>
  <si>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</si>
  <si>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</si>
  <si>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</si>
  <si>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</si>
  <si>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</si>
  <si>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</si>
  <si>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</si>
  <si>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</si>
  <si>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</si>
  <si>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</si>
  <si>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</si>
  <si>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</si>
  <si>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</si>
  <si>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</si>
  <si>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</si>
  <si>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</si>
  <si>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</si>
  <si>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</si>
  <si>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</si>
  <si>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</si>
  <si>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</si>
  <si>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</si>
  <si>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</si>
  <si>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</si>
  <si>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</si>
  <si>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</si>
  <si>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</si>
  <si>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</si>
  <si>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</si>
  <si>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</si>
  <si>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</si>
  <si>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</si>
  <si>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</si>
  <si>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</si>
  <si>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</si>
  <si>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</si>
  <si>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</si>
  <si>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</si>
  <si>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</si>
  <si>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</si>
  <si>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</si>
  <si>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</si>
  <si>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</si>
  <si>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</si>
  <si>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</si>
  <si>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</si>
  <si>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</si>
  <si>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</si>
  <si>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</si>
  <si>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</si>
  <si>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</si>
  <si>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</si>
  <si>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</si>
  <si>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</si>
  <si>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</si>
  <si>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</si>
  <si>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</si>
  <si>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</si>
  <si>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</si>
  <si>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</si>
  <si>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</si>
  <si>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</si>
  <si>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</si>
  <si>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</si>
  <si>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</si>
  <si>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</si>
  <si>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</si>
  <si>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</si>
  <si>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</si>
  <si>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</si>
  <si>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</si>
  <si>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</si>
  <si>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</si>
  <si>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</si>
  <si>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</si>
  <si>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</si>
  <si>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</si>
  <si>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</si>
  <si>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</si>
  <si>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</si>
  <si>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</si>
  <si>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</si>
  <si>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</si>
  <si>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</si>
  <si>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</si>
  <si>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</si>
  <si>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</si>
  <si>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</si>
  <si>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</si>
  <si>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</si>
  <si>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</si>
  <si>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</si>
  <si>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</si>
  <si>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</si>
  <si>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</si>
  <si>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</si>
  <si>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</si>
  <si>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</si>
  <si>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</si>
  <si>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</si>
  <si>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</si>
  <si>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</si>
  <si>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</si>
  <si>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</si>
  <si>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</si>
  <si>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</si>
  <si>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</si>
  <si>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</si>
  <si>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</si>
  <si>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</si>
  <si>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</si>
  <si>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</si>
  <si>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</si>
  <si>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</si>
  <si>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</si>
  <si>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</si>
  <si>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</si>
  <si>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</si>
  <si>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</si>
  <si>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</si>
  <si>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</si>
  <si>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</si>
  <si>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</si>
  <si>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</si>
  <si>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</si>
  <si>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</si>
  <si>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</si>
  <si>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</si>
  <si>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</si>
  <si>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</si>
  <si>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</si>
  <si>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</si>
  <si>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</si>
  <si>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</si>
  <si>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</si>
  <si>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</si>
  <si>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</si>
  <si>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</si>
  <si>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</si>
  <si>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</si>
  <si>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</si>
  <si>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</si>
  <si>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</si>
  <si>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</si>
  <si>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</si>
  <si>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</si>
  <si>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</si>
  <si>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</si>
  <si>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</si>
  <si>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</si>
  <si>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</si>
  <si>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</si>
  <si>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</si>
  <si>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</si>
  <si>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</si>
  <si>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</si>
  <si>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</si>
  <si>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</si>
  <si>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</si>
  <si>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</si>
  <si>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</si>
  <si>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</si>
  <si>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</si>
  <si>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</si>
  <si>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</si>
  <si>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</si>
  <si>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</si>
  <si>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</si>
  <si>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</si>
  <si>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</si>
  <si>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</si>
  <si>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</si>
  <si>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</si>
  <si>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</si>
  <si>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</si>
  <si>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</si>
  <si>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</si>
  <si>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</si>
  <si>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</si>
  <si>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</si>
  <si>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</si>
  <si>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</si>
  <si>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</si>
  <si>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</si>
  <si>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</si>
  <si>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</si>
  <si>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</si>
  <si>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</si>
  <si>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</si>
  <si>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</si>
  <si>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</si>
  <si>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</si>
  <si>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</si>
  <si>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</si>
  <si>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</si>
  <si>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</si>
  <si>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</si>
  <si>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</si>
  <si>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</si>
  <si>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</si>
  <si>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Correlation Scenario</t>
  </si>
  <si>
    <t>Risk Class</t>
  </si>
  <si>
    <t>SecCtp</t>
  </si>
  <si>
    <t>NonSec</t>
  </si>
  <si>
    <t>Medium</t>
  </si>
  <si>
    <t>Risk Weights CDO</t>
  </si>
  <si>
    <t>Low</t>
  </si>
  <si>
    <t>High</t>
  </si>
  <si>
    <t>Scenario</t>
  </si>
  <si>
    <t>No Hedge</t>
  </si>
  <si>
    <t>Final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</si>
</sst>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95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0" fontId="33" fillId="4" borderId="10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183" fontId="47" fillId="4" borderId="2" xfId="1" applyNumberFormat="1" applyFont="1" applyFill="1" applyBorder="1"/>
    <xf numFmtId="0" fontId="25" fillId="2" borderId="9" xfId="0" applyFont="1" applyFill="1" applyBorder="1"/>
    <xf numFmtId="177" fontId="47" fillId="4" borderId="10" xfId="0" applyNumberFormat="1" applyFont="1" applyFill="1" applyBorder="1"/>
    <xf numFmtId="177" fontId="47" fillId="4" borderId="11" xfId="0" applyNumberFormat="1" applyFont="1" applyFill="1" applyBorder="1"/>
    <xf numFmtId="177" fontId="46" fillId="4" borderId="0" xfId="0" applyNumberFormat="1" applyFont="1" applyFill="1"/>
    <xf numFmtId="10" fontId="23" fillId="0" borderId="7" xfId="5" applyNumberFormat="1" applyFont="1" applyBorder="1"/>
    <xf numFmtId="165" fontId="23" fillId="0" borderId="8" xfId="5" applyNumberFormat="1" applyFont="1" applyBorder="1"/>
    <xf numFmtId="10" fontId="23" fillId="0" borderId="3" xfId="5" applyNumberFormat="1" applyFont="1" applyBorder="1"/>
    <xf numFmtId="165" fontId="23" fillId="0" borderId="4" xfId="5" applyNumberFormat="1" applyFont="1" applyBorder="1"/>
    <xf numFmtId="2" fontId="33" fillId="4" borderId="12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25" fillId="4" borderId="0" xfId="0" applyFont="1" applyFill="1" applyBorder="1"/>
    <xf numFmtId="0" fontId="25" fillId="2" borderId="0" xfId="0" applyFont="1" applyFill="1" applyBorder="1" applyAlignment="1">
      <alignment horizontal="center"/>
    </xf>
    <xf numFmtId="178" fontId="36" fillId="4" borderId="0" xfId="0" applyNumberFormat="1" applyFont="1" applyFill="1" applyBorder="1" applyAlignment="1">
      <alignment horizontal="center"/>
    </xf>
    <xf numFmtId="177" fontId="36" fillId="4" borderId="0" xfId="0" applyNumberFormat="1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8.xml"/><Relationship Id="rId19" Type="http://schemas.microsoft.com/office/2017/10/relationships/person" Target="persons/perso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FRTB!$AQ$26:$AQ$121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FRTB!$AR$24:$AR$121</c:f>
              <c:numCache>
                <c:formatCode>0.0000</c:formatCode>
                <c:ptCount val="98"/>
                <c:pt idx="0">
                  <c:v>-1.0245009369197033E-2</c:v>
                </c:pt>
                <c:pt idx="1">
                  <c:v>-1.5814006893643595E-2</c:v>
                </c:pt>
                <c:pt idx="2">
                  <c:v>-2.0397075385473751E-3</c:v>
                </c:pt>
                <c:pt idx="3">
                  <c:v>1.2437532018699404E-2</c:v>
                </c:pt>
                <c:pt idx="4">
                  <c:v>-5.8451759918598523E-4</c:v>
                </c:pt>
                <c:pt idx="5">
                  <c:v>9.5295692324409709E-4</c:v>
                </c:pt>
                <c:pt idx="6">
                  <c:v>-1.9668005682900724E-2</c:v>
                </c:pt>
                <c:pt idx="7">
                  <c:v>-2.0027129030402713E-3</c:v>
                </c:pt>
                <c:pt idx="8">
                  <c:v>-5.0623852655941604E-3</c:v>
                </c:pt>
                <c:pt idx="9">
                  <c:v>-2.2791873387893069E-2</c:v>
                </c:pt>
                <c:pt idx="10">
                  <c:v>-2.2411487028448807E-2</c:v>
                </c:pt>
                <c:pt idx="11">
                  <c:v>6.6442470845612389E-3</c:v>
                </c:pt>
                <c:pt idx="12">
                  <c:v>-6.0396385082266968E-3</c:v>
                </c:pt>
                <c:pt idx="13">
                  <c:v>-1.0881104083945936E-2</c:v>
                </c:pt>
                <c:pt idx="14">
                  <c:v>2.7569316757021789E-3</c:v>
                </c:pt>
                <c:pt idx="15">
                  <c:v>-8.5499203537847124E-3</c:v>
                </c:pt>
                <c:pt idx="16">
                  <c:v>-1.6083001121226237E-2</c:v>
                </c:pt>
                <c:pt idx="17">
                  <c:v>-1.5476234539739175E-2</c:v>
                </c:pt>
                <c:pt idx="18">
                  <c:v>-1.0854064626623083E-2</c:v>
                </c:pt>
                <c:pt idx="19">
                  <c:v>-3.1483654596889954E-3</c:v>
                </c:pt>
                <c:pt idx="20">
                  <c:v>8.9915536752527281E-5</c:v>
                </c:pt>
                <c:pt idx="21">
                  <c:v>-3.2382484720159255E-3</c:v>
                </c:pt>
                <c:pt idx="22">
                  <c:v>2.2597666817156248E-3</c:v>
                </c:pt>
                <c:pt idx="23">
                  <c:v>-1.6888825037222999E-2</c:v>
                </c:pt>
                <c:pt idx="24">
                  <c:v>-2.1356517114779483E-3</c:v>
                </c:pt>
                <c:pt idx="25">
                  <c:v>-5.8781984637081286E-3</c:v>
                </c:pt>
                <c:pt idx="26">
                  <c:v>6.2665743556637454E-3</c:v>
                </c:pt>
                <c:pt idx="27">
                  <c:v>-1.3569973244170308E-2</c:v>
                </c:pt>
                <c:pt idx="28">
                  <c:v>-5.9732081536421622E-3</c:v>
                </c:pt>
                <c:pt idx="29">
                  <c:v>-1.7493356953682204E-2</c:v>
                </c:pt>
                <c:pt idx="30">
                  <c:v>-1.0202776579298578E-2</c:v>
                </c:pt>
                <c:pt idx="31">
                  <c:v>-2.1002777020565855E-2</c:v>
                </c:pt>
                <c:pt idx="32">
                  <c:v>-1.513793794920254E-2</c:v>
                </c:pt>
                <c:pt idx="33">
                  <c:v>1.1218578203592566E-2</c:v>
                </c:pt>
                <c:pt idx="34">
                  <c:v>9.8608093268558461E-3</c:v>
                </c:pt>
                <c:pt idx="35">
                  <c:v>-1.7019404266770621E-2</c:v>
                </c:pt>
                <c:pt idx="36">
                  <c:v>-2.2053379375170656E-2</c:v>
                </c:pt>
                <c:pt idx="37">
                  <c:v>-4.340765568928262E-3</c:v>
                </c:pt>
                <c:pt idx="38">
                  <c:v>-1.264981503039353E-2</c:v>
                </c:pt>
                <c:pt idx="39">
                  <c:v>1.2027308917268165E-2</c:v>
                </c:pt>
                <c:pt idx="40">
                  <c:v>-1.056331236196012E-2</c:v>
                </c:pt>
                <c:pt idx="41">
                  <c:v>1.975115219517487E-3</c:v>
                </c:pt>
                <c:pt idx="42">
                  <c:v>-1.7159872626412664E-2</c:v>
                </c:pt>
                <c:pt idx="43">
                  <c:v>-1.8644575740534408E-2</c:v>
                </c:pt>
                <c:pt idx="44">
                  <c:v>-1.085525157529349E-2</c:v>
                </c:pt>
                <c:pt idx="45">
                  <c:v>-1.4594140476596296E-2</c:v>
                </c:pt>
                <c:pt idx="46">
                  <c:v>-1.9007027160534207E-2</c:v>
                </c:pt>
                <c:pt idx="47">
                  <c:v>-5.5136991497569676E-3</c:v>
                </c:pt>
                <c:pt idx="48">
                  <c:v>-9.7746766034190191E-3</c:v>
                </c:pt>
                <c:pt idx="49">
                  <c:v>-1.9097150981650435E-2</c:v>
                </c:pt>
                <c:pt idx="50">
                  <c:v>-9.9254358143082699E-3</c:v>
                </c:pt>
                <c:pt idx="51">
                  <c:v>-6.9439400825879738E-3</c:v>
                </c:pt>
                <c:pt idx="52">
                  <c:v>-1.3525253620316535E-2</c:v>
                </c:pt>
                <c:pt idx="53">
                  <c:v>-7.3435651205892016E-3</c:v>
                </c:pt>
                <c:pt idx="54">
                  <c:v>-6.3085022530900425E-3</c:v>
                </c:pt>
                <c:pt idx="55">
                  <c:v>-7.1974001773031926E-3</c:v>
                </c:pt>
                <c:pt idx="56">
                  <c:v>-1.1926707896310951E-2</c:v>
                </c:pt>
                <c:pt idx="57">
                  <c:v>-8.6838741310403811E-3</c:v>
                </c:pt>
                <c:pt idx="58">
                  <c:v>-1.839950486352393E-2</c:v>
                </c:pt>
                <c:pt idx="59">
                  <c:v>-1.1557210137376206E-2</c:v>
                </c:pt>
                <c:pt idx="60">
                  <c:v>-1.3816378416738717E-2</c:v>
                </c:pt>
                <c:pt idx="61">
                  <c:v>-8.1497700453129207E-3</c:v>
                </c:pt>
                <c:pt idx="62">
                  <c:v>-1.1160365072258482E-2</c:v>
                </c:pt>
                <c:pt idx="63">
                  <c:v>-7.541013230690452E-3</c:v>
                </c:pt>
                <c:pt idx="64">
                  <c:v>-1.6722295346437654E-2</c:v>
                </c:pt>
                <c:pt idx="65">
                  <c:v>-1.7431447940222722E-2</c:v>
                </c:pt>
                <c:pt idx="66">
                  <c:v>-1.2528095684606722E-2</c:v>
                </c:pt>
                <c:pt idx="67">
                  <c:v>-1.593780511074111E-2</c:v>
                </c:pt>
                <c:pt idx="68">
                  <c:v>-4.6848601982287796E-3</c:v>
                </c:pt>
                <c:pt idx="69">
                  <c:v>-1.642867684907906E-2</c:v>
                </c:pt>
                <c:pt idx="70">
                  <c:v>-5.8998630577622446E-5</c:v>
                </c:pt>
                <c:pt idx="71">
                  <c:v>-1.1443524494959056E-2</c:v>
                </c:pt>
                <c:pt idx="72">
                  <c:v>-1.6897511295660084E-2</c:v>
                </c:pt>
                <c:pt idx="73">
                  <c:v>-9.1612510806565184E-3</c:v>
                </c:pt>
                <c:pt idx="74">
                  <c:v>-1.1712911316487662E-2</c:v>
                </c:pt>
                <c:pt idx="75">
                  <c:v>5.7635577300625962E-3</c:v>
                </c:pt>
                <c:pt idx="76">
                  <c:v>-2.6336889572846467E-2</c:v>
                </c:pt>
                <c:pt idx="77">
                  <c:v>-1.7017859275940406E-2</c:v>
                </c:pt>
                <c:pt idx="78">
                  <c:v>-6.0696894693766379E-3</c:v>
                </c:pt>
                <c:pt idx="79">
                  <c:v>-2.0598562602515968E-2</c:v>
                </c:pt>
                <c:pt idx="80">
                  <c:v>-1.9304474300389785E-2</c:v>
                </c:pt>
                <c:pt idx="81">
                  <c:v>-1.8814814919640266E-2</c:v>
                </c:pt>
                <c:pt idx="82">
                  <c:v>-8.8033554210148468E-3</c:v>
                </c:pt>
                <c:pt idx="83">
                  <c:v>-6.2201083019215453E-3</c:v>
                </c:pt>
                <c:pt idx="84">
                  <c:v>-6.5940286230018463E-3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FRTB!$AS$24:$AS$121</c:f>
              <c:numCache>
                <c:formatCode>0.0000</c:formatCode>
                <c:ptCount val="98"/>
                <c:pt idx="0">
                  <c:v>-3.4213492955352975E-2</c:v>
                </c:pt>
                <c:pt idx="1">
                  <c:v>-2.9398602251406392E-2</c:v>
                </c:pt>
                <c:pt idx="2">
                  <c:v>-3.924194816574661E-2</c:v>
                </c:pt>
                <c:pt idx="3">
                  <c:v>2.7335214695776155E-3</c:v>
                </c:pt>
                <c:pt idx="4">
                  <c:v>-3.9827519266000977E-2</c:v>
                </c:pt>
                <c:pt idx="5">
                  <c:v>-4.021951287818909E-2</c:v>
                </c:pt>
                <c:pt idx="6">
                  <c:v>-2.5797275414914222E-2</c:v>
                </c:pt>
                <c:pt idx="7">
                  <c:v>-3.9304967542145741E-2</c:v>
                </c:pt>
                <c:pt idx="8">
                  <c:v>-3.7812334627846833E-2</c:v>
                </c:pt>
                <c:pt idx="9">
                  <c:v>-2.2729631465761901E-2</c:v>
                </c:pt>
                <c:pt idx="10">
                  <c:v>-2.3111803508267192E-2</c:v>
                </c:pt>
                <c:pt idx="11">
                  <c:v>-3.7360224482103244E-2</c:v>
                </c:pt>
                <c:pt idx="12">
                  <c:v>-3.7261954217969295E-2</c:v>
                </c:pt>
                <c:pt idx="13">
                  <c:v>-3.369974662892905E-2</c:v>
                </c:pt>
                <c:pt idx="14">
                  <c:v>-3.9852044474555148E-2</c:v>
                </c:pt>
                <c:pt idx="15">
                  <c:v>-3.5467890459922269E-2</c:v>
                </c:pt>
                <c:pt idx="16">
                  <c:v>-2.9166957361376755E-2</c:v>
                </c:pt>
                <c:pt idx="17">
                  <c:v>-2.9688606364892844E-2</c:v>
                </c:pt>
                <c:pt idx="18">
                  <c:v>-3.3691561507351919E-2</c:v>
                </c:pt>
                <c:pt idx="19">
                  <c:v>-3.8742856007451032E-2</c:v>
                </c:pt>
                <c:pt idx="20">
                  <c:v>-3.9914078503666517E-2</c:v>
                </c:pt>
                <c:pt idx="21">
                  <c:v>-3.8725409083389062E-2</c:v>
                </c:pt>
                <c:pt idx="22">
                  <c:v>-4.0088161641824605E-2</c:v>
                </c:pt>
                <c:pt idx="23">
                  <c:v>-2.8425674036022974E-2</c:v>
                </c:pt>
                <c:pt idx="24">
                  <c:v>-3.9287093417731067E-2</c:v>
                </c:pt>
                <c:pt idx="25">
                  <c:v>-3.7252760576601873E-2</c:v>
                </c:pt>
                <c:pt idx="26">
                  <c:v>-3.7972973486579742E-2</c:v>
                </c:pt>
                <c:pt idx="27">
                  <c:v>-3.1405020230465708E-2</c:v>
                </c:pt>
                <c:pt idx="28">
                  <c:v>-3.7241683278395776E-2</c:v>
                </c:pt>
                <c:pt idx="29">
                  <c:v>-2.7878995008874807E-2</c:v>
                </c:pt>
                <c:pt idx="30">
                  <c:v>-3.4239492602943455E-2</c:v>
                </c:pt>
                <c:pt idx="31">
                  <c:v>-2.4508580769405153E-2</c:v>
                </c:pt>
                <c:pt idx="32">
                  <c:v>-3.0031600611635456E-2</c:v>
                </c:pt>
                <c:pt idx="33">
                  <c:v>-2.836459128902552E-2</c:v>
                </c:pt>
                <c:pt idx="34">
                  <c:v>-2.909331543440985E-2</c:v>
                </c:pt>
                <c:pt idx="35">
                  <c:v>-2.83181916307364E-2</c:v>
                </c:pt>
                <c:pt idx="36">
                  <c:v>-2.3451150541139332E-2</c:v>
                </c:pt>
                <c:pt idx="37">
                  <c:v>-3.817396762170272E-2</c:v>
                </c:pt>
                <c:pt idx="38">
                  <c:v>-3.2201098797003447E-2</c:v>
                </c:pt>
                <c:pt idx="39">
                  <c:v>-2.2880866342631145E-2</c:v>
                </c:pt>
                <c:pt idx="40">
                  <c:v>-3.3905199760077886E-2</c:v>
                </c:pt>
                <c:pt idx="41">
                  <c:v>-4.007054771704649E-2</c:v>
                </c:pt>
                <c:pt idx="42">
                  <c:v>-2.818730725095131E-2</c:v>
                </c:pt>
                <c:pt idx="43">
                  <c:v>-2.6731466199475584E-2</c:v>
                </c:pt>
                <c:pt idx="44">
                  <c:v>-3.3779010747015503E-2</c:v>
                </c:pt>
                <c:pt idx="45">
                  <c:v>-3.0513828983236679E-2</c:v>
                </c:pt>
                <c:pt idx="46">
                  <c:v>-2.6434665163841797E-2</c:v>
                </c:pt>
                <c:pt idx="47">
                  <c:v>-3.7525962145025016E-2</c:v>
                </c:pt>
                <c:pt idx="48">
                  <c:v>-3.4553709536819965E-2</c:v>
                </c:pt>
                <c:pt idx="49">
                  <c:v>-2.6307447031960529E-2</c:v>
                </c:pt>
                <c:pt idx="50">
                  <c:v>-3.4457802134276683E-2</c:v>
                </c:pt>
                <c:pt idx="51">
                  <c:v>-3.6625417687566997E-2</c:v>
                </c:pt>
                <c:pt idx="52">
                  <c:v>-3.1461234770900404E-2</c:v>
                </c:pt>
                <c:pt idx="53">
                  <c:v>-3.6263484046171801E-2</c:v>
                </c:pt>
                <c:pt idx="54">
                  <c:v>-3.6991207346255939E-2</c:v>
                </c:pt>
                <c:pt idx="55">
                  <c:v>-3.6485426961795797E-2</c:v>
                </c:pt>
                <c:pt idx="56">
                  <c:v>-3.2824695196837061E-2</c:v>
                </c:pt>
                <c:pt idx="57">
                  <c:v>-3.5359164658481601E-2</c:v>
                </c:pt>
                <c:pt idx="58">
                  <c:v>-2.6997166795605043E-2</c:v>
                </c:pt>
                <c:pt idx="59">
                  <c:v>-3.3154906879997781E-2</c:v>
                </c:pt>
                <c:pt idx="60">
                  <c:v>-3.1217424384766268E-2</c:v>
                </c:pt>
                <c:pt idx="61">
                  <c:v>-3.5724053593723049E-2</c:v>
                </c:pt>
                <c:pt idx="62">
                  <c:v>-3.3431243745066508E-2</c:v>
                </c:pt>
                <c:pt idx="63">
                  <c:v>-3.6137652055509506E-2</c:v>
                </c:pt>
                <c:pt idx="64">
                  <c:v>-2.8583718483623288E-2</c:v>
                </c:pt>
                <c:pt idx="65">
                  <c:v>-2.7934181196998253E-2</c:v>
                </c:pt>
                <c:pt idx="66">
                  <c:v>-3.2330192470039265E-2</c:v>
                </c:pt>
                <c:pt idx="67">
                  <c:v>-2.9292103554694859E-2</c:v>
                </c:pt>
                <c:pt idx="68">
                  <c:v>-3.8083401018635221E-2</c:v>
                </c:pt>
                <c:pt idx="69">
                  <c:v>-2.883086993230094E-2</c:v>
                </c:pt>
                <c:pt idx="70">
                  <c:v>-4.0010280765991391E-2</c:v>
                </c:pt>
                <c:pt idx="71">
                  <c:v>-3.3232642369537935E-2</c:v>
                </c:pt>
                <c:pt idx="72">
                  <c:v>-2.8445682378626935E-2</c:v>
                </c:pt>
                <c:pt idx="73">
                  <c:v>-3.504165844184548E-2</c:v>
                </c:pt>
                <c:pt idx="74">
                  <c:v>-3.3037228055889323E-2</c:v>
                </c:pt>
                <c:pt idx="75">
                  <c:v>-3.8531787046430566E-2</c:v>
                </c:pt>
                <c:pt idx="76">
                  <c:v>-1.9169787267024507E-2</c:v>
                </c:pt>
                <c:pt idx="77">
                  <c:v>-2.831458020841654E-2</c:v>
                </c:pt>
                <c:pt idx="78">
                  <c:v>-3.7187373052076311E-2</c:v>
                </c:pt>
                <c:pt idx="79">
                  <c:v>-2.4911320822858019E-2</c:v>
                </c:pt>
                <c:pt idx="80">
                  <c:v>-2.6151250958182215E-2</c:v>
                </c:pt>
                <c:pt idx="81">
                  <c:v>-2.6621107373701769E-2</c:v>
                </c:pt>
                <c:pt idx="82">
                  <c:v>-3.5331127799000162E-2</c:v>
                </c:pt>
                <c:pt idx="83">
                  <c:v>-3.7105958412764484E-2</c:v>
                </c:pt>
                <c:pt idx="84">
                  <c:v>-3.683455901430116E-2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-0.11232552253158561</c:v>
                </c:pt>
                <c:pt idx="1">
                  <c:v>-0.116810722251454</c:v>
                </c:pt>
                <c:pt idx="2">
                  <c:v>-0.10491433238807733</c:v>
                </c:pt>
                <c:pt idx="3">
                  <c:v>-8.2975868461193869E-2</c:v>
                </c:pt>
                <c:pt idx="4">
                  <c:v>-0.10367522856946609</c:v>
                </c:pt>
                <c:pt idx="5">
                  <c:v>-0.10230132142767516</c:v>
                </c:pt>
                <c:pt idx="6">
                  <c:v>-6.4117675958613951E-2</c:v>
                </c:pt>
                <c:pt idx="7">
                  <c:v>-0.10496445358435763</c:v>
                </c:pt>
                <c:pt idx="8">
                  <c:v>-0.10782725948377793</c:v>
                </c:pt>
                <c:pt idx="9">
                  <c:v>-0.12228910593859815</c:v>
                </c:pt>
                <c:pt idx="10">
                  <c:v>-0.12200301913838814</c:v>
                </c:pt>
                <c:pt idx="11">
                  <c:v>-9.4818515167838013E-2</c:v>
                </c:pt>
                <c:pt idx="12">
                  <c:v>-0.10877894055665151</c:v>
                </c:pt>
                <c:pt idx="13">
                  <c:v>-0.1128473051450634</c:v>
                </c:pt>
                <c:pt idx="14">
                  <c:v>-9.9811385532340147E-2</c:v>
                </c:pt>
                <c:pt idx="15">
                  <c:v>-0.11083662118492746</c:v>
                </c:pt>
                <c:pt idx="16">
                  <c:v>-6.2674217797277554E-2</c:v>
                </c:pt>
                <c:pt idx="17">
                  <c:v>-6.239998386801858E-2</c:v>
                </c:pt>
                <c:pt idx="18">
                  <c:v>-0.11277542173426794</c:v>
                </c:pt>
                <c:pt idx="19">
                  <c:v>-0.10592641892667372</c:v>
                </c:pt>
                <c:pt idx="20">
                  <c:v>-0.10287644130088236</c:v>
                </c:pt>
                <c:pt idx="21">
                  <c:v>-0.10605431014845029</c:v>
                </c:pt>
                <c:pt idx="22">
                  <c:v>-0.15194497948996066</c:v>
                </c:pt>
                <c:pt idx="23">
                  <c:v>-0.11769175724623596</c:v>
                </c:pt>
                <c:pt idx="24">
                  <c:v>-0.10515285390762949</c:v>
                </c:pt>
                <c:pt idx="25">
                  <c:v>-0.16438400321632346</c:v>
                </c:pt>
                <c:pt idx="26">
                  <c:v>-9.5584750224900081E-2</c:v>
                </c:pt>
                <c:pt idx="27">
                  <c:v>-0.11500562149466487</c:v>
                </c:pt>
                <c:pt idx="28">
                  <c:v>-0.10860998884046799</c:v>
                </c:pt>
                <c:pt idx="29">
                  <c:v>-0.1181953804747681</c:v>
                </c:pt>
                <c:pt idx="30">
                  <c:v>-0.1122779183730485</c:v>
                </c:pt>
                <c:pt idx="31">
                  <c:v>-0.120930010255969</c:v>
                </c:pt>
                <c:pt idx="32">
                  <c:v>-0.11629872217582379</c:v>
                </c:pt>
                <c:pt idx="33">
                  <c:v>-9.1361570559093178E-2</c:v>
                </c:pt>
                <c:pt idx="34">
                  <c:v>-8.8732040472988494E-2</c:v>
                </c:pt>
                <c:pt idx="35">
                  <c:v>-0.11781540794311871</c:v>
                </c:pt>
                <c:pt idx="36">
                  <c:v>-0.1217094141006107</c:v>
                </c:pt>
                <c:pt idx="37">
                  <c:v>-0.10709244163107699</c:v>
                </c:pt>
                <c:pt idx="38">
                  <c:v>-0.1142593395140554</c:v>
                </c:pt>
                <c:pt idx="39">
                  <c:v>-8.9509156340903659E-2</c:v>
                </c:pt>
                <c:pt idx="40">
                  <c:v>-0.11250009794530234</c:v>
                </c:pt>
                <c:pt idx="41">
                  <c:v>-0.1008983621136391</c:v>
                </c:pt>
                <c:pt idx="42">
                  <c:v>-0.11792666310030989</c:v>
                </c:pt>
                <c:pt idx="43">
                  <c:v>-0.11901841221732774</c:v>
                </c:pt>
                <c:pt idx="44">
                  <c:v>-0.11292246634900167</c:v>
                </c:pt>
                <c:pt idx="45">
                  <c:v>-0.11585321847673383</c:v>
                </c:pt>
                <c:pt idx="46">
                  <c:v>-0.11937084799462262</c:v>
                </c:pt>
                <c:pt idx="47">
                  <c:v>-0.10820109227965924</c:v>
                </c:pt>
                <c:pt idx="48">
                  <c:v>-0.1118837153037025</c:v>
                </c:pt>
                <c:pt idx="49">
                  <c:v>-0.11938515119807025</c:v>
                </c:pt>
                <c:pt idx="50">
                  <c:v>-0.11204638555125682</c:v>
                </c:pt>
                <c:pt idx="51">
                  <c:v>-5.8811910933172465E-2</c:v>
                </c:pt>
                <c:pt idx="52">
                  <c:v>-6.1629332558197858E-2</c:v>
                </c:pt>
                <c:pt idx="53">
                  <c:v>-5.8903912426778199E-2</c:v>
                </c:pt>
                <c:pt idx="54">
                  <c:v>-5.8472994109134036E-2</c:v>
                </c:pt>
                <c:pt idx="55">
                  <c:v>-5.8956938990687588E-2</c:v>
                </c:pt>
                <c:pt idx="56">
                  <c:v>-6.0960765079176596E-2</c:v>
                </c:pt>
                <c:pt idx="57">
                  <c:v>-0.11093415909189933</c:v>
                </c:pt>
                <c:pt idx="58">
                  <c:v>-0.11887155916819271</c:v>
                </c:pt>
                <c:pt idx="59">
                  <c:v>-6.0826430511081699E-2</c:v>
                </c:pt>
                <c:pt idx="60">
                  <c:v>-6.1759247315394436E-2</c:v>
                </c:pt>
                <c:pt idx="61">
                  <c:v>-5.9290007263535414E-2</c:v>
                </c:pt>
                <c:pt idx="62">
                  <c:v>-6.0612795480084455E-2</c:v>
                </c:pt>
                <c:pt idx="63">
                  <c:v>-0.10987691441692413</c:v>
                </c:pt>
                <c:pt idx="64">
                  <c:v>-0.11756469836614644</c:v>
                </c:pt>
                <c:pt idx="65">
                  <c:v>-0.11814247176879555</c:v>
                </c:pt>
                <c:pt idx="66">
                  <c:v>-6.1224060159945526E-2</c:v>
                </c:pt>
                <c:pt idx="67">
                  <c:v>-0.1169194951197372</c:v>
                </c:pt>
                <c:pt idx="68">
                  <c:v>-7.5265954977330352E-2</c:v>
                </c:pt>
                <c:pt idx="69">
                  <c:v>-8.183640544670652E-2</c:v>
                </c:pt>
                <c:pt idx="70">
                  <c:v>-0.10325134558605742</c:v>
                </c:pt>
                <c:pt idx="71">
                  <c:v>-7.9139678883149017E-2</c:v>
                </c:pt>
                <c:pt idx="72">
                  <c:v>-8.2139468511932989E-2</c:v>
                </c:pt>
                <c:pt idx="73">
                  <c:v>-0.11139559151018824</c:v>
                </c:pt>
                <c:pt idx="74">
                  <c:v>-0.11356682832984488</c:v>
                </c:pt>
                <c:pt idx="75">
                  <c:v>-6.7569979220732421E-2</c:v>
                </c:pt>
                <c:pt idx="76">
                  <c:v>-0.12499154311170346</c:v>
                </c:pt>
                <c:pt idx="77">
                  <c:v>-8.218365149048755E-2</c:v>
                </c:pt>
                <c:pt idx="78">
                  <c:v>-7.6025177067389135E-2</c:v>
                </c:pt>
                <c:pt idx="79">
                  <c:v>-8.4085476387465358E-2</c:v>
                </c:pt>
                <c:pt idx="80">
                  <c:v>-8.3396190663460795E-2</c:v>
                </c:pt>
                <c:pt idx="81">
                  <c:v>-8.3139189762908475E-2</c:v>
                </c:pt>
                <c:pt idx="82">
                  <c:v>-0.11113952454547354</c:v>
                </c:pt>
                <c:pt idx="83">
                  <c:v>-7.6133933663670827E-2</c:v>
                </c:pt>
                <c:pt idx="84">
                  <c:v>-0.10914498944387661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3.8940566746476987E-3</c:v>
                </c:pt>
                <c:pt idx="1">
                  <c:v>-1.4586031633200928E-3</c:v>
                </c:pt>
                <c:pt idx="2">
                  <c:v>1.9049627551355027E-2</c:v>
                </c:pt>
                <c:pt idx="3">
                  <c:v>0.11584197960207468</c:v>
                </c:pt>
                <c:pt idx="4">
                  <c:v>2.2904064279144012E-2</c:v>
                </c:pt>
                <c:pt idx="5">
                  <c:v>2.7629018432864843E-2</c:v>
                </c:pt>
                <c:pt idx="6">
                  <c:v>4.2403775956172604E-3</c:v>
                </c:pt>
                <c:pt idx="7">
                  <c:v>1.9053900442141745E-2</c:v>
                </c:pt>
                <c:pt idx="8">
                  <c:v>1.2103809023835635E-2</c:v>
                </c:pt>
                <c:pt idx="9">
                  <c:v>-4.8831002180476542E-3</c:v>
                </c:pt>
                <c:pt idx="10">
                  <c:v>-4.778177802944367E-3</c:v>
                </c:pt>
                <c:pt idx="11">
                  <c:v>5.7246536173367696E-2</c:v>
                </c:pt>
                <c:pt idx="12">
                  <c:v>1.019644834674201E-2</c:v>
                </c:pt>
                <c:pt idx="13">
                  <c:v>3.1323784915127141E-3</c:v>
                </c:pt>
                <c:pt idx="14">
                  <c:v>3.5272698732633251E-2</c:v>
                </c:pt>
                <c:pt idx="15">
                  <c:v>6.2356279732959548E-3</c:v>
                </c:pt>
                <c:pt idx="16">
                  <c:v>7.3275932395822536E-3</c:v>
                </c:pt>
                <c:pt idx="17">
                  <c:v>7.9620553743390832E-3</c:v>
                </c:pt>
                <c:pt idx="18">
                  <c:v>3.2020229845908521E-3</c:v>
                </c:pt>
                <c:pt idx="19">
                  <c:v>1.635721681450001E-2</c:v>
                </c:pt>
                <c:pt idx="20">
                  <c:v>2.5117712973533862E-2</c:v>
                </c:pt>
                <c:pt idx="21">
                  <c:v>1.610204237352118E-2</c:v>
                </c:pt>
                <c:pt idx="22">
                  <c:v>1.5376564786388963E-2</c:v>
                </c:pt>
                <c:pt idx="23">
                  <c:v>-2.2151961125847289E-3</c:v>
                </c:pt>
                <c:pt idx="24">
                  <c:v>1.8647808539654174E-2</c:v>
                </c:pt>
                <c:pt idx="25">
                  <c:v>-4.7464352208584637E-3</c:v>
                </c:pt>
                <c:pt idx="26">
                  <c:v>5.4079540791308792E-2</c:v>
                </c:pt>
                <c:pt idx="27">
                  <c:v>3.756971677131779E-4</c:v>
                </c:pt>
                <c:pt idx="28">
                  <c:v>1.041002343352488E-2</c:v>
                </c:pt>
                <c:pt idx="29">
                  <c:v>-2.6099600536250087E-3</c:v>
                </c:pt>
                <c:pt idx="30">
                  <c:v>3.9558286306059891E-3</c:v>
                </c:pt>
                <c:pt idx="31">
                  <c:v>-4.3127324927584032E-3</c:v>
                </c:pt>
                <c:pt idx="32">
                  <c:v>-9.7049667516071331E-4</c:v>
                </c:pt>
                <c:pt idx="33">
                  <c:v>0.10111256707860046</c:v>
                </c:pt>
                <c:pt idx="34">
                  <c:v>9.3464786975341593E-2</c:v>
                </c:pt>
                <c:pt idx="35">
                  <c:v>-2.3128391464523855E-3</c:v>
                </c:pt>
                <c:pt idx="36">
                  <c:v>-4.6559460039151124E-3</c:v>
                </c:pt>
                <c:pt idx="37">
                  <c:v>1.3646279031601701E-2</c:v>
                </c:pt>
                <c:pt idx="38">
                  <c:v>1.2512016906170986E-3</c:v>
                </c:pt>
                <c:pt idx="39">
                  <c:v>0.1192259539624493</c:v>
                </c:pt>
                <c:pt idx="40">
                  <c:v>3.575584985750651E-3</c:v>
                </c:pt>
                <c:pt idx="41">
                  <c:v>3.1764806348948418E-2</c:v>
                </c:pt>
                <c:pt idx="42">
                  <c:v>-2.4015991735598166E-3</c:v>
                </c:pt>
                <c:pt idx="43">
                  <c:v>-3.1987439455709483E-3</c:v>
                </c:pt>
                <c:pt idx="44">
                  <c:v>3.0967226798259868E-3</c:v>
                </c:pt>
                <c:pt idx="45">
                  <c:v>-5.2812657189208953E-4</c:v>
                </c:pt>
                <c:pt idx="46">
                  <c:v>-3.4347654418357028E-3</c:v>
                </c:pt>
                <c:pt idx="47">
                  <c:v>1.1261395695496321E-2</c:v>
                </c:pt>
                <c:pt idx="48">
                  <c:v>4.5275711745508054E-3</c:v>
                </c:pt>
                <c:pt idx="49">
                  <c:v>-3.439082654861654E-3</c:v>
                </c:pt>
                <c:pt idx="50">
                  <c:v>4.3053860580223105E-3</c:v>
                </c:pt>
                <c:pt idx="51">
                  <c:v>2.002813057680846E-2</c:v>
                </c:pt>
                <c:pt idx="52">
                  <c:v>1.0085667079572752E-2</c:v>
                </c:pt>
                <c:pt idx="53">
                  <c:v>1.9389554793628298E-2</c:v>
                </c:pt>
                <c:pt idx="54">
                  <c:v>2.132927757475464E-2</c:v>
                </c:pt>
                <c:pt idx="55">
                  <c:v>1.9516299325365992E-2</c:v>
                </c:pt>
                <c:pt idx="56">
                  <c:v>1.2089611904485391E-2</c:v>
                </c:pt>
                <c:pt idx="57">
                  <c:v>6.0568406464084415E-3</c:v>
                </c:pt>
                <c:pt idx="58">
                  <c:v>-3.1024202000449926E-3</c:v>
                </c:pt>
                <c:pt idx="59">
                  <c:v>1.2565925952060799E-2</c:v>
                </c:pt>
                <c:pt idx="60">
                  <c:v>9.7367582115584338E-3</c:v>
                </c:pt>
                <c:pt idx="61">
                  <c:v>1.7906585392612112E-2</c:v>
                </c:pt>
                <c:pt idx="62">
                  <c:v>1.3158938854425858E-2</c:v>
                </c:pt>
                <c:pt idx="63">
                  <c:v>7.8443169082680238E-3</c:v>
                </c:pt>
                <c:pt idx="64">
                  <c:v>-2.1100736845000474E-3</c:v>
                </c:pt>
                <c:pt idx="65">
                  <c:v>-2.569863560506952E-3</c:v>
                </c:pt>
                <c:pt idx="66">
                  <c:v>1.129900051980252E-2</c:v>
                </c:pt>
                <c:pt idx="67">
                  <c:v>-1.5554276688182871E-3</c:v>
                </c:pt>
                <c:pt idx="68">
                  <c:v>2.067449841386635E-2</c:v>
                </c:pt>
                <c:pt idx="69">
                  <c:v>4.0412254689388295E-3</c:v>
                </c:pt>
                <c:pt idx="70">
                  <c:v>2.4397022637184716E-2</c:v>
                </c:pt>
                <c:pt idx="71">
                  <c:v>9.322980881699916E-3</c:v>
                </c:pt>
                <c:pt idx="72">
                  <c:v>3.6060142784258911E-3</c:v>
                </c:pt>
                <c:pt idx="73">
                  <c:v>5.3217130185719275E-3</c:v>
                </c:pt>
                <c:pt idx="74">
                  <c:v>2.1706910444533739E-3</c:v>
                </c:pt>
                <c:pt idx="75">
                  <c:v>5.9466100526550117E-2</c:v>
                </c:pt>
                <c:pt idx="76">
                  <c:v>-5.5361008846971423E-3</c:v>
                </c:pt>
                <c:pt idx="77">
                  <c:v>3.5198736940579567E-3</c:v>
                </c:pt>
                <c:pt idx="78">
                  <c:v>1.7911039464719624E-2</c:v>
                </c:pt>
                <c:pt idx="79">
                  <c:v>9.9004972446424706E-4</c:v>
                </c:pt>
                <c:pt idx="80">
                  <c:v>1.8146393034373966E-3</c:v>
                </c:pt>
                <c:pt idx="81">
                  <c:v>2.1504028347639672E-3</c:v>
                </c:pt>
                <c:pt idx="82">
                  <c:v>5.8043900796680425E-3</c:v>
                </c:pt>
                <c:pt idx="83">
                  <c:v>1.7600321479941221E-2</c:v>
                </c:pt>
                <c:pt idx="84">
                  <c:v>9.3241833425011071E-3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4</xdr:col>
      <xdr:colOff>784391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387350</xdr:colOff>
          <xdr:row>5</xdr:row>
          <xdr:rowOff>12700</xdr:rowOff>
        </xdr:from>
        <xdr:to>
          <xdr:col>24</xdr:col>
          <xdr:colOff>342900</xdr:colOff>
          <xdr:row>6</xdr:row>
          <xdr:rowOff>88900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9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3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7" t="s">
        <v>21</v>
      </c>
      <c r="D5" s="648"/>
      <c r="F5" s="649" t="s">
        <v>23</v>
      </c>
      <c r="G5" s="650"/>
      <c r="I5" s="649" t="s">
        <v>22</v>
      </c>
      <c r="J5" s="650"/>
      <c r="R5" s="647" t="s">
        <v>39</v>
      </c>
      <c r="S5" s="648"/>
      <c r="U5" s="649" t="s">
        <v>40</v>
      </c>
      <c r="V5" s="650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7" t="s">
        <v>21</v>
      </c>
      <c r="C20" s="651"/>
      <c r="D20" s="651"/>
      <c r="E20" s="651"/>
      <c r="F20" s="651"/>
      <c r="G20" s="651"/>
      <c r="H20" s="651"/>
      <c r="I20" s="651"/>
      <c r="J20" s="648"/>
      <c r="L20" s="647" t="s">
        <v>23</v>
      </c>
      <c r="M20" s="648"/>
      <c r="O20" s="647" t="s">
        <v>22</v>
      </c>
      <c r="P20" s="648"/>
      <c r="R20" s="652" t="s">
        <v>39</v>
      </c>
      <c r="S20" s="653"/>
      <c r="T20" s="653"/>
      <c r="U20" s="653"/>
      <c r="V20" s="653"/>
      <c r="W20" s="653"/>
      <c r="X20" s="654"/>
      <c r="Z20" s="649" t="s">
        <v>40</v>
      </c>
      <c r="AA20" s="650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Z20:AA20"/>
    <mergeCell ref="L20:M20"/>
    <mergeCell ref="O20:P20"/>
    <mergeCell ref="R5:S5"/>
    <mergeCell ref="I5:J5"/>
    <mergeCell ref="C5:D5"/>
    <mergeCell ref="F5:G5"/>
    <mergeCell ref="B20:J20"/>
    <mergeCell ref="R20:X20"/>
    <mergeCell ref="U5:V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topLeftCell="A7" zoomScale="145" zoomScaleNormal="145" workbookViewId="0">
      <selection activeCell="E18" sqref="E18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55" t="s">
        <v>48</v>
      </c>
      <c r="G7" s="656"/>
      <c r="H7" s="656"/>
      <c r="I7" s="656"/>
      <c r="J7" s="656"/>
      <c r="K7" s="656"/>
      <c r="L7" s="656"/>
      <c r="M7" s="656"/>
      <c r="N7" s="656"/>
      <c r="O7" s="656"/>
      <c r="P7" s="656"/>
      <c r="Q7" s="657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608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58" t="s">
        <v>68</v>
      </c>
      <c r="G13" s="659"/>
      <c r="H13" s="659"/>
      <c r="I13" s="659"/>
      <c r="J13" s="659"/>
      <c r="K13" s="659"/>
      <c r="L13" s="659"/>
      <c r="M13" s="659"/>
      <c r="N13" s="659"/>
      <c r="O13" s="659"/>
      <c r="P13" s="659"/>
      <c r="Q13" s="66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666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654</v>
      </c>
      <c r="C19" s="550"/>
      <c r="D19" s="101"/>
      <c r="E19" s="101"/>
      <c r="F19" s="101"/>
      <c r="G19" s="102"/>
      <c r="H19" s="655" t="s">
        <v>48</v>
      </c>
      <c r="I19" s="656"/>
      <c r="J19" s="656"/>
      <c r="K19" s="656"/>
      <c r="L19" s="656"/>
      <c r="M19" s="656"/>
      <c r="N19" s="656"/>
      <c r="O19" s="657"/>
    </row>
    <row r="20" spans="2:17" ht="21.5" thickBot="1">
      <c r="B20" s="128" t="s">
        <v>49</v>
      </c>
      <c r="C20" s="551" t="s">
        <v>50</v>
      </c>
      <c r="D20" s="551" t="s">
        <v>51</v>
      </c>
      <c r="E20" s="551" t="s">
        <v>52</v>
      </c>
      <c r="F20" s="128" t="s">
        <v>655</v>
      </c>
      <c r="G20" s="552" t="s">
        <v>656</v>
      </c>
      <c r="H20" s="58" t="s">
        <v>608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607</v>
      </c>
    </row>
    <row r="21" spans="2:17">
      <c r="B21" s="61" t="s">
        <v>66</v>
      </c>
      <c r="C21" s="548" t="s">
        <v>42</v>
      </c>
      <c r="D21" s="548">
        <v>1</v>
      </c>
      <c r="E21" s="548">
        <v>6</v>
      </c>
      <c r="F21" s="548" t="s">
        <v>660</v>
      </c>
      <c r="G21" s="63" t="s">
        <v>657</v>
      </c>
      <c r="H21" s="554">
        <v>3.4180000000000002E-2</v>
      </c>
      <c r="I21" s="555">
        <v>3.039E-2</v>
      </c>
      <c r="J21" s="555">
        <v>2.8570000000000002E-2</v>
      </c>
      <c r="K21" s="555">
        <v>2.708E-2</v>
      </c>
      <c r="L21" s="555">
        <v>2.665E-2</v>
      </c>
      <c r="M21" s="555">
        <v>2.6720000000000001E-2</v>
      </c>
      <c r="N21" s="555">
        <v>2.7040000000000002E-2</v>
      </c>
      <c r="O21" s="556">
        <v>2.436E-2</v>
      </c>
      <c r="P21" s="547"/>
      <c r="Q21" s="547"/>
    </row>
    <row r="22" spans="2:17">
      <c r="B22" s="67" t="s">
        <v>66</v>
      </c>
      <c r="C22" s="549" t="s">
        <v>42</v>
      </c>
      <c r="D22" s="549">
        <v>1</v>
      </c>
      <c r="E22" s="549">
        <v>3</v>
      </c>
      <c r="F22" s="549" t="s">
        <v>661</v>
      </c>
      <c r="G22" s="69" t="s">
        <v>657</v>
      </c>
      <c r="H22" s="557">
        <v>3.3070000000000002E-2</v>
      </c>
      <c r="I22" s="558">
        <v>2.955E-2</v>
      </c>
      <c r="J22" s="558">
        <v>2.784E-2</v>
      </c>
      <c r="K22" s="558">
        <v>2.6499999999999999E-2</v>
      </c>
      <c r="L22" s="558">
        <v>2.6169999999999999E-2</v>
      </c>
      <c r="M22" s="558">
        <v>2.6409999999999999E-2</v>
      </c>
      <c r="N22" s="558">
        <v>2.6950000000000002E-2</v>
      </c>
      <c r="O22" s="559">
        <v>2.4729999999999999E-2</v>
      </c>
      <c r="P22" s="547"/>
      <c r="Q22" s="547"/>
    </row>
    <row r="23" spans="2:17" ht="15" thickBot="1">
      <c r="B23" s="73" t="s">
        <v>67</v>
      </c>
      <c r="C23" s="553" t="s">
        <v>43</v>
      </c>
      <c r="D23" s="553">
        <v>1.0865</v>
      </c>
      <c r="E23" s="553">
        <v>1</v>
      </c>
      <c r="F23" s="553" t="s">
        <v>659</v>
      </c>
      <c r="G23" s="75" t="s">
        <v>658</v>
      </c>
      <c r="H23" s="560">
        <v>4.7559999999999998E-2</v>
      </c>
      <c r="I23" s="561">
        <v>4.2529999999999998E-2</v>
      </c>
      <c r="J23" s="561">
        <v>3.9980000000000002E-2</v>
      </c>
      <c r="K23" s="561">
        <v>3.7789999999999997E-2</v>
      </c>
      <c r="L23" s="561">
        <v>3.7139999999999999E-2</v>
      </c>
      <c r="M23" s="561">
        <v>3.6999999999999998E-2</v>
      </c>
      <c r="N23" s="561">
        <v>3.7330000000000002E-2</v>
      </c>
      <c r="O23" s="562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55" t="s">
        <v>72</v>
      </c>
      <c r="H2" s="656"/>
      <c r="I2" s="656"/>
      <c r="J2" s="144" t="b">
        <v>1</v>
      </c>
    </row>
    <row r="3" spans="1:50" ht="15" thickBot="1">
      <c r="J3" s="99"/>
    </row>
    <row r="4" spans="1:50" ht="15" thickBot="1">
      <c r="G4" s="655" t="s">
        <v>73</v>
      </c>
      <c r="H4" s="656"/>
      <c r="I4" s="657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64" t="b">
        <v>1</v>
      </c>
      <c r="D6" s="665"/>
      <c r="E6" s="85"/>
      <c r="F6" s="85"/>
      <c r="G6" s="655" t="s">
        <v>74</v>
      </c>
      <c r="H6" s="656"/>
      <c r="I6" s="657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66">
        <f ca="1">GetCDSRefDate(Parameter_Date,C6)</f>
        <v>45280</v>
      </c>
      <c r="D7" s="667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55" t="s">
        <v>76</v>
      </c>
      <c r="F9" s="656"/>
      <c r="G9" s="656"/>
      <c r="H9" s="656"/>
      <c r="I9" s="656"/>
      <c r="J9" s="656"/>
      <c r="K9" s="656"/>
      <c r="L9" s="656"/>
      <c r="M9" s="657"/>
      <c r="N9" s="661" t="s">
        <v>77</v>
      </c>
      <c r="O9" s="662"/>
      <c r="P9" s="662"/>
      <c r="Q9" s="662"/>
      <c r="R9" s="662"/>
      <c r="S9" s="662"/>
      <c r="T9" s="662"/>
      <c r="U9" s="662"/>
      <c r="V9" s="663"/>
      <c r="W9" s="661" t="s">
        <v>78</v>
      </c>
      <c r="X9" s="662"/>
      <c r="Y9" s="662"/>
      <c r="Z9" s="662"/>
      <c r="AA9" s="662"/>
      <c r="AB9" s="662"/>
      <c r="AC9" s="662"/>
      <c r="AD9" s="662"/>
      <c r="AE9" s="663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616</v>
      </c>
      <c r="AM364" s="135" t="s">
        <v>620</v>
      </c>
      <c r="AN364" s="135"/>
      <c r="AQ364" s="135" t="s">
        <v>624</v>
      </c>
      <c r="AR364" s="135"/>
      <c r="AU364" s="135" t="s">
        <v>662</v>
      </c>
      <c r="AV364" s="135"/>
    </row>
    <row r="365" spans="1:53" ht="10.5" customHeight="1">
      <c r="A365" s="96">
        <v>354</v>
      </c>
      <c r="B365" s="68" t="s">
        <v>609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621</v>
      </c>
      <c r="AN365" s="135">
        <f ca="1">0.00359635/AG366</f>
        <v>0.78057033849393798</v>
      </c>
      <c r="AO365" s="135"/>
      <c r="AP365" s="135"/>
      <c r="AQ365" s="135" t="s">
        <v>621</v>
      </c>
      <c r="AR365" s="135">
        <f ca="1">0.00094748/AG366</f>
        <v>0.20564594222370913</v>
      </c>
      <c r="AU365" s="135" t="s">
        <v>621</v>
      </c>
      <c r="AV365" s="565">
        <f ca="1">AX365/AG366</f>
        <v>14.640061764529777</v>
      </c>
      <c r="AX365" s="570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617</v>
      </c>
      <c r="AG366" s="135">
        <v>4.6073362292230243E-3</v>
      </c>
      <c r="AK366" s="135"/>
      <c r="AM366" s="135" t="s">
        <v>623</v>
      </c>
      <c r="AN366" s="135">
        <f ca="1">0.00928509/AG367</f>
        <v>1.1634497154520191</v>
      </c>
      <c r="AQ366" s="135" t="s">
        <v>623</v>
      </c>
      <c r="AR366" s="135">
        <f ca="1">0.00224398/AG367</f>
        <v>0.2811774460430671</v>
      </c>
      <c r="AU366" s="135" t="s">
        <v>623</v>
      </c>
      <c r="AV366" s="565">
        <f ca="1">AX366/AG367</f>
        <v>13.956070813439366</v>
      </c>
      <c r="AX366" s="569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618</v>
      </c>
      <c r="AG367" s="135">
        <v>7.9806543219554538E-3</v>
      </c>
      <c r="AK367" s="135"/>
      <c r="AM367" s="135" t="s">
        <v>622</v>
      </c>
      <c r="AN367" s="135">
        <f ca="1">0.01555165/AG368</f>
        <v>1.6944089896016694</v>
      </c>
      <c r="AQ367" s="135" t="s">
        <v>622</v>
      </c>
      <c r="AR367" s="135">
        <f ca="1">0.00370112/AG368</f>
        <v>0.4032505232303023</v>
      </c>
      <c r="AU367" s="135" t="s">
        <v>663</v>
      </c>
      <c r="AV367" s="565">
        <f ca="1">AX367/AG368</f>
        <v>17.13745523167152</v>
      </c>
      <c r="AX367" s="568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619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5" t="s">
        <v>55</v>
      </c>
      <c r="AI371" s="515" t="s">
        <v>57</v>
      </c>
      <c r="AJ371" s="515" t="s">
        <v>59</v>
      </c>
      <c r="AK371" s="135"/>
      <c r="AL371" s="515" t="s">
        <v>55</v>
      </c>
      <c r="AM371" s="515" t="s">
        <v>57</v>
      </c>
      <c r="AN371" s="515" t="s">
        <v>59</v>
      </c>
      <c r="AP371" s="515" t="s">
        <v>55</v>
      </c>
      <c r="AQ371" s="515" t="s">
        <v>57</v>
      </c>
      <c r="AR371" s="515" t="s">
        <v>59</v>
      </c>
      <c r="AT371" s="515" t="s">
        <v>55</v>
      </c>
      <c r="AU371" s="515" t="s">
        <v>57</v>
      </c>
      <c r="AV371" s="515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5">
        <f t="shared" ref="AP372:AP403" ca="1" si="11">AH372*$AR$365</f>
        <v>6.3544596147126122E-4</v>
      </c>
      <c r="AQ372" s="515">
        <f t="shared" ref="AQ372:AQ403" ca="1" si="12">AI372*$AR$366</f>
        <v>1.2920103645678934E-3</v>
      </c>
      <c r="AR372" s="515">
        <f t="shared" ref="AR372:AR403" ca="1" si="13">AJ372*$AR$367</f>
        <v>2.5469303047225894E-3</v>
      </c>
      <c r="AT372" s="515">
        <f ca="1">AH372*$AV$365</f>
        <v>4.5237790852397007E-2</v>
      </c>
      <c r="AU372" s="515">
        <f ca="1">AI372*$AV$366</f>
        <v>6.4128145387753882E-2</v>
      </c>
      <c r="AV372" s="515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5">
        <f t="shared" ca="1" si="11"/>
        <v>6.0501036202215228E-4</v>
      </c>
      <c r="AQ373" s="515">
        <f t="shared" ca="1" si="12"/>
        <v>1.3926718902513113E-3</v>
      </c>
      <c r="AR373" s="515">
        <f t="shared" ca="1" si="13"/>
        <v>2.8425129382504007E-3</v>
      </c>
      <c r="AT373" s="515">
        <f t="shared" ref="AT373:AT436" ca="1" si="14">AH373*$AV$365</f>
        <v>4.3071061711246611E-2</v>
      </c>
      <c r="AU373" s="515">
        <f t="shared" ref="AU373:AU436" ca="1" si="15">AI373*$AV$366</f>
        <v>6.9124418738965174E-2</v>
      </c>
      <c r="AV373" s="515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610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5">
        <f t="shared" ca="1" si="11"/>
        <v>6.2536931030229945E-4</v>
      </c>
      <c r="AQ374" s="515">
        <f t="shared" ca="1" si="12"/>
        <v>1.4505944441361833E-3</v>
      </c>
      <c r="AR374" s="515">
        <f t="shared" ca="1" si="13"/>
        <v>2.7602498315114194E-3</v>
      </c>
      <c r="AT374" s="515">
        <f t="shared" ca="1" si="14"/>
        <v>4.4520427825935051E-2</v>
      </c>
      <c r="AU374" s="515">
        <f t="shared" ca="1" si="15"/>
        <v>7.1999369326533696E-2</v>
      </c>
      <c r="AV374" s="515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5">
        <f t="shared" ca="1" si="11"/>
        <v>2.0202657364057183E-3</v>
      </c>
      <c r="AQ375" s="515">
        <f t="shared" ca="1" si="12"/>
        <v>4.1217801815453207E-3</v>
      </c>
      <c r="AR375" s="515">
        <f t="shared" ca="1" si="13"/>
        <v>7.5536888011500224E-3</v>
      </c>
      <c r="AT375" s="515">
        <f t="shared" ca="1" si="14"/>
        <v>0.14382396677474052</v>
      </c>
      <c r="AU375" s="515">
        <f t="shared" ca="1" si="15"/>
        <v>0.20458204205420766</v>
      </c>
      <c r="AV375" s="515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5">
        <f t="shared" ca="1" si="11"/>
        <v>9.8031420658042153E-4</v>
      </c>
      <c r="AQ376" s="515">
        <f t="shared" ca="1" si="12"/>
        <v>2.8280827523011688E-3</v>
      </c>
      <c r="AR376" s="515">
        <f t="shared" ca="1" si="13"/>
        <v>6.2511896111161463E-3</v>
      </c>
      <c r="AT376" s="515">
        <f t="shared" ca="1" si="14"/>
        <v>6.9789174431513459E-2</v>
      </c>
      <c r="AU376" s="515">
        <f t="shared" ca="1" si="15"/>
        <v>0.14037016024157314</v>
      </c>
      <c r="AV376" s="515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5">
        <f t="shared" ca="1" si="11"/>
        <v>1.4031222637923674E-3</v>
      </c>
      <c r="AQ377" s="515">
        <f t="shared" ca="1" si="12"/>
        <v>3.9151147587036667E-3</v>
      </c>
      <c r="AR377" s="515">
        <f t="shared" ca="1" si="13"/>
        <v>8.1670328469833128E-3</v>
      </c>
      <c r="AT377" s="515">
        <f t="shared" ca="1" si="14"/>
        <v>9.9889141419386679E-2</v>
      </c>
      <c r="AU377" s="515">
        <f t="shared" ca="1" si="15"/>
        <v>0.19432433000632973</v>
      </c>
      <c r="AV377" s="515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5">
        <f t="shared" ca="1" si="11"/>
        <v>4.5159848912326527E-4</v>
      </c>
      <c r="AQ378" s="515">
        <f t="shared" ca="1" si="12"/>
        <v>8.7643009931624011E-4</v>
      </c>
      <c r="AR378" s="515">
        <f t="shared" ca="1" si="13"/>
        <v>1.7585755318073484E-3</v>
      </c>
      <c r="AT378" s="515">
        <f t="shared" ca="1" si="14"/>
        <v>3.214957563490739E-2</v>
      </c>
      <c r="AU378" s="515">
        <f t="shared" ca="1" si="15"/>
        <v>4.3501072725490503E-2</v>
      </c>
      <c r="AV378" s="515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5">
        <f t="shared" ca="1" si="11"/>
        <v>4.1458221952299764E-4</v>
      </c>
      <c r="AQ379" s="515">
        <f t="shared" ca="1" si="12"/>
        <v>9.6022097823707415E-4</v>
      </c>
      <c r="AR379" s="515">
        <f t="shared" ca="1" si="13"/>
        <v>2.1706975665487173E-3</v>
      </c>
      <c r="AT379" s="515">
        <f t="shared" ca="1" si="14"/>
        <v>2.951436451729203E-2</v>
      </c>
      <c r="AU379" s="515">
        <f t="shared" ca="1" si="15"/>
        <v>4.7659981827895437E-2</v>
      </c>
      <c r="AV379" s="515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5">
        <f t="shared" ca="1" si="11"/>
        <v>4.569452836210817E-4</v>
      </c>
      <c r="AQ380" s="515">
        <f t="shared" ca="1" si="12"/>
        <v>1.1969723878053368E-3</v>
      </c>
      <c r="AR380" s="515">
        <f t="shared" ca="1" si="13"/>
        <v>2.5223320228055408E-3</v>
      </c>
      <c r="AT380" s="515">
        <f t="shared" ca="1" si="14"/>
        <v>3.2530217240785163E-2</v>
      </c>
      <c r="AU380" s="515">
        <f t="shared" ca="1" si="15"/>
        <v>5.9410993452811388E-2</v>
      </c>
      <c r="AV380" s="515">
        <f t="shared" ca="1" si="16"/>
        <v>0.10719478247410537</v>
      </c>
    </row>
    <row r="381" spans="1:48" ht="10.5" customHeight="1">
      <c r="A381" s="96">
        <v>370</v>
      </c>
      <c r="B381" s="68" t="s">
        <v>611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5">
        <f t="shared" ca="1" si="11"/>
        <v>1.5696954769935719E-3</v>
      </c>
      <c r="AQ381" s="515">
        <f t="shared" ca="1" si="12"/>
        <v>3.2073911270132666E-3</v>
      </c>
      <c r="AR381" s="515">
        <f t="shared" ca="1" si="13"/>
        <v>5.9515744723560313E-3</v>
      </c>
      <c r="AT381" s="515">
        <f t="shared" ca="1" si="14"/>
        <v>0.11174759144865579</v>
      </c>
      <c r="AU381" s="515">
        <f t="shared" ca="1" si="15"/>
        <v>0.15919689976890286</v>
      </c>
      <c r="AV381" s="515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5">
        <f t="shared" ca="1" si="11"/>
        <v>5.8321189214643912E-4</v>
      </c>
      <c r="AQ382" s="515">
        <f t="shared" ca="1" si="12"/>
        <v>1.4129166663664121E-3</v>
      </c>
      <c r="AR382" s="515">
        <f t="shared" ca="1" si="13"/>
        <v>2.9284052996984555E-3</v>
      </c>
      <c r="AT382" s="515">
        <f t="shared" ca="1" si="14"/>
        <v>4.1519215164206445E-2</v>
      </c>
      <c r="AU382" s="515">
        <f t="shared" ca="1" si="15"/>
        <v>7.0129255837532808E-2</v>
      </c>
      <c r="AV382" s="515">
        <f t="shared" ca="1" si="16"/>
        <v>0.12445219989239859</v>
      </c>
    </row>
    <row r="383" spans="1:48" ht="10.5" customHeight="1">
      <c r="A383" s="96">
        <v>372</v>
      </c>
      <c r="B383" s="68" t="s">
        <v>612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5">
        <f t="shared" ca="1" si="11"/>
        <v>4.5303801071883121E-4</v>
      </c>
      <c r="AQ383" s="515">
        <f t="shared" ca="1" si="12"/>
        <v>9.4588092848887765E-4</v>
      </c>
      <c r="AR383" s="515">
        <f t="shared" ca="1" si="13"/>
        <v>1.9811698206304751E-3</v>
      </c>
      <c r="AT383" s="515">
        <f t="shared" ca="1" si="14"/>
        <v>3.2252056067259102E-2</v>
      </c>
      <c r="AU383" s="515">
        <f t="shared" ca="1" si="15"/>
        <v>4.6948222216410027E-2</v>
      </c>
      <c r="AV383" s="515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5">
        <f t="shared" ca="1" si="11"/>
        <v>1.1067864610480025E-3</v>
      </c>
      <c r="AQ384" s="515">
        <f t="shared" ca="1" si="12"/>
        <v>2.4819533162221533E-3</v>
      </c>
      <c r="AR384" s="515">
        <f t="shared" ca="1" si="13"/>
        <v>5.0370022856697063E-3</v>
      </c>
      <c r="AT384" s="515">
        <f t="shared" ca="1" si="14"/>
        <v>7.8792812416699262E-2</v>
      </c>
      <c r="AU384" s="515">
        <f t="shared" ca="1" si="15"/>
        <v>0.12319023707022927</v>
      </c>
      <c r="AV384" s="515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5">
        <f t="shared" ca="1" si="11"/>
        <v>5.9740146215987505E-4</v>
      </c>
      <c r="AQ385" s="515">
        <f t="shared" ca="1" si="12"/>
        <v>1.324064593416803E-2</v>
      </c>
      <c r="AR385" s="515">
        <f t="shared" ca="1" si="13"/>
        <v>2.6707282153542924E-3</v>
      </c>
      <c r="AT385" s="515">
        <f t="shared" ca="1" si="14"/>
        <v>4.2529379425959003E-2</v>
      </c>
      <c r="AU385" s="515">
        <f t="shared" ca="1" si="15"/>
        <v>0.65719137460485977</v>
      </c>
      <c r="AV385" s="515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5">
        <f t="shared" ca="1" si="11"/>
        <v>1.060516124047668E-3</v>
      </c>
      <c r="AQ386" s="515">
        <f t="shared" ca="1" si="12"/>
        <v>2.7411989214738614E-3</v>
      </c>
      <c r="AR386" s="515">
        <f t="shared" ca="1" si="13"/>
        <v>5.1640262004872513E-3</v>
      </c>
      <c r="AT386" s="515">
        <f t="shared" ca="1" si="14"/>
        <v>7.5498798519680069E-2</v>
      </c>
      <c r="AU386" s="515">
        <f t="shared" ca="1" si="15"/>
        <v>0.13605773436022039</v>
      </c>
      <c r="AV386" s="515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5">
        <f t="shared" ca="1" si="11"/>
        <v>1.0527015782431672E-3</v>
      </c>
      <c r="AQ387" s="515">
        <f t="shared" ca="1" si="12"/>
        <v>3.0476823376608042E-3</v>
      </c>
      <c r="AR387" s="515">
        <f t="shared" ca="1" si="13"/>
        <v>6.4753969020321942E-3</v>
      </c>
      <c r="AT387" s="515">
        <f t="shared" ca="1" si="14"/>
        <v>7.4942476172627934E-2</v>
      </c>
      <c r="AU387" s="515">
        <f t="shared" ca="1" si="15"/>
        <v>0.15126985154686928</v>
      </c>
      <c r="AV387" s="515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5">
        <f t="shared" ca="1" si="11"/>
        <v>3.1402135377560386E-4</v>
      </c>
      <c r="AQ388" s="515">
        <f t="shared" ca="1" si="12"/>
        <v>7.0013184064723715E-4</v>
      </c>
      <c r="AR388" s="515">
        <f t="shared" ca="1" si="13"/>
        <v>1.4637993993259974E-3</v>
      </c>
      <c r="AT388" s="515">
        <f t="shared" ca="1" si="14"/>
        <v>2.235537431443697E-2</v>
      </c>
      <c r="AU388" s="515">
        <f t="shared" ca="1" si="15"/>
        <v>3.4750616325464022E-2</v>
      </c>
      <c r="AV388" s="515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5">
        <f t="shared" ca="1" si="11"/>
        <v>1.0436531567853237E-3</v>
      </c>
      <c r="AQ389" s="515">
        <f t="shared" ca="1" si="12"/>
        <v>2.4847650906825837E-3</v>
      </c>
      <c r="AR389" s="515">
        <f t="shared" ca="1" si="13"/>
        <v>5.2495153114120756E-3</v>
      </c>
      <c r="AT389" s="515">
        <f t="shared" ca="1" si="14"/>
        <v>7.4298313454988621E-2</v>
      </c>
      <c r="AU389" s="515">
        <f t="shared" ca="1" si="15"/>
        <v>0.12332979777836367</v>
      </c>
      <c r="AV389" s="515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5">
        <f t="shared" ca="1" si="11"/>
        <v>8.3409994165936413E-4</v>
      </c>
      <c r="AQ390" s="515">
        <f t="shared" ca="1" si="12"/>
        <v>2.015198755790662E-3</v>
      </c>
      <c r="AR390" s="515">
        <f t="shared" ca="1" si="13"/>
        <v>4.3127643459480829E-3</v>
      </c>
      <c r="AT390" s="515">
        <f t="shared" ca="1" si="14"/>
        <v>5.9380090516932771E-2</v>
      </c>
      <c r="AU390" s="515">
        <f t="shared" ca="1" si="15"/>
        <v>0.10002315951991993</v>
      </c>
      <c r="AV390" s="515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5">
        <f t="shared" ca="1" si="11"/>
        <v>2.4492431718843756E-4</v>
      </c>
      <c r="AQ391" s="515">
        <f t="shared" ca="1" si="12"/>
        <v>5.3648656705017198E-4</v>
      </c>
      <c r="AR391" s="515">
        <f t="shared" ca="1" si="13"/>
        <v>1.1722492710304888E-3</v>
      </c>
      <c r="AT391" s="515">
        <f t="shared" ca="1" si="14"/>
        <v>1.7436313561554964E-2</v>
      </c>
      <c r="AU391" s="515">
        <f t="shared" ca="1" si="15"/>
        <v>2.6628183112042309E-2</v>
      </c>
      <c r="AV391" s="515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5">
        <f t="shared" ca="1" si="11"/>
        <v>2.478033603795695E-4</v>
      </c>
      <c r="AQ392" s="515">
        <f t="shared" ca="1" si="12"/>
        <v>5.5504427848901449E-4</v>
      </c>
      <c r="AR392" s="515">
        <f t="shared" ca="1" si="13"/>
        <v>1.2319303484685734E-3</v>
      </c>
      <c r="AT392" s="515">
        <f t="shared" ca="1" si="14"/>
        <v>1.7641274426258381E-2</v>
      </c>
      <c r="AU392" s="515">
        <f t="shared" ca="1" si="15"/>
        <v>2.7549283785729309E-2</v>
      </c>
      <c r="AV392" s="515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5">
        <f t="shared" ca="1" si="11"/>
        <v>2.3766501542794062E-3</v>
      </c>
      <c r="AQ393" s="515">
        <f t="shared" ca="1" si="12"/>
        <v>4.8657757037752769E-3</v>
      </c>
      <c r="AR393" s="515">
        <f t="shared" ca="1" si="13"/>
        <v>8.4291456870830093E-3</v>
      </c>
      <c r="AT393" s="515">
        <f t="shared" ca="1" si="14"/>
        <v>0.16919519381267062</v>
      </c>
      <c r="AU393" s="515">
        <f t="shared" ca="1" si="15"/>
        <v>0.24150980542656825</v>
      </c>
      <c r="AV393" s="515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5">
        <f t="shared" ca="1" si="11"/>
        <v>7.1914385995631091E-4</v>
      </c>
      <c r="AQ394" s="515">
        <f t="shared" ca="1" si="12"/>
        <v>1.8841700659345928E-3</v>
      </c>
      <c r="AR394" s="515">
        <f t="shared" ca="1" si="13"/>
        <v>4.2018704520597498E-3</v>
      </c>
      <c r="AT394" s="515">
        <f t="shared" ca="1" si="14"/>
        <v>5.1196295990560636E-2</v>
      </c>
      <c r="AU394" s="515">
        <f t="shared" ca="1" si="15"/>
        <v>9.3519630520857197E-2</v>
      </c>
      <c r="AV394" s="515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5">
        <f t="shared" ca="1" si="11"/>
        <v>5.6758280053743719E-4</v>
      </c>
      <c r="AQ395" s="515">
        <f t="shared" ca="1" si="12"/>
        <v>1.3516199831290234E-3</v>
      </c>
      <c r="AR395" s="515">
        <f t="shared" ca="1" si="13"/>
        <v>2.7913001218001525E-3</v>
      </c>
      <c r="AT395" s="515">
        <f t="shared" ca="1" si="14"/>
        <v>4.0406570470102182E-2</v>
      </c>
      <c r="AU395" s="515">
        <f t="shared" ca="1" si="15"/>
        <v>6.7086832400203023E-2</v>
      </c>
      <c r="AV395" s="515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5">
        <f t="shared" ca="1" si="11"/>
        <v>1.6564780646119771E-3</v>
      </c>
      <c r="AQ396" s="515">
        <f t="shared" ca="1" si="12"/>
        <v>3.5172486725527263E-3</v>
      </c>
      <c r="AR396" s="515">
        <f t="shared" ca="1" si="13"/>
        <v>6.0959381596724796E-3</v>
      </c>
      <c r="AT396" s="515">
        <f t="shared" ca="1" si="14"/>
        <v>0.11792569751328735</v>
      </c>
      <c r="AU396" s="515">
        <f t="shared" ca="1" si="15"/>
        <v>0.17457648980531301</v>
      </c>
      <c r="AV396" s="515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5">
        <f t="shared" ca="1" si="11"/>
        <v>7.0577687371176979E-4</v>
      </c>
      <c r="AQ397" s="515">
        <f t="shared" ca="1" si="12"/>
        <v>1.5892149250354153E-3</v>
      </c>
      <c r="AR397" s="515">
        <f t="shared" ca="1" si="13"/>
        <v>3.2485862151433158E-3</v>
      </c>
      <c r="AT397" s="515">
        <f t="shared" ca="1" si="14"/>
        <v>5.0244691975866201E-2</v>
      </c>
      <c r="AU397" s="515">
        <f t="shared" ca="1" si="15"/>
        <v>7.8879712237559296E-2</v>
      </c>
      <c r="AV397" s="515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5">
        <f t="shared" ca="1" si="11"/>
        <v>4.2568710040307784E-4</v>
      </c>
      <c r="AQ398" s="515">
        <f t="shared" ca="1" si="12"/>
        <v>9.2704203960399228E-4</v>
      </c>
      <c r="AR398" s="515">
        <f t="shared" ca="1" si="13"/>
        <v>1.7787380579688634E-3</v>
      </c>
      <c r="AT398" s="515">
        <f t="shared" ca="1" si="14"/>
        <v>3.0304927852576637E-2</v>
      </c>
      <c r="AU398" s="515">
        <f t="shared" ca="1" si="15"/>
        <v>4.6013165471909589E-2</v>
      </c>
      <c r="AV398" s="515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5">
        <f t="shared" ca="1" si="11"/>
        <v>4.8635265335907209E-4</v>
      </c>
      <c r="AQ399" s="515">
        <f t="shared" ca="1" si="12"/>
        <v>9.7006218884858146E-4</v>
      </c>
      <c r="AR399" s="515">
        <f t="shared" ca="1" si="13"/>
        <v>1.878340937206748E-3</v>
      </c>
      <c r="AT399" s="515">
        <f t="shared" ca="1" si="14"/>
        <v>3.4623746073112922E-2</v>
      </c>
      <c r="AU399" s="515">
        <f t="shared" ca="1" si="15"/>
        <v>4.8148444306365813E-2</v>
      </c>
      <c r="AV399" s="515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5">
        <f t="shared" ca="1" si="11"/>
        <v>6.1035715651996871E-4</v>
      </c>
      <c r="AQ400" s="515">
        <f t="shared" ca="1" si="12"/>
        <v>1.3544317575894542E-3</v>
      </c>
      <c r="AR400" s="515">
        <f t="shared" ca="1" si="13"/>
        <v>2.8663047191209885E-3</v>
      </c>
      <c r="AT400" s="515">
        <f t="shared" ca="1" si="14"/>
        <v>4.3451703317124384E-2</v>
      </c>
      <c r="AU400" s="515">
        <f t="shared" ca="1" si="15"/>
        <v>6.7226393108337432E-2</v>
      </c>
      <c r="AV400" s="515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5">
        <f t="shared" ca="1" si="11"/>
        <v>1.0607217699898917E-3</v>
      </c>
      <c r="AQ401" s="515">
        <f t="shared" ca="1" si="12"/>
        <v>2.3011562184164611E-3</v>
      </c>
      <c r="AR401" s="515">
        <f t="shared" ca="1" si="13"/>
        <v>4.2139679677566586E-3</v>
      </c>
      <c r="AT401" s="515">
        <f t="shared" ca="1" si="14"/>
        <v>7.5513438581444589E-2</v>
      </c>
      <c r="AU401" s="515">
        <f t="shared" ca="1" si="15"/>
        <v>0.11421648353718777</v>
      </c>
      <c r="AV401" s="515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5">
        <f t="shared" ca="1" si="11"/>
        <v>1.2106376618709756E-3</v>
      </c>
      <c r="AQ402" s="515">
        <f t="shared" ca="1" si="12"/>
        <v>2.8806629347112225E-3</v>
      </c>
      <c r="AR402" s="515">
        <f t="shared" ca="1" si="13"/>
        <v>5.9838345142144561E-3</v>
      </c>
      <c r="AT402" s="515">
        <f t="shared" ca="1" si="14"/>
        <v>8.6186043607786797E-2</v>
      </c>
      <c r="AU402" s="515">
        <f t="shared" ca="1" si="15"/>
        <v>0.14297994548368631</v>
      </c>
      <c r="AV402" s="515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5">
        <f t="shared" ca="1" si="11"/>
        <v>1.0210321031407159E-3</v>
      </c>
      <c r="AQ403" s="515">
        <f t="shared" ca="1" si="12"/>
        <v>2.2854102814380494E-3</v>
      </c>
      <c r="AR403" s="515">
        <f t="shared" ca="1" si="13"/>
        <v>4.5272936243066038E-3</v>
      </c>
      <c r="AT403" s="515">
        <f t="shared" ca="1" si="14"/>
        <v>7.2687906660890339E-2</v>
      </c>
      <c r="AU403" s="515">
        <f t="shared" ca="1" si="15"/>
        <v>0.11343494357163517</v>
      </c>
      <c r="AV403" s="515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5">
        <f t="shared" ref="AP404:AP435" ca="1" si="20">AH404*$AR$365</f>
        <v>1.387081880298918E-3</v>
      </c>
      <c r="AQ404" s="515">
        <f t="shared" ref="AQ404:AQ435" ca="1" si="21">AI404*$AR$366</f>
        <v>3.3685058035959436E-3</v>
      </c>
      <c r="AR404" s="515">
        <f t="shared" ref="AR404:AR435" ca="1" si="22">AJ404*$AR$367</f>
        <v>6.8250151056728665E-3</v>
      </c>
      <c r="AT404" s="515">
        <f t="shared" ca="1" si="14"/>
        <v>9.8747216601753354E-2</v>
      </c>
      <c r="AU404" s="515">
        <f t="shared" ca="1" si="15"/>
        <v>0.16719372834500359</v>
      </c>
      <c r="AV404" s="515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5">
        <f t="shared" ca="1" si="20"/>
        <v>3.9833619008732457E-4</v>
      </c>
      <c r="AQ405" s="515">
        <f t="shared" ca="1" si="21"/>
        <v>8.7193126017955113E-4</v>
      </c>
      <c r="AR405" s="515">
        <f t="shared" ca="1" si="22"/>
        <v>1.8553556573826209E-3</v>
      </c>
      <c r="AT405" s="515">
        <f t="shared" ca="1" si="14"/>
        <v>2.8357799637894178E-2</v>
      </c>
      <c r="AU405" s="515">
        <f t="shared" ca="1" si="15"/>
        <v>4.3277775592475476E-2</v>
      </c>
      <c r="AV405" s="515">
        <f t="shared" ca="1" si="16"/>
        <v>7.8849431520920665E-2</v>
      </c>
    </row>
    <row r="406" spans="1:48" ht="10.5" customHeight="1">
      <c r="A406" s="96">
        <v>395</v>
      </c>
      <c r="B406" s="68" t="s">
        <v>613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5">
        <f t="shared" ca="1" si="20"/>
        <v>9.8689487673158023E-4</v>
      </c>
      <c r="AQ406" s="515">
        <f t="shared" ca="1" si="21"/>
        <v>2.4597402979847512E-3</v>
      </c>
      <c r="AR406" s="515">
        <f t="shared" ca="1" si="22"/>
        <v>4.8873963415512643E-3</v>
      </c>
      <c r="AT406" s="515">
        <f t="shared" ca="1" si="14"/>
        <v>7.0257656407978403E-2</v>
      </c>
      <c r="AU406" s="515">
        <f t="shared" ca="1" si="15"/>
        <v>0.12208770747596759</v>
      </c>
      <c r="AV406" s="515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5">
        <f t="shared" ca="1" si="20"/>
        <v>8.8345496779305445E-4</v>
      </c>
      <c r="AQ407" s="515">
        <f t="shared" ca="1" si="21"/>
        <v>1.9091948586324257E-3</v>
      </c>
      <c r="AR407" s="515">
        <f t="shared" ca="1" si="22"/>
        <v>4.0284727270707204E-3</v>
      </c>
      <c r="AT407" s="515">
        <f t="shared" ca="1" si="14"/>
        <v>6.2893705340419923E-2</v>
      </c>
      <c r="AU407" s="515">
        <f t="shared" ca="1" si="15"/>
        <v>9.4761720823253293E-2</v>
      </c>
      <c r="AV407" s="515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5">
        <f t="shared" ca="1" si="20"/>
        <v>2.1327540668020875E-3</v>
      </c>
      <c r="AQ408" s="515">
        <f t="shared" ca="1" si="21"/>
        <v>4.6734503306818187E-3</v>
      </c>
      <c r="AR408" s="515">
        <f t="shared" ca="1" si="22"/>
        <v>7.8129788875871079E-3</v>
      </c>
      <c r="AT408" s="515">
        <f t="shared" ca="1" si="14"/>
        <v>0.15183208055993833</v>
      </c>
      <c r="AU408" s="515">
        <f t="shared" ca="1" si="15"/>
        <v>0.23196385299017572</v>
      </c>
      <c r="AV408" s="515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5">
        <f t="shared" ca="1" si="20"/>
        <v>5.2028423382598416E-4</v>
      </c>
      <c r="AQ409" s="515">
        <f t="shared" ca="1" si="21"/>
        <v>1.1162744607909763E-3</v>
      </c>
      <c r="AR409" s="515">
        <f t="shared" ca="1" si="22"/>
        <v>2.2953019782268806E-3</v>
      </c>
      <c r="AT409" s="515">
        <f t="shared" ca="1" si="14"/>
        <v>3.7039356264260338E-2</v>
      </c>
      <c r="AU409" s="515">
        <f t="shared" ca="1" si="15"/>
        <v>5.5405601129354276E-2</v>
      </c>
      <c r="AV409" s="515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5">
        <f t="shared" ca="1" si="20"/>
        <v>8.1127324207253243E-4</v>
      </c>
      <c r="AQ410" s="515">
        <f t="shared" ca="1" si="21"/>
        <v>1.8948548088842292E-3</v>
      </c>
      <c r="AR410" s="515">
        <f t="shared" ca="1" si="22"/>
        <v>3.9369348582974414E-3</v>
      </c>
      <c r="AT410" s="515">
        <f t="shared" ca="1" si="14"/>
        <v>5.7755043661069969E-2</v>
      </c>
      <c r="AU410" s="515">
        <f t="shared" ca="1" si="15"/>
        <v>9.4049961211767896E-2</v>
      </c>
      <c r="AV410" s="515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5">
        <f t="shared" ca="1" si="20"/>
        <v>3.5741264758480646E-4</v>
      </c>
      <c r="AQ411" s="515">
        <f t="shared" ca="1" si="21"/>
        <v>8.3256641773352168E-4</v>
      </c>
      <c r="AR411" s="515">
        <f t="shared" ca="1" si="22"/>
        <v>1.6722799198360635E-3</v>
      </c>
      <c r="AT411" s="515">
        <f t="shared" ca="1" si="14"/>
        <v>2.5444427346752754E-2</v>
      </c>
      <c r="AU411" s="515">
        <f t="shared" ca="1" si="15"/>
        <v>4.1323925678593963E-2</v>
      </c>
      <c r="AV411" s="515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5">
        <f t="shared" ca="1" si="20"/>
        <v>5.9513935679541424E-4</v>
      </c>
      <c r="AQ412" s="515">
        <f t="shared" ca="1" si="21"/>
        <v>1.4171343280570583E-3</v>
      </c>
      <c r="AR412" s="515">
        <f t="shared" ca="1" si="22"/>
        <v>3.0566389660856915E-3</v>
      </c>
      <c r="AT412" s="515">
        <f t="shared" ca="1" si="14"/>
        <v>4.2368338746549175E-2</v>
      </c>
      <c r="AU412" s="515">
        <f t="shared" ca="1" si="15"/>
        <v>7.0338596899734401E-2</v>
      </c>
      <c r="AV412" s="515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5">
        <f t="shared" ca="1" si="20"/>
        <v>2.6939618431305894E-4</v>
      </c>
      <c r="AQ413" s="515">
        <f t="shared" ca="1" si="21"/>
        <v>6.2702570467603966E-4</v>
      </c>
      <c r="AR413" s="515">
        <f t="shared" ca="1" si="22"/>
        <v>1.354115257007355E-3</v>
      </c>
      <c r="AT413" s="515">
        <f t="shared" ca="1" si="14"/>
        <v>1.9178480911534009E-2</v>
      </c>
      <c r="AU413" s="515">
        <f t="shared" ca="1" si="15"/>
        <v>3.112203791396979E-2</v>
      </c>
      <c r="AV413" s="515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5">
        <f t="shared" ca="1" si="20"/>
        <v>4.4727992433656733E-4</v>
      </c>
      <c r="AQ414" s="515">
        <f t="shared" ca="1" si="21"/>
        <v>9.9508698154641452E-4</v>
      </c>
      <c r="AR414" s="515">
        <f t="shared" ca="1" si="22"/>
        <v>1.9420545198771358E-3</v>
      </c>
      <c r="AT414" s="515">
        <f t="shared" ca="1" si="14"/>
        <v>3.1842134337852261E-2</v>
      </c>
      <c r="AU414" s="515">
        <f t="shared" ca="1" si="15"/>
        <v>4.9390534608761916E-2</v>
      </c>
      <c r="AV414" s="515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5">
        <f t="shared" ca="1" si="20"/>
        <v>3.4959810178030549E-4</v>
      </c>
      <c r="AQ415" s="515">
        <f t="shared" ca="1" si="21"/>
        <v>7.4118374776952489E-3</v>
      </c>
      <c r="AR415" s="515">
        <f t="shared" ca="1" si="22"/>
        <v>1.5763062953072517E-3</v>
      </c>
      <c r="AT415" s="515">
        <f t="shared" ca="1" si="14"/>
        <v>2.4888104999700619E-2</v>
      </c>
      <c r="AU415" s="515">
        <f t="shared" ca="1" si="15"/>
        <v>0.36788202664226172</v>
      </c>
      <c r="AV415" s="515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5">
        <f t="shared" ca="1" si="20"/>
        <v>3.6358202585151777E-3</v>
      </c>
      <c r="AQ416" s="515">
        <f t="shared" ca="1" si="21"/>
        <v>7.0792045590263005E-3</v>
      </c>
      <c r="AR416" s="515">
        <f t="shared" ca="1" si="22"/>
        <v>1.2191473068821729E-2</v>
      </c>
      <c r="AT416" s="515">
        <f t="shared" ca="1" si="14"/>
        <v>0.25883629199688646</v>
      </c>
      <c r="AU416" s="515">
        <f t="shared" ca="1" si="15"/>
        <v>0.35137199486996296</v>
      </c>
      <c r="AV416" s="515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5">
        <f t="shared" ca="1" si="20"/>
        <v>3.7592078238494027E-4</v>
      </c>
      <c r="AQ417" s="515">
        <f t="shared" ca="1" si="21"/>
        <v>8.6349593679825901E-4</v>
      </c>
      <c r="AR417" s="515">
        <f t="shared" ca="1" si="22"/>
        <v>1.756962529714427E-3</v>
      </c>
      <c r="AT417" s="515">
        <f t="shared" ca="1" si="14"/>
        <v>2.6762032905560434E-2</v>
      </c>
      <c r="AU417" s="515">
        <f t="shared" ca="1" si="15"/>
        <v>4.285909346807229E-2</v>
      </c>
      <c r="AV417" s="515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5">
        <f t="shared" ca="1" si="20"/>
        <v>2.7515427069532282E-4</v>
      </c>
      <c r="AQ418" s="515">
        <f t="shared" ca="1" si="21"/>
        <v>5.7219610269764148E-4</v>
      </c>
      <c r="AR418" s="515">
        <f t="shared" ca="1" si="22"/>
        <v>1.1464412375437494E-3</v>
      </c>
      <c r="AT418" s="515">
        <f t="shared" ca="1" si="14"/>
        <v>1.9588402640940843E-2</v>
      </c>
      <c r="AU418" s="515">
        <f t="shared" ca="1" si="15"/>
        <v>2.8400604105349107E-2</v>
      </c>
      <c r="AV418" s="515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5">
        <f t="shared" ca="1" si="20"/>
        <v>9.3815678842456109E-4</v>
      </c>
      <c r="AQ419" s="515">
        <f t="shared" ca="1" si="21"/>
        <v>2.1189532333805538E-3</v>
      </c>
      <c r="AR419" s="515">
        <f t="shared" ca="1" si="22"/>
        <v>4.4313199997777922E-3</v>
      </c>
      <c r="AT419" s="515">
        <f t="shared" ca="1" si="14"/>
        <v>6.678796176978484E-2</v>
      </c>
      <c r="AU419" s="515">
        <f t="shared" ca="1" si="15"/>
        <v>0.10517294965007906</v>
      </c>
      <c r="AV419" s="515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5">
        <f t="shared" ca="1" si="20"/>
        <v>5.4681256037284257E-4</v>
      </c>
      <c r="AQ420" s="515">
        <f t="shared" ca="1" si="21"/>
        <v>1.1927547261146906E-3</v>
      </c>
      <c r="AR420" s="515">
        <f t="shared" ca="1" si="22"/>
        <v>2.2819947109602805E-3</v>
      </c>
      <c r="AT420" s="515">
        <f t="shared" ca="1" si="14"/>
        <v>3.8927924231884674E-2</v>
      </c>
      <c r="AU420" s="515">
        <f t="shared" ca="1" si="15"/>
        <v>5.9201652390609795E-2</v>
      </c>
      <c r="AV420" s="515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5">
        <f t="shared" ca="1" si="20"/>
        <v>3.8373532818944124E-4</v>
      </c>
      <c r="AQ421" s="515">
        <f t="shared" ca="1" si="21"/>
        <v>8.5084295172632093E-3</v>
      </c>
      <c r="AR421" s="515">
        <f t="shared" ca="1" si="22"/>
        <v>1.7279284920418453E-3</v>
      </c>
      <c r="AT421" s="515">
        <f t="shared" ca="1" si="14"/>
        <v>2.7318355252612565E-2</v>
      </c>
      <c r="AU421" s="515">
        <f t="shared" ca="1" si="15"/>
        <v>0.4223107028146752</v>
      </c>
      <c r="AV421" s="515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5">
        <f t="shared" ca="1" si="20"/>
        <v>6.4840165583135488E-4</v>
      </c>
      <c r="AQ422" s="515">
        <f t="shared" ca="1" si="21"/>
        <v>1.382549502193761E-3</v>
      </c>
      <c r="AR422" s="515">
        <f t="shared" ca="1" si="22"/>
        <v>2.7533945726165043E-3</v>
      </c>
      <c r="AT422" s="515">
        <f t="shared" ca="1" si="14"/>
        <v>4.6160114743562387E-2</v>
      </c>
      <c r="AU422" s="515">
        <f t="shared" ca="1" si="15"/>
        <v>6.862200018968137E-2</v>
      </c>
      <c r="AV422" s="515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5">
        <f t="shared" ca="1" si="20"/>
        <v>1.398392407121222E-3</v>
      </c>
      <c r="AQ423" s="515">
        <f t="shared" ca="1" si="21"/>
        <v>3.3018667488837368E-3</v>
      </c>
      <c r="AR423" s="515">
        <f t="shared" ca="1" si="22"/>
        <v>6.1798142685043833E-3</v>
      </c>
      <c r="AT423" s="515">
        <f t="shared" ca="1" si="14"/>
        <v>9.9552419998802474E-2</v>
      </c>
      <c r="AU423" s="515">
        <f t="shared" ca="1" si="15"/>
        <v>0.16388613956221848</v>
      </c>
      <c r="AV423" s="515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5">
        <f t="shared" ca="1" si="20"/>
        <v>3.7180786354046612E-4</v>
      </c>
      <c r="AQ424" s="515">
        <f t="shared" ca="1" si="21"/>
        <v>8.5421708107883787E-4</v>
      </c>
      <c r="AR424" s="515">
        <f t="shared" ca="1" si="22"/>
        <v>1.7218797341933909E-3</v>
      </c>
      <c r="AT424" s="515">
        <f t="shared" ca="1" si="14"/>
        <v>2.6469231670269835E-2</v>
      </c>
      <c r="AU424" s="515">
        <f t="shared" ca="1" si="15"/>
        <v>4.2398543131228796E-2</v>
      </c>
      <c r="AV424" s="515">
        <f t="shared" ca="1" si="16"/>
        <v>7.3176933839237401E-2</v>
      </c>
    </row>
    <row r="425" spans="1:48" ht="10.5" customHeight="1">
      <c r="A425" s="96">
        <v>414</v>
      </c>
      <c r="B425" s="68" t="s">
        <v>614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5">
        <f t="shared" ca="1" si="20"/>
        <v>4.0244910893179878E-4</v>
      </c>
      <c r="AQ425" s="515">
        <f t="shared" ca="1" si="21"/>
        <v>7.5946028176232419E-4</v>
      </c>
      <c r="AR425" s="515">
        <f t="shared" ca="1" si="22"/>
        <v>1.5234804767640822E-3</v>
      </c>
      <c r="AT425" s="515">
        <f t="shared" ca="1" si="14"/>
        <v>2.8650600873184773E-2</v>
      </c>
      <c r="AU425" s="515">
        <f t="shared" ca="1" si="15"/>
        <v>3.7695347267099728E-2</v>
      </c>
      <c r="AV425" s="515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5">
        <f t="shared" ca="1" si="20"/>
        <v>4.849131317635061E-4</v>
      </c>
      <c r="AQ426" s="515">
        <f t="shared" ca="1" si="21"/>
        <v>1.3541505801434111E-3</v>
      </c>
      <c r="AR426" s="515">
        <f t="shared" ca="1" si="22"/>
        <v>3.0715592354452126E-3</v>
      </c>
      <c r="AT426" s="515">
        <f t="shared" ca="1" si="14"/>
        <v>3.452126564076121E-2</v>
      </c>
      <c r="AU426" s="515">
        <f t="shared" ca="1" si="15"/>
        <v>6.7212437037523984E-2</v>
      </c>
      <c r="AV426" s="515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5">
        <f t="shared" ca="1" si="20"/>
        <v>4.7134049957674135E-4</v>
      </c>
      <c r="AQ427" s="515">
        <f t="shared" ca="1" si="21"/>
        <v>1.0358577112226592E-3</v>
      </c>
      <c r="AR427" s="515">
        <f t="shared" ca="1" si="22"/>
        <v>2.0456899043473239E-3</v>
      </c>
      <c r="AT427" s="515">
        <f t="shared" ca="1" si="14"/>
        <v>3.3555021564302255E-2</v>
      </c>
      <c r="AU427" s="515">
        <f t="shared" ca="1" si="15"/>
        <v>5.1414164876710626E-2</v>
      </c>
      <c r="AV427" s="515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5">
        <f t="shared" ca="1" si="20"/>
        <v>3.2862221567348719E-4</v>
      </c>
      <c r="AQ428" s="515">
        <f t="shared" ca="1" si="21"/>
        <v>7.3865315075513725E-4</v>
      </c>
      <c r="AR428" s="515">
        <f t="shared" ca="1" si="22"/>
        <v>1.5351747419377608E-3</v>
      </c>
      <c r="AT428" s="515">
        <f t="shared" ca="1" si="14"/>
        <v>2.3394818699718586E-2</v>
      </c>
      <c r="AU428" s="515">
        <f t="shared" ca="1" si="15"/>
        <v>3.6662598026905212E-2</v>
      </c>
      <c r="AV428" s="515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5">
        <f t="shared" ca="1" si="20"/>
        <v>8.3471687948603543E-4</v>
      </c>
      <c r="AQ429" s="515">
        <f t="shared" ca="1" si="21"/>
        <v>1.9550267823374456E-3</v>
      </c>
      <c r="AR429" s="515">
        <f t="shared" ca="1" si="22"/>
        <v>4.0812985456138897E-3</v>
      </c>
      <c r="AT429" s="515">
        <f t="shared" ca="1" si="14"/>
        <v>5.9424010702226367E-2</v>
      </c>
      <c r="AU429" s="515">
        <f t="shared" ca="1" si="15"/>
        <v>9.7036560365843919E-2</v>
      </c>
      <c r="AV429" s="515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5">
        <f t="shared" ca="1" si="20"/>
        <v>6.4038146408463019E-4</v>
      </c>
      <c r="AQ430" s="515">
        <f t="shared" ca="1" si="21"/>
        <v>1.4601544773016474E-3</v>
      </c>
      <c r="AR430" s="515">
        <f t="shared" ca="1" si="22"/>
        <v>3.1199492982328489E-3</v>
      </c>
      <c r="AT430" s="515">
        <f t="shared" ca="1" si="14"/>
        <v>4.5589152334745725E-2</v>
      </c>
      <c r="AU430" s="515">
        <f t="shared" ca="1" si="15"/>
        <v>7.2473875734190618E-2</v>
      </c>
      <c r="AV430" s="515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5">
        <f t="shared" ca="1" si="20"/>
        <v>3.7921111746051962E-4</v>
      </c>
      <c r="AQ431" s="515">
        <f t="shared" ca="1" si="21"/>
        <v>7.3246724694218989E-4</v>
      </c>
      <c r="AR431" s="515">
        <f t="shared" ca="1" si="22"/>
        <v>1.4537181362452398E-3</v>
      </c>
      <c r="AT431" s="515">
        <f t="shared" ca="1" si="14"/>
        <v>2.6996273893792909E-2</v>
      </c>
      <c r="AU431" s="515">
        <f t="shared" ca="1" si="15"/>
        <v>3.6355564469009553E-2</v>
      </c>
      <c r="AV431" s="515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5">
        <f t="shared" ca="1" si="20"/>
        <v>6.0459907013770482E-4</v>
      </c>
      <c r="AQ432" s="515">
        <f t="shared" ca="1" si="21"/>
        <v>1.4446897177692788E-3</v>
      </c>
      <c r="AR432" s="515">
        <f t="shared" ca="1" si="22"/>
        <v>3.0219594210878853E-3</v>
      </c>
      <c r="AT432" s="515">
        <f t="shared" ca="1" si="14"/>
        <v>4.3041781587717542E-2</v>
      </c>
      <c r="AU432" s="515">
        <f t="shared" ca="1" si="15"/>
        <v>7.1706291839451472E-2</v>
      </c>
      <c r="AV432" s="515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5">
        <f t="shared" ca="1" si="20"/>
        <v>7.411479757742477E-4</v>
      </c>
      <c r="AQ433" s="515">
        <f t="shared" ca="1" si="21"/>
        <v>1.7731049747475812E-3</v>
      </c>
      <c r="AR433" s="515">
        <f t="shared" ca="1" si="22"/>
        <v>3.6546594920362297E-3</v>
      </c>
      <c r="AT433" s="515">
        <f t="shared" ca="1" si="14"/>
        <v>5.2762782599365315E-2</v>
      </c>
      <c r="AU433" s="515">
        <f t="shared" ca="1" si="15"/>
        <v>8.800698254954864E-2</v>
      </c>
      <c r="AV433" s="515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5">
        <f t="shared" ca="1" si="20"/>
        <v>4.9828011800804716E-4</v>
      </c>
      <c r="AQ434" s="515">
        <f t="shared" ca="1" si="21"/>
        <v>1.1199297675895364E-3</v>
      </c>
      <c r="AR434" s="515">
        <f t="shared" ca="1" si="22"/>
        <v>2.4211161414747348E-3</v>
      </c>
      <c r="AT434" s="515">
        <f t="shared" ca="1" si="14"/>
        <v>3.5472869655455645E-2</v>
      </c>
      <c r="AU434" s="515">
        <f t="shared" ca="1" si="15"/>
        <v>5.5587030049929001E-2</v>
      </c>
      <c r="AV434" s="515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5">
        <f t="shared" ca="1" si="20"/>
        <v>8.4705563601945801E-4</v>
      </c>
      <c r="AQ435" s="515">
        <f t="shared" ca="1" si="21"/>
        <v>1.7283977608267334E-3</v>
      </c>
      <c r="AR435" s="515">
        <f t="shared" ca="1" si="22"/>
        <v>3.4195644369929635E-3</v>
      </c>
      <c r="AT435" s="515">
        <f t="shared" ca="1" si="14"/>
        <v>6.0302414408098158E-2</v>
      </c>
      <c r="AU435" s="515">
        <f t="shared" ca="1" si="15"/>
        <v>8.5787967290211778E-2</v>
      </c>
      <c r="AV435" s="515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5">
        <f t="shared" ref="AP436:AP466" ca="1" si="26">AH436*$AR$365</f>
        <v>8.4582176036611574E-4</v>
      </c>
      <c r="AQ436" s="515">
        <f t="shared" ref="AQ436:AQ466" ca="1" si="27">AI436*$AR$366</f>
        <v>1.8535217243158982E-3</v>
      </c>
      <c r="AR436" s="515">
        <f t="shared" ref="AR436:AR466" ca="1" si="28">AJ436*$AR$367</f>
        <v>3.7941841730739145E-3</v>
      </c>
      <c r="AT436" s="515">
        <f t="shared" ca="1" si="14"/>
        <v>6.021457403751098E-2</v>
      </c>
      <c r="AU436" s="515">
        <f t="shared" ca="1" si="15"/>
        <v>9.1998418802192297E-2</v>
      </c>
      <c r="AV436" s="515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5">
        <f t="shared" ca="1" si="26"/>
        <v>6.8377275789383279E-4</v>
      </c>
      <c r="AQ437" s="515">
        <f t="shared" ca="1" si="27"/>
        <v>1.7418942782368007E-3</v>
      </c>
      <c r="AR437" s="515">
        <f t="shared" ca="1" si="28"/>
        <v>3.7345030956358297E-3</v>
      </c>
      <c r="AT437" s="515">
        <f t="shared" ref="AT437:AT466" ca="1" si="29">AH437*$AV$365</f>
        <v>4.8678205367061508E-2</v>
      </c>
      <c r="AU437" s="515">
        <f t="shared" ref="AU437:AU466" ca="1" si="30">AI437*$AV$366</f>
        <v>8.6457858689256872E-2</v>
      </c>
      <c r="AV437" s="515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5">
        <f t="shared" ca="1" si="26"/>
        <v>5.5277629269733007E-4</v>
      </c>
      <c r="AQ438" s="515">
        <f t="shared" ca="1" si="27"/>
        <v>1.2557384740283378E-3</v>
      </c>
      <c r="AR438" s="515">
        <f t="shared" ca="1" si="28"/>
        <v>2.4061958721152137E-3</v>
      </c>
      <c r="AT438" s="515">
        <f t="shared" ca="1" si="29"/>
        <v>3.9352486023056042E-2</v>
      </c>
      <c r="AU438" s="515">
        <f t="shared" ca="1" si="30"/>
        <v>6.2327812252820212E-2</v>
      </c>
      <c r="AV438" s="515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5">
        <f t="shared" ca="1" si="26"/>
        <v>7.140027114007181E-4</v>
      </c>
      <c r="AQ439" s="515">
        <f t="shared" ca="1" si="27"/>
        <v>1.5748748752872188E-3</v>
      </c>
      <c r="AR439" s="515">
        <f t="shared" ca="1" si="28"/>
        <v>3.1320468139297577E-3</v>
      </c>
      <c r="AT439" s="515">
        <f t="shared" ca="1" si="29"/>
        <v>5.0830294446447384E-2</v>
      </c>
      <c r="AU439" s="515">
        <f t="shared" ca="1" si="30"/>
        <v>7.8167952626073886E-2</v>
      </c>
      <c r="AV439" s="515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5">
        <f t="shared" ca="1" si="26"/>
        <v>3.6707800686932077E-4</v>
      </c>
      <c r="AQ440" s="515">
        <f t="shared" ca="1" si="27"/>
        <v>7.7492504129469302E-4</v>
      </c>
      <c r="AR440" s="515">
        <f t="shared" ca="1" si="28"/>
        <v>1.5190447210085489E-3</v>
      </c>
      <c r="AT440" s="515">
        <f t="shared" ca="1" si="29"/>
        <v>2.6132510249685652E-2</v>
      </c>
      <c r="AU440" s="515">
        <f t="shared" ca="1" si="30"/>
        <v>3.8462931161838895E-2</v>
      </c>
      <c r="AV440" s="515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5">
        <f t="shared" ca="1" si="26"/>
        <v>5.3303428224385409E-4</v>
      </c>
      <c r="AQ441" s="515">
        <f t="shared" ca="1" si="27"/>
        <v>1.2889174126614197E-3</v>
      </c>
      <c r="AR441" s="515">
        <f t="shared" ca="1" si="28"/>
        <v>2.6058048811142135E-3</v>
      </c>
      <c r="AT441" s="515">
        <f t="shared" ca="1" si="29"/>
        <v>3.7947040093661184E-2</v>
      </c>
      <c r="AU441" s="515">
        <f t="shared" ca="1" si="30"/>
        <v>6.3974628608806053E-2</v>
      </c>
      <c r="AV441" s="515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5">
        <f t="shared" ca="1" si="26"/>
        <v>4.7442518871009697E-4</v>
      </c>
      <c r="AQ442" s="515">
        <f t="shared" ca="1" si="27"/>
        <v>1.0965920395679617E-3</v>
      </c>
      <c r="AR442" s="515">
        <f t="shared" ca="1" si="28"/>
        <v>2.3271587695620748E-3</v>
      </c>
      <c r="AT442" s="515">
        <f t="shared" ca="1" si="29"/>
        <v>3.3774622490770199E-2</v>
      </c>
      <c r="AU442" s="515">
        <f t="shared" ca="1" si="30"/>
        <v>5.4428676172413523E-2</v>
      </c>
      <c r="AV442" s="515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5">
        <f t="shared" ca="1" si="26"/>
        <v>7.713779292811329E-4</v>
      </c>
      <c r="AQ443" s="515">
        <f t="shared" ca="1" si="27"/>
        <v>1.634484493848349E-3</v>
      </c>
      <c r="AR443" s="515">
        <f t="shared" ca="1" si="28"/>
        <v>3.2356821983999455E-3</v>
      </c>
      <c r="AT443" s="515">
        <f t="shared" ca="1" si="29"/>
        <v>5.4914871678751198E-2</v>
      </c>
      <c r="AU443" s="515">
        <f t="shared" ca="1" si="30"/>
        <v>8.1126639638523027E-2</v>
      </c>
      <c r="AV443" s="515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5">
        <f t="shared" ca="1" si="26"/>
        <v>6.1549830507556141E-4</v>
      </c>
      <c r="AQ444" s="515">
        <f t="shared" ca="1" si="27"/>
        <v>1.3257516580930612E-3</v>
      </c>
      <c r="AR444" s="515">
        <f t="shared" ca="1" si="28"/>
        <v>2.6759704721562865E-3</v>
      </c>
      <c r="AT444" s="515">
        <f t="shared" ca="1" si="29"/>
        <v>4.3817704861237622E-2</v>
      </c>
      <c r="AU444" s="515">
        <f t="shared" ca="1" si="30"/>
        <v>6.5802873885366611E-2</v>
      </c>
      <c r="AV444" s="515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5">
        <f t="shared" ca="1" si="26"/>
        <v>8.2299506077928403E-4</v>
      </c>
      <c r="AQ445" s="515">
        <f t="shared" ca="1" si="27"/>
        <v>1.7047788553591159E-3</v>
      </c>
      <c r="AR445" s="515">
        <f t="shared" ca="1" si="28"/>
        <v>3.3800458857163942E-3</v>
      </c>
      <c r="AT445" s="515">
        <f t="shared" ca="1" si="29"/>
        <v>5.8589527181648178E-2</v>
      </c>
      <c r="AU445" s="515">
        <f t="shared" ca="1" si="30"/>
        <v>8.461565734188288E-2</v>
      </c>
      <c r="AV445" s="515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5">
        <f t="shared" ca="1" si="26"/>
        <v>3.985418360295483E-4</v>
      </c>
      <c r="AQ446" s="515">
        <f t="shared" ca="1" si="27"/>
        <v>8.8317835802127385E-4</v>
      </c>
      <c r="AR446" s="515">
        <f t="shared" ca="1" si="28"/>
        <v>1.8976969623218027E-3</v>
      </c>
      <c r="AT446" s="515">
        <f t="shared" ca="1" si="29"/>
        <v>2.8372439699658709E-2</v>
      </c>
      <c r="AU446" s="515">
        <f t="shared" ca="1" si="30"/>
        <v>4.383601842501305E-2</v>
      </c>
      <c r="AV446" s="515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5">
        <f t="shared" ca="1" si="26"/>
        <v>3.6296508802484661E-4</v>
      </c>
      <c r="AQ447" s="515">
        <f t="shared" ca="1" si="27"/>
        <v>8.3650290197812471E-4</v>
      </c>
      <c r="AR447" s="515">
        <f t="shared" ca="1" si="28"/>
        <v>1.7085724669267911E-3</v>
      </c>
      <c r="AT447" s="515">
        <f t="shared" ca="1" si="29"/>
        <v>2.5839709014395057E-2</v>
      </c>
      <c r="AU447" s="515">
        <f t="shared" ca="1" si="30"/>
        <v>4.1519310669982115E-2</v>
      </c>
      <c r="AV447" s="515">
        <f t="shared" ca="1" si="31"/>
        <v>7.2611397816592232E-2</v>
      </c>
    </row>
    <row r="448" spans="1:48" ht="10.5" customHeight="1">
      <c r="A448" s="96">
        <v>437</v>
      </c>
      <c r="B448" s="68" t="s">
        <v>615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5">
        <f t="shared" ca="1" si="26"/>
        <v>5.1576002309706244E-4</v>
      </c>
      <c r="AQ448" s="515">
        <f t="shared" ca="1" si="27"/>
        <v>1.2031582916182842E-3</v>
      </c>
      <c r="AR448" s="515">
        <f t="shared" ca="1" si="28"/>
        <v>2.3719195776406381E-3</v>
      </c>
      <c r="AT448" s="515">
        <f t="shared" ca="1" si="29"/>
        <v>3.6717274905440682E-2</v>
      </c>
      <c r="AU448" s="515">
        <f t="shared" ca="1" si="30"/>
        <v>5.9718027010707046E-2</v>
      </c>
      <c r="AV448" s="515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5">
        <f t="shared" ca="1" si="26"/>
        <v>4.404936082431849E-4</v>
      </c>
      <c r="AQ449" s="515">
        <f t="shared" ca="1" si="27"/>
        <v>9.3716442766154267E-4</v>
      </c>
      <c r="AR449" s="515">
        <f t="shared" ca="1" si="28"/>
        <v>1.9319732567963785E-3</v>
      </c>
      <c r="AT449" s="515">
        <f t="shared" ca="1" si="29"/>
        <v>3.1359012299622784E-2</v>
      </c>
      <c r="AU449" s="515">
        <f t="shared" ca="1" si="30"/>
        <v>4.6515584021193407E-2</v>
      </c>
      <c r="AV449" s="515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5">
        <f t="shared" ca="1" si="26"/>
        <v>7.7713601566339679E-4</v>
      </c>
      <c r="AQ450" s="515">
        <f t="shared" ca="1" si="27"/>
        <v>2.0652483411863279E-3</v>
      </c>
      <c r="AR450" s="515">
        <f t="shared" ca="1" si="28"/>
        <v>4.1405763725287439E-3</v>
      </c>
      <c r="AT450" s="515">
        <f t="shared" ca="1" si="29"/>
        <v>5.5324793408158025E-2</v>
      </c>
      <c r="AU450" s="515">
        <f t="shared" ca="1" si="30"/>
        <v>0.10250734012471215</v>
      </c>
      <c r="AV450" s="515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5">
        <f t="shared" ca="1" si="26"/>
        <v>4.3946537853206642E-4</v>
      </c>
      <c r="AQ451" s="515">
        <f t="shared" ca="1" si="27"/>
        <v>9.0286077924428847E-4</v>
      </c>
      <c r="AR451" s="515">
        <f t="shared" ca="1" si="28"/>
        <v>1.8565654089523116E-3</v>
      </c>
      <c r="AT451" s="515">
        <f t="shared" ca="1" si="29"/>
        <v>3.1285811990800133E-2</v>
      </c>
      <c r="AU451" s="515">
        <f t="shared" ca="1" si="30"/>
        <v>4.4812943381953803E-2</v>
      </c>
      <c r="AV451" s="515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5">
        <f t="shared" ca="1" si="26"/>
        <v>1.0259676057540849E-3</v>
      </c>
      <c r="AQ452" s="515">
        <f t="shared" ca="1" si="27"/>
        <v>2.8398922050349778E-3</v>
      </c>
      <c r="AR452" s="515">
        <f t="shared" ca="1" si="28"/>
        <v>5.9439127124146559E-3</v>
      </c>
      <c r="AT452" s="515">
        <f t="shared" ca="1" si="29"/>
        <v>7.3039268143239064E-2</v>
      </c>
      <c r="AU452" s="515">
        <f t="shared" ca="1" si="30"/>
        <v>0.14095631521573759</v>
      </c>
      <c r="AV452" s="515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5">
        <f t="shared" ca="1" si="26"/>
        <v>5.5935696284848888E-4</v>
      </c>
      <c r="AQ453" s="515">
        <f t="shared" ca="1" si="27"/>
        <v>1.299320978165013E-3</v>
      </c>
      <c r="AR453" s="515">
        <f t="shared" ca="1" si="28"/>
        <v>2.7892838691840013E-3</v>
      </c>
      <c r="AT453" s="515">
        <f t="shared" ca="1" si="29"/>
        <v>3.9820967999520999E-2</v>
      </c>
      <c r="AU453" s="515">
        <f t="shared" ca="1" si="30"/>
        <v>6.4491003228903318E-2</v>
      </c>
      <c r="AV453" s="515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5">
        <f t="shared" ca="1" si="26"/>
        <v>3.6049733671816213E-4</v>
      </c>
      <c r="AQ454" s="515">
        <f t="shared" ca="1" si="27"/>
        <v>8.7193126017955113E-4</v>
      </c>
      <c r="AR454" s="515">
        <f t="shared" ca="1" si="28"/>
        <v>1.8763246845905966E-3</v>
      </c>
      <c r="AT454" s="515">
        <f t="shared" ca="1" si="29"/>
        <v>2.5664028273220701E-2</v>
      </c>
      <c r="AU454" s="515">
        <f t="shared" ca="1" si="30"/>
        <v>4.3277775592475476E-2</v>
      </c>
      <c r="AV454" s="515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5">
        <f t="shared" ca="1" si="26"/>
        <v>6.3914758843128803E-4</v>
      </c>
      <c r="AQ455" s="515">
        <f t="shared" ca="1" si="27"/>
        <v>1.5231382252152944E-3</v>
      </c>
      <c r="AR455" s="515">
        <f t="shared" ca="1" si="28"/>
        <v>3.2578609771776123E-3</v>
      </c>
      <c r="AT455" s="515">
        <f t="shared" ca="1" si="29"/>
        <v>4.5501311964158547E-2</v>
      </c>
      <c r="AU455" s="515">
        <f t="shared" ca="1" si="30"/>
        <v>7.560003559640105E-2</v>
      </c>
      <c r="AV455" s="515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5">
        <f t="shared" ca="1" si="26"/>
        <v>5.1185275019481201E-4</v>
      </c>
      <c r="AQ456" s="515">
        <f t="shared" ca="1" si="27"/>
        <v>1.2748585403592663E-3</v>
      </c>
      <c r="AR456" s="515">
        <f t="shared" ca="1" si="28"/>
        <v>2.7723473472083282E-3</v>
      </c>
      <c r="AT456" s="515">
        <f t="shared" ca="1" si="29"/>
        <v>3.6439113731914614E-2</v>
      </c>
      <c r="AU456" s="515">
        <f t="shared" ca="1" si="30"/>
        <v>6.3276825068134077E-2</v>
      </c>
      <c r="AV456" s="515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5">
        <f t="shared" ca="1" si="26"/>
        <v>1.9655639157742121E-3</v>
      </c>
      <c r="AQ457" s="515">
        <f t="shared" ca="1" si="27"/>
        <v>4.4603178265811734E-3</v>
      </c>
      <c r="AR457" s="515">
        <f t="shared" ca="1" si="28"/>
        <v>7.9601653285661673E-3</v>
      </c>
      <c r="AT457" s="515">
        <f t="shared" ca="1" si="29"/>
        <v>0.13992971034537563</v>
      </c>
      <c r="AU457" s="515">
        <f t="shared" ca="1" si="30"/>
        <v>0.22138515131358866</v>
      </c>
      <c r="AV457" s="515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5">
        <f t="shared" ca="1" si="26"/>
        <v>1.6204900247228279E-4</v>
      </c>
      <c r="AQ458" s="515">
        <f t="shared" ca="1" si="27"/>
        <v>3.8380721384878656E-4</v>
      </c>
      <c r="AR458" s="515">
        <f t="shared" ca="1" si="28"/>
        <v>1.0355473436554164E-3</v>
      </c>
      <c r="AT458" s="515">
        <f t="shared" ca="1" si="29"/>
        <v>1.1536368670449463E-2</v>
      </c>
      <c r="AU458" s="515">
        <f t="shared" ca="1" si="30"/>
        <v>1.9050036660344733E-2</v>
      </c>
      <c r="AV458" s="515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5">
        <f t="shared" ca="1" si="26"/>
        <v>3.827070984783227E-4</v>
      </c>
      <c r="AQ459" s="515">
        <f t="shared" ca="1" si="27"/>
        <v>8.6349593679825901E-4</v>
      </c>
      <c r="AR459" s="515">
        <f t="shared" ca="1" si="28"/>
        <v>1.7964810809909966E-3</v>
      </c>
      <c r="AT459" s="515">
        <f t="shared" ca="1" si="29"/>
        <v>2.7245154943789915E-2</v>
      </c>
      <c r="AU459" s="515">
        <f t="shared" ca="1" si="30"/>
        <v>4.285909346807229E-2</v>
      </c>
      <c r="AV459" s="515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5">
        <f t="shared" ca="1" si="26"/>
        <v>7.970836720590966E-4</v>
      </c>
      <c r="AQ460" s="515">
        <f t="shared" ca="1" si="27"/>
        <v>1.8822018238122912E-3</v>
      </c>
      <c r="AR460" s="515">
        <f t="shared" ca="1" si="28"/>
        <v>4.0615392699756047E-3</v>
      </c>
      <c r="AT460" s="515">
        <f t="shared" ca="1" si="29"/>
        <v>5.6744879399317417E-2</v>
      </c>
      <c r="AU460" s="515">
        <f t="shared" ca="1" si="30"/>
        <v>9.3421938025163118E-2</v>
      </c>
      <c r="AV460" s="515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5">
        <f t="shared" ca="1" si="26"/>
        <v>2.6898489242861153E-4</v>
      </c>
      <c r="AQ461" s="515">
        <f t="shared" ca="1" si="27"/>
        <v>6.4895754546739892E-4</v>
      </c>
      <c r="AR461" s="515">
        <f t="shared" ca="1" si="28"/>
        <v>1.4690416561279913E-3</v>
      </c>
      <c r="AT461" s="515">
        <f t="shared" ca="1" si="29"/>
        <v>1.9149200788004948E-2</v>
      </c>
      <c r="AU461" s="515">
        <f t="shared" ca="1" si="30"/>
        <v>3.221061143741806E-2</v>
      </c>
      <c r="AV461" s="515">
        <f t="shared" ca="1" si="31"/>
        <v>6.2431749408979345E-2</v>
      </c>
    </row>
    <row r="462" spans="1:48" ht="10.5" customHeight="1" thickBot="1">
      <c r="A462" s="326"/>
      <c r="B462" s="74"/>
      <c r="C462" s="508"/>
      <c r="D462" s="75"/>
      <c r="E462" s="509"/>
      <c r="F462" s="510"/>
      <c r="G462" s="510"/>
      <c r="H462" s="510"/>
      <c r="I462" s="510"/>
      <c r="J462" s="510"/>
      <c r="K462" s="510"/>
      <c r="L462" s="510"/>
      <c r="M462" s="510"/>
      <c r="N462" s="511"/>
      <c r="O462" s="512"/>
      <c r="P462" s="512"/>
      <c r="Q462" s="512"/>
      <c r="R462" s="512"/>
      <c r="S462" s="512"/>
      <c r="T462" s="512"/>
      <c r="U462" s="512"/>
      <c r="V462" s="513"/>
      <c r="W462" s="511"/>
      <c r="X462" s="512"/>
      <c r="Y462" s="512"/>
      <c r="Z462" s="512"/>
      <c r="AA462" s="512"/>
      <c r="AB462" s="512"/>
      <c r="AC462" s="512"/>
      <c r="AD462" s="512"/>
      <c r="AE462" s="513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5">
        <f t="shared" ca="1" si="26"/>
        <v>3.1833991856230169E-4</v>
      </c>
      <c r="AQ462" s="515">
        <f t="shared" ca="1" si="27"/>
        <v>7.2122014910046717E-4</v>
      </c>
      <c r="AR462" s="515">
        <f t="shared" ca="1" si="28"/>
        <v>1.4492823804897065E-3</v>
      </c>
      <c r="AT462" s="515">
        <f t="shared" ca="1" si="29"/>
        <v>2.2662815611492092E-2</v>
      </c>
      <c r="AU462" s="515">
        <f t="shared" ca="1" si="30"/>
        <v>3.5797321636471972E-2</v>
      </c>
      <c r="AV462" s="515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5">
        <f t="shared" ca="1" si="26"/>
        <v>3.3026738321127687E-4</v>
      </c>
      <c r="AQ463" s="515">
        <f t="shared" ca="1" si="27"/>
        <v>7.5018142604290293E-4</v>
      </c>
      <c r="AR463" s="515">
        <f t="shared" ca="1" si="28"/>
        <v>1.6029208298404519E-3</v>
      </c>
      <c r="AT463" s="515">
        <f t="shared" ca="1" si="29"/>
        <v>2.3511939193834822E-2</v>
      </c>
      <c r="AU463" s="515">
        <f t="shared" ca="1" si="30"/>
        <v>3.7234796930256227E-2</v>
      </c>
      <c r="AV463" s="515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5">
        <f t="shared" ca="1" si="26"/>
        <v>6.2372414276450983E-4</v>
      </c>
      <c r="AQ464" s="515">
        <f t="shared" ca="1" si="27"/>
        <v>1.5608160029850656E-3</v>
      </c>
      <c r="AR464" s="515">
        <f t="shared" ca="1" si="28"/>
        <v>3.4171449338535821E-3</v>
      </c>
      <c r="AT464" s="515">
        <f t="shared" ca="1" si="29"/>
        <v>4.4403307331818818E-2</v>
      </c>
      <c r="AU464" s="515">
        <f t="shared" ca="1" si="30"/>
        <v>7.7470149085401924E-2</v>
      </c>
      <c r="AV464" s="515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5">
        <f t="shared" ca="1" si="26"/>
        <v>7.691158239166721E-4</v>
      </c>
      <c r="AQ465" s="515">
        <f t="shared" ca="1" si="27"/>
        <v>1.8625194025892763E-3</v>
      </c>
      <c r="AR465" s="515">
        <f t="shared" ca="1" si="28"/>
        <v>3.7466006113327389E-3</v>
      </c>
      <c r="AT465" s="515">
        <f t="shared" ca="1" si="29"/>
        <v>5.4753830999341363E-2</v>
      </c>
      <c r="AU465" s="515">
        <f t="shared" ca="1" si="30"/>
        <v>9.2445013068222351E-2</v>
      </c>
      <c r="AV465" s="515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5">
        <f t="shared" ca="1" si="26"/>
        <v>7.911199397346091E-4</v>
      </c>
      <c r="AQ466" s="515">
        <f t="shared" ca="1" si="27"/>
        <v>1.8166874788842565E-3</v>
      </c>
      <c r="AR466" s="515">
        <f t="shared" ca="1" si="28"/>
        <v>3.6058661787253632E-3</v>
      </c>
      <c r="AT466" s="515">
        <f t="shared" ca="1" si="29"/>
        <v>5.6320317608146056E-2</v>
      </c>
      <c r="AU466" s="515">
        <f t="shared" ca="1" si="30"/>
        <v>9.0170173525631739E-2</v>
      </c>
      <c r="AV466" s="515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68">
        <v>1</v>
      </c>
      <c r="J6" s="669"/>
      <c r="K6" s="670"/>
    </row>
    <row r="7" spans="2:11" ht="15" thickBot="1">
      <c r="D7" s="162"/>
      <c r="H7" s="174" t="s">
        <v>425</v>
      </c>
      <c r="I7" s="671" t="str" cm="1">
        <f t="array" aca="1" ref="I7" ca="1">GetGetCDSName(I6)</f>
        <v>ABNAMRO_MMR.EUR.SU</v>
      </c>
      <c r="J7" s="672"/>
      <c r="K7" s="673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8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76" t="s">
        <v>456</v>
      </c>
      <c r="D3" s="677"/>
      <c r="E3" s="678"/>
    </row>
    <row r="4" spans="2:11">
      <c r="C4" s="679"/>
      <c r="D4" s="680"/>
      <c r="E4" s="681"/>
    </row>
    <row r="5" spans="2:11" ht="15" thickBot="1">
      <c r="C5" s="682"/>
      <c r="D5" s="683"/>
      <c r="E5" s="684"/>
      <c r="G5" s="461"/>
    </row>
    <row r="6" spans="2:11" ht="15" thickBot="1"/>
    <row r="7" spans="2:11" ht="16" thickBot="1">
      <c r="B7" s="674" t="s">
        <v>454</v>
      </c>
      <c r="C7" s="675"/>
      <c r="D7" s="79"/>
      <c r="E7" s="674" t="s">
        <v>455</v>
      </c>
      <c r="F7" s="675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667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6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3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00:00:00.0300469</v>
      </c>
      <c r="G20" s="254" t="str">
        <f ca="1"/>
        <v>00:00:00.0300469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1"/>
      <c r="H25" s="616"/>
    </row>
    <row r="26" spans="2:11" ht="15" thickBot="1">
      <c r="B26" s="172" t="s">
        <v>449</v>
      </c>
      <c r="C26" s="189" t="b">
        <v>1</v>
      </c>
      <c r="D26" s="85"/>
      <c r="F26" s="614"/>
      <c r="G26" s="614"/>
      <c r="I26" s="614"/>
    </row>
    <row r="27" spans="2:11" ht="15" thickBot="1">
      <c r="B27" s="197" t="s">
        <v>450</v>
      </c>
      <c r="C27" s="211"/>
      <c r="D27" s="85"/>
      <c r="F27" s="614"/>
      <c r="G27" s="614"/>
      <c r="H27" s="615"/>
      <c r="I27" s="614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P1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/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0.35118153606370101</v>
      </c>
      <c r="J8" s="610">
        <f ca="1"/>
        <v>0.11706051202123401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0.481294730071885</v>
      </c>
      <c r="J9" s="391">
        <f ca="1"/>
        <v>0.16043157669062799</v>
      </c>
      <c r="K9" s="400" t="str">
        <f ca="1"/>
        <v/>
      </c>
      <c r="L9" s="400">
        <f ca="1"/>
        <v>0</v>
      </c>
      <c r="M9" s="323">
        <f ca="1"/>
        <v>0</v>
      </c>
      <c r="N9" s="691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0.130113194008184</v>
      </c>
      <c r="J10" s="391">
        <f ca="1"/>
        <v>4.33710646693947E-2</v>
      </c>
      <c r="K10" s="400" t="str">
        <f ca="1"/>
        <v/>
      </c>
      <c r="L10" s="400">
        <f ca="1"/>
        <v>0</v>
      </c>
      <c r="M10" s="323">
        <f ca="1"/>
        <v>0</v>
      </c>
      <c r="N10" s="691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1">
        <f ca="1"/>
        <v>3.6990463091822502E-2</v>
      </c>
      <c r="J11" s="393">
        <f ca="1"/>
        <v>3.6990463091822502E-2</v>
      </c>
      <c r="K11" s="400" t="str">
        <f ca="1"/>
        <v/>
      </c>
      <c r="L11" s="400">
        <f ca="1"/>
        <v>0</v>
      </c>
      <c r="M11" s="323">
        <f ca="1"/>
        <v>0</v>
      </c>
      <c r="N11" s="691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-0.17196347098707582</v>
      </c>
      <c r="AA11" s="79"/>
      <c r="AB11" s="465" t="s">
        <v>505</v>
      </c>
      <c r="AC11" s="423">
        <f ca="1">SUM(AC15:AC314)</f>
        <v>-1.0179317086982338E-2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4.3371064669394501</v>
      </c>
      <c r="J12" s="394">
        <f ca="1"/>
        <v>4.3371064669394501</v>
      </c>
      <c r="K12" s="400" t="str">
        <f ca="1"/>
        <v/>
      </c>
      <c r="L12" s="400">
        <f ca="1"/>
        <v>0</v>
      </c>
      <c r="M12" s="323">
        <f ca="1"/>
        <v>0</v>
      </c>
      <c r="N12" s="691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-5.4902958965841811E-2</v>
      </c>
      <c r="AA12" s="79"/>
      <c r="AB12" s="465" t="s">
        <v>498</v>
      </c>
      <c r="AC12" s="407">
        <f ca="1">$J$8+AC11</f>
        <v>0.10688119493425166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00:00:20.1581777</v>
      </c>
      <c r="J13" s="395" t="str">
        <f ca="1"/>
        <v>00:00:20.1581777</v>
      </c>
      <c r="K13" s="401" t="str">
        <f ca="1"/>
        <v>Leverage=</v>
      </c>
      <c r="L13" s="402">
        <f ca="1"/>
        <v>5.0784250769658703</v>
      </c>
      <c r="M13" s="323">
        <f ca="1"/>
        <v>0</v>
      </c>
      <c r="N13" s="691">
        <f ca="1"/>
        <v>0</v>
      </c>
      <c r="O13" s="323" t="str">
        <f ca="1"/>
        <v/>
      </c>
      <c r="P13" s="445" t="str">
        <f ca="1"/>
        <v>Leverage=</v>
      </c>
      <c r="Q13" s="444">
        <f ca="1"/>
        <v>9.9448292911744307</v>
      </c>
      <c r="R13" s="439" t="str">
        <f ca="1"/>
        <v/>
      </c>
      <c r="S13" s="435"/>
      <c r="T13" s="278" t="s">
        <v>499</v>
      </c>
      <c r="U13" s="408">
        <f ca="1">L13</f>
        <v>5.0784250769658703</v>
      </c>
      <c r="V13" s="409"/>
      <c r="W13" s="79"/>
      <c r="X13" s="79"/>
      <c r="Y13" s="465" t="s">
        <v>500</v>
      </c>
      <c r="Z13" s="410">
        <f ca="1">Z12*(C20-C21)</f>
        <v>-0.30745657020871414</v>
      </c>
      <c r="AA13" s="79"/>
      <c r="AB13" s="465" t="s">
        <v>500</v>
      </c>
      <c r="AC13" s="411">
        <f ca="1">AC12*(C20-C21)</f>
        <v>0.59853469163180928</v>
      </c>
      <c r="AD13" s="220"/>
    </row>
    <row r="14" spans="1:32" customFormat="1" ht="15" thickBot="1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692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3"/>
      <c r="D15" s="221"/>
      <c r="E15" s="221"/>
      <c r="F15" s="221"/>
      <c r="G15" s="221"/>
      <c r="H15" s="377">
        <v>1</v>
      </c>
      <c r="I15" s="403">
        <f ca="1"/>
        <v>7.0666890336816795E-5</v>
      </c>
      <c r="J15" s="403">
        <f ca="1"/>
        <v>4.7566840858444303E-4</v>
      </c>
      <c r="K15" s="403">
        <f ca="1"/>
        <v>0.148563345939069</v>
      </c>
      <c r="L15" s="403">
        <f ca="1"/>
        <v>0.148563345939069</v>
      </c>
      <c r="M15" s="403">
        <f ca="1"/>
        <v>-8.6045780384362796E-5</v>
      </c>
      <c r="N15" s="693" t="str">
        <f ca="1"/>
        <v>AIRBUS SE</v>
      </c>
      <c r="O15" s="403">
        <f ca="1"/>
        <v>0.24239019953377</v>
      </c>
      <c r="P15" s="403">
        <f ca="1"/>
        <v>0.77320116747410605</v>
      </c>
      <c r="Q15" s="403">
        <f ca="1"/>
        <v>0.31348917944033899</v>
      </c>
      <c r="R15" s="441">
        <f ca="1"/>
        <v>0.31348917944033899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-2.4422281551690999E-2</v>
      </c>
      <c r="U15" s="413">
        <f ca="1"/>
        <v>2.2680616248726301E-2</v>
      </c>
      <c r="V15" s="413">
        <f ca="1"/>
        <v>4.71028978004173E-2</v>
      </c>
      <c r="W15" s="414">
        <f ca="1"/>
        <v>4.8151212150105496E-3</v>
      </c>
      <c r="X15" s="415">
        <f ca="1"/>
        <v>4.7102897800417303</v>
      </c>
      <c r="Y15" s="642">
        <f ca="1">IF($U$12,IF(T15="","",$U$13*D39/$C$18),"")</f>
        <v>5.3457106073324885E-2</v>
      </c>
      <c r="Z15" s="643">
        <f ca="1">IF($U$12,IF(Y15="","",Y15*($Z$10-W15)*X15),"")</f>
        <v>-1.2124401086165382E-3</v>
      </c>
      <c r="AA15" s="416">
        <f ca="1">IF($U$12,IF(OR(T15="",L15=""),"",L15/($C$20-$C$19)),"")</f>
        <v>4.9521115313023001E-2</v>
      </c>
      <c r="AB15" s="418">
        <f ca="1">IF($U$12,IF(W15="","",W15*$AC$10),"")</f>
        <v>4.5743651542600218E-3</v>
      </c>
      <c r="AC15" s="417">
        <f ca="1">IF($U$12,IF(AA15="","",AA15*(AB15-W15)*X15),"")</f>
        <v>-5.6158470631180017E-5</v>
      </c>
      <c r="AD15" s="220"/>
      <c r="AE15" s="220"/>
      <c r="AF15" s="220"/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7.2962917681966899E-5</v>
      </c>
      <c r="J16" s="403">
        <f ca="1"/>
        <v>4.7429264831636502E-4</v>
      </c>
      <c r="K16" s="403">
        <f ca="1"/>
        <v>0.15383522797785101</v>
      </c>
      <c r="L16" s="403">
        <f ca="1"/>
        <v>0.15383522797785101</v>
      </c>
      <c r="M16" s="403">
        <f ca="1"/>
        <v>-9.1586764820226194E-5</v>
      </c>
      <c r="N16" s="693" t="str">
        <f ca="1"/>
        <v>AKTIEBOLAGET VOLVO</v>
      </c>
      <c r="O16" s="403">
        <f ca="1"/>
        <v>0.242099871335899</v>
      </c>
      <c r="P16" s="403">
        <f ca="1"/>
        <v>0.77152352542069902</v>
      </c>
      <c r="Q16" s="403">
        <f ca="1"/>
        <v>0.31379454204443902</v>
      </c>
      <c r="R16" s="441">
        <f ca="1"/>
        <v>0.31379454204443902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-2.26563425481041E-2</v>
      </c>
      <c r="U16" s="413">
        <f ca="1"/>
        <v>2.4443245603915999E-2</v>
      </c>
      <c r="V16" s="413">
        <f ca="1"/>
        <v>4.7099588152020103E-2</v>
      </c>
      <c r="W16" s="414">
        <f ca="1"/>
        <v>5.18969412747776E-3</v>
      </c>
      <c r="X16" s="415">
        <f ca="1"/>
        <v>4.7099588152020102</v>
      </c>
      <c r="Y16" s="416">
        <f ca="1">IF($U$12,IF(T16="","",$U$13*D40/$C$18),"")</f>
        <v>5.3457106073324885E-2</v>
      </c>
      <c r="Z16" s="417">
        <f ca="1">IF($U$12,IF(Y16="","",Y16*($Z$10-W16)*X16),"")</f>
        <v>-1.3066651730248688E-3</v>
      </c>
      <c r="AA16" s="416">
        <f t="shared" ref="AA16:AA79" ca="1" si="0">IF($U$12,IF(OR(T16="",L16=""),"",L16/($C$20-$C$19)),"")</f>
        <v>5.127840932595034E-2</v>
      </c>
      <c r="AB16" s="418">
        <f t="shared" ref="AB16:AB79" ca="1" si="1">IF($U$12,IF(W16="","",W16*$AC$10),"")</f>
        <v>4.9302094211038719E-3</v>
      </c>
      <c r="AC16" s="417">
        <f ca="1">IF($U$12,IF(AA16="","",AA16*(AB16-W16)*X16),"")</f>
        <v>-6.2670537666617034E-5</v>
      </c>
      <c r="AD16" s="220"/>
      <c r="AE16" s="220"/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5"/>
      <c r="F17" s="514"/>
      <c r="G17" s="221"/>
      <c r="H17" s="377">
        <v>3</v>
      </c>
      <c r="I17" s="403">
        <f ca="1"/>
        <v>7.2575177433522602E-5</v>
      </c>
      <c r="J17" s="403">
        <f ca="1"/>
        <v>4.63383877904478E-4</v>
      </c>
      <c r="K17" s="403">
        <f ca="1"/>
        <v>0.156619988079264</v>
      </c>
      <c r="L17" s="403">
        <f ca="1"/>
        <v>0.156619988079264</v>
      </c>
      <c r="M17" s="403">
        <f ca="1"/>
        <v>-9.4460624291159404E-5</v>
      </c>
      <c r="N17" s="693" t="str">
        <f ca="1"/>
        <v>AKZO NOBEL N.V.</v>
      </c>
      <c r="O17" s="403">
        <f ca="1"/>
        <v>0.24192520714767601</v>
      </c>
      <c r="P17" s="403">
        <f ca="1"/>
        <v>0.770547446886927</v>
      </c>
      <c r="Q17" s="403">
        <f ca="1"/>
        <v>0.31396536076405601</v>
      </c>
      <c r="R17" s="441">
        <f ca="1"/>
        <v>0.31396536076405601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-2.1628891459922799E-2</v>
      </c>
      <c r="U17" s="413">
        <f ca="1"/>
        <v>2.54445104212725E-2</v>
      </c>
      <c r="V17" s="413">
        <f ca="1"/>
        <v>4.7073401881195298E-2</v>
      </c>
      <c r="W17" s="414">
        <f ca="1"/>
        <v>5.4052839617348804E-3</v>
      </c>
      <c r="X17" s="415">
        <f ca="1"/>
        <v>4.70734018811953</v>
      </c>
      <c r="Y17" s="416">
        <f ca="1">IF($U$12,IF(T17="","",$U$13*D41/$C$18),"")</f>
        <v>5.3457106073324885E-2</v>
      </c>
      <c r="Z17" s="417">
        <f t="shared" ref="Z17:Z79" ca="1" si="2">IF($U$12,IF(Y17="","",Y17*($Z$10-W17)*X17),"")</f>
        <v>-1.3601898925737872E-3</v>
      </c>
      <c r="AA17" s="416">
        <f t="shared" ca="1" si="0"/>
        <v>5.2206662693087998E-2</v>
      </c>
      <c r="AB17" s="418">
        <f t="shared" ca="1" si="1"/>
        <v>5.1350197636481363E-3</v>
      </c>
      <c r="AC17" s="417">
        <f t="shared" ref="AC17:AC79" ca="1" si="3">IF($U$12,IF(AA17="","",AA17*(AB17-W17)*X17),"")</f>
        <v>-6.6418648647706958E-5</v>
      </c>
      <c r="AD17" s="220"/>
      <c r="AE17" s="220"/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69"/>
      <c r="F18" s="221"/>
      <c r="G18" s="230"/>
      <c r="H18" s="377">
        <v>4</v>
      </c>
      <c r="I18" s="403">
        <f ca="1"/>
        <v>1.01353470846897E-4</v>
      </c>
      <c r="J18" s="403">
        <f ca="1"/>
        <v>4.4260202394702698E-4</v>
      </c>
      <c r="K18" s="403">
        <f ca="1"/>
        <v>0.22899459415718201</v>
      </c>
      <c r="L18" s="403">
        <f ca="1"/>
        <v>0.22899459415718201</v>
      </c>
      <c r="M18" s="403">
        <f ca="1"/>
        <v>-1.26169696599288E-4</v>
      </c>
      <c r="N18" s="693" t="str">
        <f ca="1"/>
        <v>ALSTOM</v>
      </c>
      <c r="O18" s="403">
        <f ca="1"/>
        <v>0.231319007112814</v>
      </c>
      <c r="P18" s="403">
        <f ca="1"/>
        <v>0.72693082846872603</v>
      </c>
      <c r="Q18" s="403">
        <f ca="1"/>
        <v>0.31821323027403497</v>
      </c>
      <c r="R18" s="441">
        <f ca="1"/>
        <v>0.31821323027403497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2.4283338453972101E-2</v>
      </c>
      <c r="U18" s="413">
        <f ca="1"/>
        <v>6.9888889081864095E-2</v>
      </c>
      <c r="V18" s="413">
        <f ca="1"/>
        <v>4.5605550627891997E-2</v>
      </c>
      <c r="W18" s="414">
        <f ca="1"/>
        <v>1.5324645381898001E-2</v>
      </c>
      <c r="X18" s="415">
        <f ca="1"/>
        <v>4.5605550627892004</v>
      </c>
      <c r="Y18" s="416">
        <f t="shared" ref="Y18:Y79" ca="1" si="4">IF($U$12,IF(T18="","",$U$13*D42/$C$18),"")</f>
        <v>5.3457106073324885E-2</v>
      </c>
      <c r="Z18" s="417">
        <f t="shared" ca="1" si="2"/>
        <v>-3.7360577569960449E-3</v>
      </c>
      <c r="AA18" s="416">
        <f t="shared" ca="1" si="0"/>
        <v>7.6331531385727333E-2</v>
      </c>
      <c r="AB18" s="418">
        <f t="shared" ca="1" si="1"/>
        <v>1.4558413112803099E-2</v>
      </c>
      <c r="AC18" s="417">
        <f t="shared" ca="1" si="3"/>
        <v>-2.6673629652329659E-4</v>
      </c>
      <c r="AD18" s="220"/>
      <c r="AE18" s="220"/>
    </row>
    <row r="19" spans="1:31" customFormat="1" ht="14.5">
      <c r="A19" s="220"/>
      <c r="B19" s="262" t="s">
        <v>465</v>
      </c>
      <c r="C19" s="231">
        <v>3</v>
      </c>
      <c r="D19" s="221"/>
      <c r="E19" s="612"/>
      <c r="F19" s="221"/>
      <c r="G19" s="233"/>
      <c r="H19" s="377">
        <v>5</v>
      </c>
      <c r="I19" s="403">
        <f ca="1"/>
        <v>9.4311151566925906E-5</v>
      </c>
      <c r="J19" s="403">
        <f ca="1"/>
        <v>4.6050331669100802E-4</v>
      </c>
      <c r="K19" s="403">
        <f ca="1"/>
        <v>0.204800157020818</v>
      </c>
      <c r="L19" s="403">
        <f ca="1"/>
        <v>0.204800157020818</v>
      </c>
      <c r="M19" s="403">
        <f ca="1"/>
        <v>-1.33235979515825E-4</v>
      </c>
      <c r="N19" s="693" t="str">
        <f ca="1"/>
        <v>ANGLO AMERICAN PLC</v>
      </c>
      <c r="O19" s="403">
        <f ca="1"/>
        <v>0.23692476672018001</v>
      </c>
      <c r="P19" s="403">
        <f ca="1"/>
        <v>0.74768750858377797</v>
      </c>
      <c r="Q19" s="403">
        <f ca="1"/>
        <v>0.31687672189274302</v>
      </c>
      <c r="R19" s="441">
        <f ca="1"/>
        <v>0.31687672189274302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2.4342014907596998E-3</v>
      </c>
      <c r="U19" s="413">
        <f ca="1"/>
        <v>4.89711435733272E-2</v>
      </c>
      <c r="V19" s="413">
        <f ca="1"/>
        <v>4.6536942082567499E-2</v>
      </c>
      <c r="W19" s="414">
        <f ca="1"/>
        <v>1.0523068637909401E-2</v>
      </c>
      <c r="X19" s="415">
        <f ca="1"/>
        <v>4.6536942082567503</v>
      </c>
      <c r="Y19" s="416">
        <f t="shared" ca="1" si="4"/>
        <v>5.3457106073324885E-2</v>
      </c>
      <c r="Z19" s="417">
        <f t="shared" ca="1" si="2"/>
        <v>-2.617855616531376E-3</v>
      </c>
      <c r="AA19" s="416">
        <f t="shared" ca="1" si="0"/>
        <v>6.8266719006939328E-2</v>
      </c>
      <c r="AB19" s="418">
        <f t="shared" ca="1" si="1"/>
        <v>9.9969152060139302E-3</v>
      </c>
      <c r="AC19" s="417">
        <f t="shared" ca="1" si="3"/>
        <v>-1.6715496488844077E-4</v>
      </c>
      <c r="AD19" s="220"/>
      <c r="AE19" s="220"/>
    </row>
    <row r="20" spans="1:31" customFormat="1" ht="14.5">
      <c r="A20" s="220"/>
      <c r="B20" s="262" t="s">
        <v>466</v>
      </c>
      <c r="C20" s="231">
        <v>6</v>
      </c>
      <c r="D20" s="232"/>
      <c r="E20" s="403"/>
      <c r="F20" s="221"/>
      <c r="G20" s="233"/>
      <c r="H20" s="377">
        <v>6</v>
      </c>
      <c r="I20" s="403">
        <f ca="1"/>
        <v>1.01500691215575E-4</v>
      </c>
      <c r="J20" s="403">
        <f ca="1"/>
        <v>4.4793805678189602E-4</v>
      </c>
      <c r="K20" s="403">
        <f ca="1"/>
        <v>0.226595373353143</v>
      </c>
      <c r="L20" s="403">
        <f ca="1"/>
        <v>0.226595373353143</v>
      </c>
      <c r="M20" s="403">
        <f ca="1"/>
        <v>-1.3008628705019301E-4</v>
      </c>
      <c r="N20" s="693" t="str">
        <f ca="1"/>
        <v>ARCELORMITTAL</v>
      </c>
      <c r="O20" s="403">
        <f ca="1"/>
        <v>0.232171752099773</v>
      </c>
      <c r="P20" s="403">
        <f ca="1"/>
        <v>0.73008679628595197</v>
      </c>
      <c r="Q20" s="403">
        <f ca="1"/>
        <v>0.31800568546214097</v>
      </c>
      <c r="R20" s="441">
        <f ca="1"/>
        <v>0.31800568546214097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2.0961267067418601E-2</v>
      </c>
      <c r="U20" s="413">
        <f ca="1"/>
        <v>6.6991019393932497E-2</v>
      </c>
      <c r="V20" s="413">
        <f ca="1"/>
        <v>4.6029752326513899E-2</v>
      </c>
      <c r="W20" s="414">
        <f ca="1"/>
        <v>1.4553851804095999E-2</v>
      </c>
      <c r="X20" s="415">
        <f ca="1"/>
        <v>4.6029752326513904</v>
      </c>
      <c r="Y20" s="416">
        <f t="shared" ca="1" si="4"/>
        <v>5.3457106073324885E-2</v>
      </c>
      <c r="Z20" s="417">
        <f t="shared" ca="1" si="2"/>
        <v>-3.5811460297016217E-3</v>
      </c>
      <c r="AA20" s="416">
        <f t="shared" ca="1" si="0"/>
        <v>7.5531791117714339E-2</v>
      </c>
      <c r="AB20" s="418">
        <f t="shared" ca="1" si="1"/>
        <v>1.3826159213891199E-2</v>
      </c>
      <c r="AC20" s="417">
        <f t="shared" ca="1" si="3"/>
        <v>-2.5299758418126362E-4</v>
      </c>
      <c r="AD20" s="220"/>
      <c r="AE20" s="220"/>
    </row>
    <row r="21" spans="1:31" customFormat="1" ht="14.5">
      <c r="A21" s="220"/>
      <c r="B21" s="262" t="s">
        <v>467</v>
      </c>
      <c r="C21" s="238">
        <v>0.4</v>
      </c>
      <c r="D21" s="221"/>
      <c r="E21" s="403"/>
      <c r="F21" s="221"/>
      <c r="G21" s="234"/>
      <c r="H21" s="377">
        <v>7</v>
      </c>
      <c r="I21" s="403">
        <f ca="1"/>
        <v>5.9396643741433903E-5</v>
      </c>
      <c r="J21" s="403">
        <f ca="1"/>
        <v>4.8175326030959302E-4</v>
      </c>
      <c r="K21" s="403">
        <f ca="1"/>
        <v>0.123292665841562</v>
      </c>
      <c r="L21" s="403">
        <f ca="1"/>
        <v>0.123292665841562</v>
      </c>
      <c r="M21" s="403">
        <f ca="1"/>
        <v>-6.1008193029599103E-5</v>
      </c>
      <c r="N21" s="693" t="str">
        <f ca="1"/>
        <v>ASTRAZENECA PLC</v>
      </c>
      <c r="O21" s="403">
        <f ca="1"/>
        <v>0.24348237034223799</v>
      </c>
      <c r="P21" s="403">
        <f ca="1"/>
        <v>0.780263011190791</v>
      </c>
      <c r="Q21" s="403">
        <f ca="1"/>
        <v>0.31205166315733701</v>
      </c>
      <c r="R21" s="441">
        <f ca="1"/>
        <v>0.31205166315733701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-3.1855801253463899E-2</v>
      </c>
      <c r="U21" s="413">
        <f ca="1"/>
        <v>1.5459813486653101E-2</v>
      </c>
      <c r="V21" s="413">
        <f ca="1"/>
        <v>4.7315614740117001E-2</v>
      </c>
      <c r="W21" s="414">
        <f ca="1"/>
        <v>3.2673808787155598E-3</v>
      </c>
      <c r="X21" s="415">
        <f ca="1"/>
        <v>4.7315614740117002</v>
      </c>
      <c r="Y21" s="416">
        <f t="shared" ca="1" si="4"/>
        <v>5.3457106073324885E-2</v>
      </c>
      <c r="Z21" s="417">
        <f t="shared" ca="1" si="2"/>
        <v>-8.2643688942983019E-4</v>
      </c>
      <c r="AA21" s="416">
        <f ca="1">IF($U$12,IF(OR(T21="",L21=""),"",L21/($C$20-$C$19)),"")</f>
        <v>4.1097555280520663E-2</v>
      </c>
      <c r="AB21" s="418">
        <f t="shared" ca="1" si="1"/>
        <v>3.1040118347797816E-3</v>
      </c>
      <c r="AC21" s="417">
        <f t="shared" ca="1" si="3"/>
        <v>-3.176802696971315E-5</v>
      </c>
      <c r="AD21" s="220"/>
      <c r="AE21" s="220"/>
    </row>
    <row r="22" spans="1:31" customFormat="1" ht="15" thickBot="1">
      <c r="A22" s="220"/>
      <c r="B22" s="263" t="s">
        <v>468</v>
      </c>
      <c r="C22" s="235">
        <v>0.5</v>
      </c>
      <c r="D22" s="221"/>
      <c r="E22" s="403"/>
      <c r="F22" s="567"/>
      <c r="G22" s="234"/>
      <c r="H22" s="377">
        <v>8</v>
      </c>
      <c r="I22" s="403">
        <f ca="1"/>
        <v>6.2070386657264698E-5</v>
      </c>
      <c r="J22" s="403">
        <f ca="1"/>
        <v>4.8084403231803201E-4</v>
      </c>
      <c r="K22" s="403">
        <f ca="1"/>
        <v>0.12908632006523699</v>
      </c>
      <c r="L22" s="403">
        <f ca="1"/>
        <v>0.12908632006523699</v>
      </c>
      <c r="M22" s="403">
        <f ca="1"/>
        <v>-6.6792759362366194E-5</v>
      </c>
      <c r="N22" s="693" t="str">
        <f ca="1"/>
        <v>BAE SYSTEMS PLC</v>
      </c>
      <c r="O22" s="403">
        <f ca="1"/>
        <v>0.24328690534875799</v>
      </c>
      <c r="P22" s="403">
        <f ca="1"/>
        <v>0.77886341331815301</v>
      </c>
      <c r="Q22" s="403">
        <f ca="1"/>
        <v>0.31236145027315498</v>
      </c>
      <c r="R22" s="441">
        <f ca="1"/>
        <v>0.31236145027315498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-3.0382540334898098E-2</v>
      </c>
      <c r="U22" s="413">
        <f ca="1"/>
        <v>1.6937910992234202E-2</v>
      </c>
      <c r="V22" s="413">
        <f ca="1"/>
        <v>4.73204513271323E-2</v>
      </c>
      <c r="W22" s="414">
        <f ca="1"/>
        <v>3.5794060532390701E-3</v>
      </c>
      <c r="X22" s="415">
        <f ca="1"/>
        <v>4.73204513271323</v>
      </c>
      <c r="Y22" s="416">
        <f t="shared" ca="1" si="4"/>
        <v>5.3457106073324885E-2</v>
      </c>
      <c r="Z22" s="417">
        <f t="shared" ca="1" si="2"/>
        <v>-9.0545170457239992E-4</v>
      </c>
      <c r="AA22" s="416">
        <f t="shared" ca="1" si="0"/>
        <v>4.3028773355078993E-2</v>
      </c>
      <c r="AB22" s="418">
        <f t="shared" ca="1" si="1"/>
        <v>3.4004357505771163E-3</v>
      </c>
      <c r="AC22" s="417">
        <f t="shared" ca="1" si="3"/>
        <v>-3.6440876659667402E-5</v>
      </c>
      <c r="AD22" s="220"/>
      <c r="AE22" s="220"/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6.8548244191097798E-5</v>
      </c>
      <c r="J23" s="403">
        <f ca="1"/>
        <v>4.7748759281318501E-4</v>
      </c>
      <c r="K23" s="403">
        <f ca="1"/>
        <v>0.14356026255517201</v>
      </c>
      <c r="L23" s="403">
        <f ca="1"/>
        <v>0.14356026255517201</v>
      </c>
      <c r="M23" s="403">
        <f ca="1"/>
        <v>-8.1371747753136202E-5</v>
      </c>
      <c r="N23" s="693" t="str">
        <f ca="1"/>
        <v>BASF SE</v>
      </c>
      <c r="O23" s="403">
        <f ca="1"/>
        <v>0.24266871260107201</v>
      </c>
      <c r="P23" s="403">
        <f ca="1"/>
        <v>0.77485753412158098</v>
      </c>
      <c r="Q23" s="403">
        <f ca="1"/>
        <v>0.313178490128736</v>
      </c>
      <c r="R23" s="441">
        <f ca="1"/>
        <v>0.313178490128736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-2.61658253911379E-2</v>
      </c>
      <c r="U23" s="413">
        <f ca="1"/>
        <v>2.1073390733040799E-2</v>
      </c>
      <c r="V23" s="413">
        <f ca="1"/>
        <v>4.7239216124178703E-2</v>
      </c>
      <c r="W23" s="414">
        <f ca="1"/>
        <v>4.4609950083940404E-3</v>
      </c>
      <c r="X23" s="415">
        <f ca="1"/>
        <v>4.72392161241787</v>
      </c>
      <c r="Y23" s="416">
        <f t="shared" ca="1" si="4"/>
        <v>5.3457106073324885E-2</v>
      </c>
      <c r="Z23" s="417">
        <f t="shared" ca="1" si="2"/>
        <v>-1.1265224837407862E-3</v>
      </c>
      <c r="AA23" s="416">
        <f t="shared" ca="1" si="0"/>
        <v>4.7853420851724005E-2</v>
      </c>
      <c r="AB23" s="418">
        <f t="shared" ca="1" si="1"/>
        <v>4.237945257974338E-3</v>
      </c>
      <c r="AC23" s="417">
        <f t="shared" ca="1" si="3"/>
        <v>-5.0421691776051302E-5</v>
      </c>
      <c r="AD23" s="220"/>
      <c r="AE23" s="220"/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9.6540764789268001E-5</v>
      </c>
      <c r="J24" s="403">
        <f ca="1"/>
        <v>4.5352666153813199E-4</v>
      </c>
      <c r="K24" s="403">
        <f ca="1"/>
        <v>0.212866790370936</v>
      </c>
      <c r="L24" s="403">
        <f ca="1"/>
        <v>0.212866790370936</v>
      </c>
      <c r="M24" s="403">
        <f ca="1"/>
        <v>-1.33676268346416E-4</v>
      </c>
      <c r="N24" s="693" t="str">
        <f ca="1"/>
        <v>BAYER AKTIENGESELLSCHAFT</v>
      </c>
      <c r="O24" s="403">
        <f ca="1"/>
        <v>0.23537495686628501</v>
      </c>
      <c r="P24" s="403">
        <f ca="1"/>
        <v>0.741533714699251</v>
      </c>
      <c r="Q24" s="403">
        <f ca="1"/>
        <v>0.31741639280925699</v>
      </c>
      <c r="R24" s="441">
        <f ca="1"/>
        <v>0.31741639280925699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8.9118792639464005E-3</v>
      </c>
      <c r="U24" s="413">
        <f ca="1"/>
        <v>5.4996171624069397E-2</v>
      </c>
      <c r="V24" s="413">
        <f ca="1"/>
        <v>4.6084292360123E-2</v>
      </c>
      <c r="W24" s="414">
        <f ca="1"/>
        <v>1.19338214405692E-2</v>
      </c>
      <c r="X24" s="415">
        <f ca="1"/>
        <v>4.6084292360122996</v>
      </c>
      <c r="Y24" s="416">
        <f t="shared" ca="1" si="4"/>
        <v>5.3457106073324885E-2</v>
      </c>
      <c r="Z24" s="417">
        <f t="shared" ca="1" si="2"/>
        <v>-2.9399361801346643E-3</v>
      </c>
      <c r="AA24" s="416">
        <f t="shared" ca="1" si="0"/>
        <v>7.0955596790312006E-2</v>
      </c>
      <c r="AB24" s="418">
        <f t="shared" ca="1" si="1"/>
        <v>1.1337130368540739E-2</v>
      </c>
      <c r="AC24" s="417">
        <f t="shared" ca="1" si="3"/>
        <v>-1.9511430893841416E-4</v>
      </c>
      <c r="AD24" s="220"/>
      <c r="AE24" s="220"/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7.3416887126465105E-5</v>
      </c>
      <c r="J25" s="403">
        <f ca="1"/>
        <v>4.7403210425861199E-4</v>
      </c>
      <c r="K25" s="403">
        <f ca="1"/>
        <v>0.15487745759602001</v>
      </c>
      <c r="L25" s="403">
        <f ca="1"/>
        <v>0.15487745759602001</v>
      </c>
      <c r="M25" s="403">
        <f ca="1"/>
        <v>-9.2723594398687103E-5</v>
      </c>
      <c r="N25" s="693" t="str">
        <f ca="1"/>
        <v>BAYERISCHE MOTOREN WERKE AKTIENGESELLSCHAFT</v>
      </c>
      <c r="O25" s="403">
        <f ca="1"/>
        <v>0.24204086904501901</v>
      </c>
      <c r="P25" s="403">
        <f ca="1"/>
        <v>0.771190871724586</v>
      </c>
      <c r="Q25" s="403">
        <f ca="1"/>
        <v>0.31385338950362801</v>
      </c>
      <c r="R25" s="441">
        <f ca="1"/>
        <v>0.31385338950362801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-2.2306180762721801E-2</v>
      </c>
      <c r="U25" s="413">
        <f ca="1"/>
        <v>2.4802791677545798E-2</v>
      </c>
      <c r="V25" s="413">
        <f ca="1"/>
        <v>4.7108972440267599E-2</v>
      </c>
      <c r="W25" s="414">
        <f ca="1"/>
        <v>5.26498252726586E-3</v>
      </c>
      <c r="X25" s="415">
        <f ca="1"/>
        <v>4.7108972440267598</v>
      </c>
      <c r="Y25" s="416">
        <f t="shared" ca="1" si="4"/>
        <v>5.3457106073324885E-2</v>
      </c>
      <c r="Z25" s="417">
        <f t="shared" ca="1" si="2"/>
        <v>-1.3258854656211447E-3</v>
      </c>
      <c r="AA25" s="416">
        <f t="shared" ca="1" si="0"/>
        <v>5.1625819198673338E-2</v>
      </c>
      <c r="AB25" s="418">
        <f t="shared" ca="1" si="1"/>
        <v>5.0017334009025667E-3</v>
      </c>
      <c r="AC25" s="417">
        <f t="shared" ca="1" si="3"/>
        <v>-6.402322193836697E-5</v>
      </c>
      <c r="AD25" s="220"/>
      <c r="AE25" s="220"/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6.1595988228253497E-5</v>
      </c>
      <c r="J26" s="403">
        <f ca="1"/>
        <v>4.80881681861379E-4</v>
      </c>
      <c r="K26" s="403">
        <f ca="1"/>
        <v>0.12808969555635799</v>
      </c>
      <c r="L26" s="403">
        <f ca="1"/>
        <v>0.12808969555635799</v>
      </c>
      <c r="M26" s="403">
        <f ca="1"/>
        <v>-6.5696036462037399E-5</v>
      </c>
      <c r="N26" s="693" t="str">
        <f ca="1"/>
        <v>BOUYGUES</v>
      </c>
      <c r="O26" s="403">
        <f ca="1"/>
        <v>0.243318135804305</v>
      </c>
      <c r="P26" s="403">
        <f ca="1"/>
        <v>0.779089965405388</v>
      </c>
      <c r="Q26" s="403">
        <f ca="1"/>
        <v>0.31231070429420599</v>
      </c>
      <c r="R26" s="441">
        <f ca="1"/>
        <v>0.31231070429420599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-3.0621016216197901E-2</v>
      </c>
      <c r="U26" s="413">
        <f ca="1"/>
        <v>1.6677865365768402E-2</v>
      </c>
      <c r="V26" s="413">
        <f ca="1"/>
        <v>4.7298881581966302E-2</v>
      </c>
      <c r="W26" s="414">
        <f ca="1"/>
        <v>3.52605913881211E-3</v>
      </c>
      <c r="X26" s="415">
        <f ca="1"/>
        <v>4.7298881581966299</v>
      </c>
      <c r="Y26" s="416">
        <f t="shared" ca="1" si="4"/>
        <v>5.3457106073324885E-2</v>
      </c>
      <c r="Z26" s="417">
        <f t="shared" ca="1" si="2"/>
        <v>-8.9155041793451302E-4</v>
      </c>
      <c r="AA26" s="416">
        <f t="shared" ca="1" si="0"/>
        <v>4.2696565185452666E-2</v>
      </c>
      <c r="AB26" s="418">
        <f t="shared" ca="1" si="1"/>
        <v>3.3497561818715046E-3</v>
      </c>
      <c r="AC26" s="417">
        <f t="shared" ca="1" si="3"/>
        <v>-3.5604378287186698E-5</v>
      </c>
      <c r="AD26" s="220"/>
      <c r="AE26" s="220"/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8.7626937323321896E-5</v>
      </c>
      <c r="J27" s="403">
        <f ca="1"/>
        <v>4.4945526680678801E-4</v>
      </c>
      <c r="K27" s="403">
        <f ca="1"/>
        <v>0.19496253308116401</v>
      </c>
      <c r="L27" s="403">
        <f ca="1"/>
        <v>0.19496253308116401</v>
      </c>
      <c r="M27" s="403">
        <f ca="1"/>
        <v>-1.2775752665543399E-4</v>
      </c>
      <c r="N27" s="693" t="str">
        <f ca="1"/>
        <v>CNH INDUSTRIAL N.V</v>
      </c>
      <c r="O27" s="403">
        <f ca="1"/>
        <v>0.238319739036744</v>
      </c>
      <c r="P27" s="403">
        <f ca="1"/>
        <v>0.75335422373860195</v>
      </c>
      <c r="Q27" s="403">
        <f ca="1"/>
        <v>0.31634486344824098</v>
      </c>
      <c r="R27" s="441">
        <f ca="1"/>
        <v>0.31634486344824098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-3.5307618301069999E-3</v>
      </c>
      <c r="U27" s="413">
        <f ca="1"/>
        <v>4.3004337425704003E-2</v>
      </c>
      <c r="V27" s="413">
        <f ca="1"/>
        <v>4.6535099255811001E-2</v>
      </c>
      <c r="W27" s="414">
        <f ca="1"/>
        <v>9.2412690879420303E-3</v>
      </c>
      <c r="X27" s="415">
        <f ca="1"/>
        <v>4.6535099255810897</v>
      </c>
      <c r="Y27" s="416">
        <f t="shared" ca="1" si="4"/>
        <v>5.3457106073324885E-2</v>
      </c>
      <c r="Z27" s="417">
        <f t="shared" ca="1" si="2"/>
        <v>-2.2988874273789108E-3</v>
      </c>
      <c r="AA27" s="416">
        <f t="shared" ca="1" si="0"/>
        <v>6.4987511027054676E-2</v>
      </c>
      <c r="AB27" s="418">
        <f t="shared" ca="1" si="1"/>
        <v>8.7792056335449283E-3</v>
      </c>
      <c r="AC27" s="417">
        <f t="shared" ca="1" si="3"/>
        <v>-1.3973724263320589E-4</v>
      </c>
      <c r="AD27" s="220"/>
      <c r="AE27" s="220"/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8.7159090493427107E-5</v>
      </c>
      <c r="J28" s="403">
        <f ca="1"/>
        <v>3.6886088994432298E-4</v>
      </c>
      <c r="K28" s="403">
        <f ca="1"/>
        <v>0.23629257768852399</v>
      </c>
      <c r="L28" s="403">
        <f ca="1"/>
        <v>0.23629257768852399</v>
      </c>
      <c r="M28" s="403">
        <f ca="1"/>
        <v>2.9038686963041201E-4</v>
      </c>
      <c r="N28" s="693" t="str">
        <f ca="1"/>
        <v>COMPAGNIE DE SAINT-GOBAIN</v>
      </c>
      <c r="O28" s="403">
        <f ca="1"/>
        <v>0.18189653503346301</v>
      </c>
      <c r="P28" s="403">
        <f ca="1"/>
        <v>0.586902484150991</v>
      </c>
      <c r="Q28" s="403">
        <f ca="1"/>
        <v>0.30992633349745202</v>
      </c>
      <c r="R28" s="441">
        <f ca="1"/>
        <v>0.30992633349745202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0.17168159563053501</v>
      </c>
      <c r="U28" s="413">
        <f ca="1"/>
        <v>0.216066502860084</v>
      </c>
      <c r="V28" s="413">
        <f ca="1"/>
        <v>4.4384907229548798E-2</v>
      </c>
      <c r="W28" s="414">
        <f ca="1"/>
        <v>4.8680174488737002E-2</v>
      </c>
      <c r="X28" s="415">
        <f ca="1"/>
        <v>4.4384907229548798</v>
      </c>
      <c r="Y28" s="416">
        <f t="shared" ca="1" si="4"/>
        <v>5.3457106073324885E-2</v>
      </c>
      <c r="Z28" s="417">
        <f t="shared" ca="1" si="2"/>
        <v>-1.1550289962283865E-2</v>
      </c>
      <c r="AA28" s="416">
        <f t="shared" ca="1" si="0"/>
        <v>7.8764192562841326E-2</v>
      </c>
      <c r="AB28" s="418">
        <f t="shared" ca="1" si="1"/>
        <v>4.624616576430015E-2</v>
      </c>
      <c r="AC28" s="417">
        <f t="shared" ca="1" si="3"/>
        <v>-8.5091518188256873E-4</v>
      </c>
      <c r="AD28" s="220"/>
      <c r="AE28" s="220"/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9.3286058051402797E-5</v>
      </c>
      <c r="J29" s="403">
        <f ca="1"/>
        <v>4.6084461741895903E-4</v>
      </c>
      <c r="K29" s="403">
        <f ca="1"/>
        <v>0.20242410245316</v>
      </c>
      <c r="L29" s="403">
        <f ca="1"/>
        <v>0.20242410245316</v>
      </c>
      <c r="M29" s="403">
        <f ca="1"/>
        <v>-1.3201684438933099E-4</v>
      </c>
      <c r="N29" s="693" t="str">
        <f ca="1"/>
        <v>CONTINENTAL AKTIENGESELLSCHAFT</v>
      </c>
      <c r="O29" s="403">
        <f ca="1"/>
        <v>0.237287081835824</v>
      </c>
      <c r="P29" s="403">
        <f ca="1"/>
        <v>0.74911061696243797</v>
      </c>
      <c r="Q29" s="403">
        <f ca="1"/>
        <v>0.31675840184724302</v>
      </c>
      <c r="R29" s="441">
        <f ca="1"/>
        <v>0.31675840184724302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9.3619267111760102E-4</v>
      </c>
      <c r="U29" s="413">
        <f ca="1"/>
        <v>4.74422740998992E-2</v>
      </c>
      <c r="V29" s="413">
        <f ca="1"/>
        <v>4.6506081428781598E-2</v>
      </c>
      <c r="W29" s="414">
        <f ca="1"/>
        <v>1.02013054298181E-2</v>
      </c>
      <c r="X29" s="415">
        <f ca="1"/>
        <v>4.65060814287816</v>
      </c>
      <c r="Y29" s="416">
        <f t="shared" ca="1" si="4"/>
        <v>5.3457106073324885E-2</v>
      </c>
      <c r="Z29" s="417">
        <f t="shared" ca="1" si="2"/>
        <v>-2.5361266789180677E-3</v>
      </c>
      <c r="AA29" s="416">
        <f t="shared" ca="1" si="0"/>
        <v>6.7474700817720001E-2</v>
      </c>
      <c r="AB29" s="418">
        <f t="shared" ca="1" si="1"/>
        <v>9.6912401583271954E-3</v>
      </c>
      <c r="AC29" s="417">
        <f t="shared" ca="1" si="3"/>
        <v>-1.6005766255014839E-4</v>
      </c>
      <c r="AD29" s="220"/>
      <c r="AE29" s="220"/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9.6206357439157001E-5</v>
      </c>
      <c r="J30" s="403">
        <f ca="1"/>
        <v>4.58017311243995E-4</v>
      </c>
      <c r="K30" s="403">
        <f ca="1"/>
        <v>0.21004960964871899</v>
      </c>
      <c r="L30" s="403">
        <f ca="1"/>
        <v>0.21004960964871899</v>
      </c>
      <c r="M30" s="403">
        <f ca="1"/>
        <v>-1.3464962653485899E-4</v>
      </c>
      <c r="N30" s="693" t="str">
        <f ca="1"/>
        <v>GLENCORE INTERNATIONAL AG</v>
      </c>
      <c r="O30" s="403">
        <f ca="1"/>
        <v>0.23600823689023001</v>
      </c>
      <c r="P30" s="403">
        <f ca="1"/>
        <v>0.74409726252908004</v>
      </c>
      <c r="Q30" s="403">
        <f ca="1"/>
        <v>0.31717390827117398</v>
      </c>
      <c r="R30" s="441">
        <f ca="1"/>
        <v>0.31717390827117398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6.2134078641259997E-3</v>
      </c>
      <c r="U30" s="413">
        <f ca="1"/>
        <v>5.2655503646831303E-2</v>
      </c>
      <c r="V30" s="413">
        <f ca="1"/>
        <v>4.6442095782705299E-2</v>
      </c>
      <c r="W30" s="414">
        <f ca="1"/>
        <v>1.13378827461184E-2</v>
      </c>
      <c r="X30" s="415">
        <f ca="1"/>
        <v>4.6442095782705302</v>
      </c>
      <c r="Y30" s="416">
        <f t="shared" ca="1" si="4"/>
        <v>5.3457106073324885E-2</v>
      </c>
      <c r="Z30" s="417">
        <f t="shared" ca="1" si="2"/>
        <v>-2.8148108437930038E-3</v>
      </c>
      <c r="AA30" s="416">
        <f t="shared" ca="1" si="0"/>
        <v>7.0016536549573002E-2</v>
      </c>
      <c r="AB30" s="418">
        <f t="shared" ca="1" si="1"/>
        <v>1.077098860881248E-2</v>
      </c>
      <c r="AC30" s="417">
        <f t="shared" ca="1" si="3"/>
        <v>-1.8433779978122681E-4</v>
      </c>
      <c r="AD30" s="220"/>
      <c r="AE30" s="220"/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5.3271843448796699E-5</v>
      </c>
      <c r="J31" s="403">
        <f ca="1"/>
        <v>4.84493200498996E-4</v>
      </c>
      <c r="K31" s="403">
        <f ca="1"/>
        <v>0.10995374835793401</v>
      </c>
      <c r="L31" s="403">
        <f ca="1"/>
        <v>0.10995374835793401</v>
      </c>
      <c r="M31" s="403">
        <f ca="1"/>
        <v>-4.8959705088147302E-5</v>
      </c>
      <c r="N31" s="693" t="str">
        <f ca="1"/>
        <v>GSK PLC</v>
      </c>
      <c r="O31" s="403">
        <f ca="1"/>
        <v>0.243881306372317</v>
      </c>
      <c r="P31" s="403">
        <f ca="1"/>
        <v>0.78330673267774198</v>
      </c>
      <c r="Q31" s="403">
        <f ca="1"/>
        <v>0.31134841077977998</v>
      </c>
      <c r="R31" s="441">
        <f ca="1"/>
        <v>0.31134841077977998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-3.50597186081495E-2</v>
      </c>
      <c r="U31" s="413">
        <f ca="1"/>
        <v>1.23851354818758E-2</v>
      </c>
      <c r="V31" s="413">
        <f ca="1"/>
        <v>4.7444854090025301E-2</v>
      </c>
      <c r="W31" s="414">
        <f ca="1"/>
        <v>2.6104275625709302E-3</v>
      </c>
      <c r="X31" s="415">
        <f ca="1"/>
        <v>4.7444854090025297</v>
      </c>
      <c r="Y31" s="416">
        <f t="shared" ca="1" si="4"/>
        <v>5.3457106073324885E-2</v>
      </c>
      <c r="Z31" s="417">
        <f t="shared" ca="1" si="2"/>
        <v>-6.6207350118713531E-4</v>
      </c>
      <c r="AA31" s="416">
        <f t="shared" ca="1" si="0"/>
        <v>3.6651249452644669E-2</v>
      </c>
      <c r="AB31" s="418">
        <f t="shared" ca="1" si="1"/>
        <v>2.4799061844423837E-3</v>
      </c>
      <c r="AC31" s="417">
        <f t="shared" ca="1" si="3"/>
        <v>-2.2696534502551544E-5</v>
      </c>
      <c r="AD31" s="220"/>
      <c r="AE31" s="220"/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8.7696396894636401E-5</v>
      </c>
      <c r="J32" s="403">
        <f ca="1"/>
        <v>4.4937875334292299E-4</v>
      </c>
      <c r="K32" s="403">
        <f ca="1"/>
        <v>0.19515029636417799</v>
      </c>
      <c r="L32" s="403">
        <f ca="1"/>
        <v>0.19515029636417799</v>
      </c>
      <c r="M32" s="403">
        <f ca="1"/>
        <v>-1.2805167901596299E-4</v>
      </c>
      <c r="N32" s="693" t="str">
        <f ca="1"/>
        <v>HEIDELBERG MATERIALS AG</v>
      </c>
      <c r="O32" s="403">
        <f ca="1"/>
        <v>0.238306492337716</v>
      </c>
      <c r="P32" s="403">
        <f ca="1"/>
        <v>0.75331190144619198</v>
      </c>
      <c r="Q32" s="403">
        <f ca="1"/>
        <v>0.31634505160507898</v>
      </c>
      <c r="R32" s="441">
        <f ca="1"/>
        <v>0.31634505160507898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-3.4862120486233001E-3</v>
      </c>
      <c r="U32" s="413">
        <f ca="1"/>
        <v>4.3087984921184201E-2</v>
      </c>
      <c r="V32" s="413">
        <f ca="1"/>
        <v>4.6574196969807503E-2</v>
      </c>
      <c r="W32" s="414">
        <f ca="1"/>
        <v>9.2514713563642808E-3</v>
      </c>
      <c r="X32" s="415">
        <f ca="1"/>
        <v>4.6574196969807504</v>
      </c>
      <c r="Y32" s="416">
        <f t="shared" ca="1" si="4"/>
        <v>5.3457106073324885E-2</v>
      </c>
      <c r="Z32" s="417">
        <f t="shared" ca="1" si="2"/>
        <v>-2.3033589804175685E-3</v>
      </c>
      <c r="AA32" s="416">
        <f t="shared" ca="1" si="0"/>
        <v>6.5050098788059327E-2</v>
      </c>
      <c r="AB32" s="418">
        <f t="shared" ca="1" si="1"/>
        <v>8.7888977885460656E-3</v>
      </c>
      <c r="AC32" s="417">
        <f t="shared" ca="1" si="3"/>
        <v>-1.4014388378507254E-4</v>
      </c>
      <c r="AD32" s="220"/>
      <c r="AE32" s="220"/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8.2058506892623896E-5</v>
      </c>
      <c r="J33" s="403">
        <f ca="1"/>
        <v>4.55687536897261E-4</v>
      </c>
      <c r="K33" s="403">
        <f ca="1"/>
        <v>0.18007625894566601</v>
      </c>
      <c r="L33" s="403">
        <f ca="1"/>
        <v>0.18007625894566601</v>
      </c>
      <c r="M33" s="403">
        <f ca="1"/>
        <v>-1.16820935546393E-4</v>
      </c>
      <c r="N33" s="693" t="str">
        <f ca="1"/>
        <v>HOLCIM AG</v>
      </c>
      <c r="O33" s="403">
        <f ca="1"/>
        <v>0.24005550195077399</v>
      </c>
      <c r="P33" s="403">
        <f ca="1"/>
        <v>0.76109229243440002</v>
      </c>
      <c r="Q33" s="403">
        <f ca="1"/>
        <v>0.31540918800128898</v>
      </c>
      <c r="R33" s="441">
        <f ca="1"/>
        <v>0.31540918800128898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-1.1676097299369E-2</v>
      </c>
      <c r="U33" s="413">
        <f ca="1"/>
        <v>3.5136415005100202E-2</v>
      </c>
      <c r="V33" s="413">
        <f ca="1"/>
        <v>4.68125123044692E-2</v>
      </c>
      <c r="W33" s="414">
        <f ca="1"/>
        <v>7.5057742632082102E-3</v>
      </c>
      <c r="X33" s="415">
        <f ca="1"/>
        <v>4.6812512304469198</v>
      </c>
      <c r="Y33" s="416">
        <f t="shared" ca="1" si="4"/>
        <v>5.3457106073324885E-2</v>
      </c>
      <c r="Z33" s="417">
        <f t="shared" ca="1" si="2"/>
        <v>-1.8782910639640086E-3</v>
      </c>
      <c r="AA33" s="416">
        <f t="shared" ca="1" si="0"/>
        <v>6.0025419648555338E-2</v>
      </c>
      <c r="AB33" s="418">
        <f t="shared" ca="1" si="1"/>
        <v>7.1304855500477996E-3</v>
      </c>
      <c r="AC33" s="417">
        <f t="shared" ca="1" si="3"/>
        <v>-1.05453902781347E-4</v>
      </c>
      <c r="AD33" s="220"/>
      <c r="AE33" s="220"/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4.6418361729245802E-5</v>
      </c>
      <c r="J34" s="403">
        <f ca="1"/>
        <v>4.8673119663356502E-4</v>
      </c>
      <c r="K34" s="403">
        <f ca="1"/>
        <v>9.5367549995345399E-2</v>
      </c>
      <c r="L34" s="403">
        <f ca="1"/>
        <v>9.5367549995345399E-2</v>
      </c>
      <c r="M34" s="403">
        <f ca="1"/>
        <v>-3.6832580320320697E-5</v>
      </c>
      <c r="N34" s="693" t="str">
        <f ca="1"/>
        <v>DSM B.V</v>
      </c>
      <c r="O34" s="403">
        <f ca="1"/>
        <v>0.24420022329581101</v>
      </c>
      <c r="P34" s="403">
        <f ca="1"/>
        <v>0.78611816020690295</v>
      </c>
      <c r="Q34" s="403">
        <f ca="1"/>
        <v>0.31064060806270999</v>
      </c>
      <c r="R34" s="441">
        <f ca="1"/>
        <v>0.31064060806270999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-3.80191160072662E-2</v>
      </c>
      <c r="U34" s="413">
        <f ca="1"/>
        <v>9.5080044065397901E-3</v>
      </c>
      <c r="V34" s="413">
        <f ca="1"/>
        <v>4.7527120413806002E-2</v>
      </c>
      <c r="W34" s="414">
        <f ca="1"/>
        <v>2.0005429160774098E-3</v>
      </c>
      <c r="X34" s="415">
        <f ca="1"/>
        <v>4.7527120413806001</v>
      </c>
      <c r="Y34" s="416">
        <f t="shared" ca="1" si="4"/>
        <v>5.3457106073324885E-2</v>
      </c>
      <c r="Z34" s="417">
        <f t="shared" ca="1" si="2"/>
        <v>-5.0827040010603664E-4</v>
      </c>
      <c r="AA34" s="416">
        <f t="shared" ca="1" si="0"/>
        <v>3.1789183331781802E-2</v>
      </c>
      <c r="AB34" s="418">
        <f t="shared" ca="1" si="1"/>
        <v>1.9005157702735392E-3</v>
      </c>
      <c r="AC34" s="417">
        <f t="shared" ca="1" si="3"/>
        <v>-1.5112584759944114E-5</v>
      </c>
      <c r="AD34" s="220"/>
      <c r="AE34" s="220"/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4.7262955966220798E-5</v>
      </c>
      <c r="J35" s="403">
        <f ca="1"/>
        <v>4.86505428829645E-4</v>
      </c>
      <c r="K35" s="403">
        <f ca="1"/>
        <v>9.7147849058782904E-2</v>
      </c>
      <c r="L35" s="403">
        <f ca="1"/>
        <v>9.7147849058782904E-2</v>
      </c>
      <c r="M35" s="403">
        <f ca="1"/>
        <v>-3.8248996834273699E-5</v>
      </c>
      <c r="N35" s="693" t="str">
        <f ca="1"/>
        <v>L'AIR LIQUIDE SOCIETE ANONYME POUR L'ETUDE ET L'EXPLOITATION DES PROCEDES GEORGES CLAUDE</v>
      </c>
      <c r="O35" s="403">
        <f ca="1"/>
        <v>0.24416701303441599</v>
      </c>
      <c r="P35" s="403">
        <f ca="1"/>
        <v>0.78580126359464197</v>
      </c>
      <c r="Q35" s="403">
        <f ca="1"/>
        <v>0.31072361975784502</v>
      </c>
      <c r="R35" s="441">
        <f ca="1"/>
        <v>0.31072361975784502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-3.7685540625939297E-2</v>
      </c>
      <c r="U35" s="413">
        <f ca="1"/>
        <v>9.8354652786579698E-3</v>
      </c>
      <c r="V35" s="413">
        <f ca="1"/>
        <v>4.7521005904597298E-2</v>
      </c>
      <c r="W35" s="414">
        <f ca="1"/>
        <v>2.0697089826767498E-3</v>
      </c>
      <c r="X35" s="415">
        <f ca="1"/>
        <v>4.7521005904597304</v>
      </c>
      <c r="Y35" s="416">
        <f t="shared" ca="1" si="4"/>
        <v>5.3457106073324885E-2</v>
      </c>
      <c r="Z35" s="417">
        <f t="shared" ca="1" si="2"/>
        <v>-5.2577551068172415E-4</v>
      </c>
      <c r="AA35" s="416">
        <f t="shared" ca="1" si="0"/>
        <v>3.2382616352927635E-2</v>
      </c>
      <c r="AB35" s="418">
        <f t="shared" ca="1" si="1"/>
        <v>1.9662235335429121E-3</v>
      </c>
      <c r="AC35" s="417">
        <f t="shared" ca="1" si="3"/>
        <v>-1.5924904938566145E-5</v>
      </c>
      <c r="AD35" s="220"/>
      <c r="AE35" s="220"/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1.03411530769329E-4</v>
      </c>
      <c r="J36" s="403">
        <f ca="1"/>
        <v>4.3394692937706499E-4</v>
      </c>
      <c r="K36" s="403">
        <f ca="1"/>
        <v>0.23830455700603101</v>
      </c>
      <c r="L36" s="403">
        <f ca="1"/>
        <v>0.23830455700603101</v>
      </c>
      <c r="M36" s="403">
        <f ca="1"/>
        <v>-1.10202129644463E-4</v>
      </c>
      <c r="N36" s="693" t="str">
        <f ca="1"/>
        <v>LANXESS AKTIENGESELLSCHAFT</v>
      </c>
      <c r="O36" s="403">
        <f ca="1"/>
        <v>0.22781901109293101</v>
      </c>
      <c r="P36" s="403">
        <f ca="1"/>
        <v>0.71528457933779499</v>
      </c>
      <c r="Q36" s="403">
        <f ca="1"/>
        <v>0.318501219897462</v>
      </c>
      <c r="R36" s="441">
        <f ca="1"/>
        <v>0.318501219897462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3.6542548065479498E-2</v>
      </c>
      <c r="U36" s="413">
        <f ca="1"/>
        <v>8.1769443539817702E-2</v>
      </c>
      <c r="V36" s="413">
        <f ca="1"/>
        <v>4.5226895474338197E-2</v>
      </c>
      <c r="W36" s="414">
        <f ca="1"/>
        <v>1.8079826767285801E-2</v>
      </c>
      <c r="X36" s="415">
        <f ca="1"/>
        <v>4.5226895474338198</v>
      </c>
      <c r="Y36" s="416">
        <f t="shared" ca="1" si="4"/>
        <v>5.3457106073324885E-2</v>
      </c>
      <c r="Z36" s="417">
        <f t="shared" ca="1" si="2"/>
        <v>-4.3711578168647838E-3</v>
      </c>
      <c r="AA36" s="416">
        <f t="shared" ca="1" si="0"/>
        <v>7.943485233534367E-2</v>
      </c>
      <c r="AB36" s="418">
        <f t="shared" ca="1" si="1"/>
        <v>1.717583542892151E-2</v>
      </c>
      <c r="AC36" s="417">
        <f t="shared" ca="1" si="3"/>
        <v>-3.247671836564324E-4</v>
      </c>
      <c r="AD36" s="220"/>
      <c r="AE36" s="220"/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8.0194722989814797E-5</v>
      </c>
      <c r="J37" s="403">
        <f ca="1"/>
        <v>4.57431916954633E-4</v>
      </c>
      <c r="K37" s="403">
        <f ca="1"/>
        <v>0.17531510158651301</v>
      </c>
      <c r="L37" s="403">
        <f ca="1"/>
        <v>0.17531510158651301</v>
      </c>
      <c r="M37" s="403">
        <f ca="1"/>
        <v>-1.12781532745496E-4</v>
      </c>
      <c r="N37" s="693" t="str">
        <f ca="1"/>
        <v>LEONARDO SOCIETA' PER AZIONI</v>
      </c>
      <c r="O37" s="403">
        <f ca="1"/>
        <v>0.24051530918932101</v>
      </c>
      <c r="P37" s="403">
        <f ca="1"/>
        <v>0.76328939184528499</v>
      </c>
      <c r="Q37" s="403">
        <f ca="1"/>
        <v>0.31510369691876</v>
      </c>
      <c r="R37" s="441">
        <f ca="1"/>
        <v>0.31510369691876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-1.3988833521352601E-2</v>
      </c>
      <c r="U37" s="413">
        <f ca="1"/>
        <v>3.2926414405901397E-2</v>
      </c>
      <c r="V37" s="413">
        <f ca="1"/>
        <v>4.6915247927254003E-2</v>
      </c>
      <c r="W37" s="414">
        <f ca="1"/>
        <v>7.0182756908705899E-3</v>
      </c>
      <c r="X37" s="415">
        <f ca="1"/>
        <v>4.6915247927254002</v>
      </c>
      <c r="Y37" s="416">
        <f t="shared" ca="1" si="4"/>
        <v>5.3457106073324885E-2</v>
      </c>
      <c r="Z37" s="417">
        <f t="shared" ca="1" si="2"/>
        <v>-1.7601508275105215E-3</v>
      </c>
      <c r="AA37" s="416">
        <f t="shared" ca="1" si="0"/>
        <v>5.8438367195504333E-2</v>
      </c>
      <c r="AB37" s="418">
        <f t="shared" ca="1" si="1"/>
        <v>6.6673619063270604E-3</v>
      </c>
      <c r="AC37" s="417">
        <f t="shared" ca="1" si="3"/>
        <v>-9.6208294774170376E-5</v>
      </c>
      <c r="AD37" s="220"/>
      <c r="AE37" s="220"/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7.2098792738703999E-5</v>
      </c>
      <c r="J38" s="403">
        <f ca="1"/>
        <v>4.74979087688863E-4</v>
      </c>
      <c r="K38" s="403">
        <f ca="1"/>
        <v>0.15179361493475399</v>
      </c>
      <c r="L38" s="403">
        <f ca="1"/>
        <v>0.15179361493475399</v>
      </c>
      <c r="M38" s="403">
        <f ca="1"/>
        <v>-8.9578564454415597E-5</v>
      </c>
      <c r="N38" s="693" t="str">
        <f ca="1"/>
        <v>MERCEDES-BENZ GROUP AG</v>
      </c>
      <c r="O38" s="403">
        <f ca="1"/>
        <v>0.242222947130282</v>
      </c>
      <c r="P38" s="403">
        <f ca="1"/>
        <v>0.77222320039527204</v>
      </c>
      <c r="Q38" s="403">
        <f ca="1"/>
        <v>0.31366960615311401</v>
      </c>
      <c r="R38" s="441">
        <f ca="1"/>
        <v>0.31366960615311401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-2.3392842521339201E-2</v>
      </c>
      <c r="U38" s="413">
        <f ca="1"/>
        <v>2.37400740990775E-2</v>
      </c>
      <c r="V38" s="413">
        <f ca="1"/>
        <v>4.7132916620416701E-2</v>
      </c>
      <c r="W38" s="414">
        <f ca="1"/>
        <v>5.0368353586660699E-3</v>
      </c>
      <c r="X38" s="415">
        <f ca="1"/>
        <v>4.7132916620416703</v>
      </c>
      <c r="Y38" s="416">
        <f t="shared" ca="1" si="4"/>
        <v>5.3457106073324885E-2</v>
      </c>
      <c r="Z38" s="417">
        <f t="shared" ca="1" si="2"/>
        <v>-1.2690756593029761E-3</v>
      </c>
      <c r="AA38" s="416">
        <f t="shared" ca="1" si="0"/>
        <v>5.0597871644917997E-2</v>
      </c>
      <c r="AB38" s="418">
        <f t="shared" ca="1" si="1"/>
        <v>4.7849935907327661E-3</v>
      </c>
      <c r="AC38" s="417">
        <f t="shared" ca="1" si="3"/>
        <v>-6.0059861105298234E-5</v>
      </c>
      <c r="AD38" s="220"/>
      <c r="AE38" s="220"/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9.8648834974988099E-5</v>
      </c>
      <c r="J39" s="403">
        <f ca="1"/>
        <v>4.5017394361628998E-4</v>
      </c>
      <c r="K39" s="403">
        <f ca="1"/>
        <v>0.219134928562352</v>
      </c>
      <c r="L39" s="403">
        <f ca="1"/>
        <v>0.219134928562352</v>
      </c>
      <c r="M39" s="403">
        <f ca="1"/>
        <v>-1.3303997073906199E-4</v>
      </c>
      <c r="N39" s="693" t="str">
        <f ca="1"/>
        <v>POSTNL N.V.</v>
      </c>
      <c r="O39" s="403">
        <f ca="1"/>
        <v>0.23402804744518699</v>
      </c>
      <c r="P39" s="403">
        <f ca="1"/>
        <v>0.736539008462337</v>
      </c>
      <c r="Q39" s="403">
        <f ca="1"/>
        <v>0.31774019401058501</v>
      </c>
      <c r="R39" s="441">
        <f ca="1"/>
        <v>0.31774019401058501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1.41694647764877E-2</v>
      </c>
      <c r="U39" s="413">
        <f ca="1"/>
        <v>6.01314678531088E-2</v>
      </c>
      <c r="V39" s="413">
        <f ca="1"/>
        <v>4.59620030766211E-2</v>
      </c>
      <c r="W39" s="414">
        <f ca="1"/>
        <v>1.30828649379938E-2</v>
      </c>
      <c r="X39" s="415">
        <f ca="1"/>
        <v>4.5962003076621096</v>
      </c>
      <c r="Y39" s="416">
        <f t="shared" ca="1" si="4"/>
        <v>5.3457106073324885E-2</v>
      </c>
      <c r="Z39" s="417">
        <f t="shared" ca="1" si="2"/>
        <v>-3.2144542553683695E-3</v>
      </c>
      <c r="AA39" s="416">
        <f t="shared" ca="1" si="0"/>
        <v>7.3044976187450664E-2</v>
      </c>
      <c r="AB39" s="418">
        <f t="shared" ca="1" si="1"/>
        <v>1.2428721691094109E-2</v>
      </c>
      <c r="AC39" s="417">
        <f t="shared" ca="1" si="3"/>
        <v>-2.196150818723402E-4</v>
      </c>
      <c r="AD39" s="220"/>
      <c r="AE39" s="220"/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5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7.5224060780865201E-5</v>
      </c>
      <c r="J40" s="403">
        <f ca="1"/>
        <v>4.61498810852042E-4</v>
      </c>
      <c r="K40" s="403">
        <f ca="1"/>
        <v>0.162999468280282</v>
      </c>
      <c r="L40" s="403">
        <f ca="1"/>
        <v>0.162999468280282</v>
      </c>
      <c r="M40" s="403">
        <f ca="1"/>
        <v>-1.0075925523290101E-4</v>
      </c>
      <c r="N40" s="693" t="str">
        <f ca="1"/>
        <v>RENTOKIL INITIAL PLC</v>
      </c>
      <c r="O40" s="403">
        <f ca="1"/>
        <v>0.241491959213744</v>
      </c>
      <c r="P40" s="403">
        <f ca="1"/>
        <v>0.76820802266730803</v>
      </c>
      <c r="Q40" s="403">
        <f ca="1"/>
        <v>0.31435750745645102</v>
      </c>
      <c r="R40" s="441">
        <f ca="1"/>
        <v>0.31435750745645102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-1.9166339649797599E-2</v>
      </c>
      <c r="U40" s="413">
        <f ca="1"/>
        <v>2.7824215261269498E-2</v>
      </c>
      <c r="V40" s="413">
        <f ca="1"/>
        <v>4.6990554911067101E-2</v>
      </c>
      <c r="W40" s="414">
        <f ca="1"/>
        <v>5.9212357278880298E-3</v>
      </c>
      <c r="X40" s="415">
        <f ca="1"/>
        <v>4.6990554911067104</v>
      </c>
      <c r="Y40" s="416">
        <f t="shared" ca="1" si="4"/>
        <v>5.3457106073324885E-2</v>
      </c>
      <c r="Z40" s="417">
        <f t="shared" ca="1" si="2"/>
        <v>-1.4874020266287078E-3</v>
      </c>
      <c r="AA40" s="416">
        <f t="shared" ca="1" si="0"/>
        <v>5.4333156093427336E-2</v>
      </c>
      <c r="AB40" s="418">
        <f t="shared" ca="1" si="1"/>
        <v>5.6251739414936277E-3</v>
      </c>
      <c r="AC40" s="417">
        <f t="shared" ca="1" si="3"/>
        <v>-7.5588871548384049E-5</v>
      </c>
      <c r="AD40" s="220"/>
      <c r="AE40" s="220"/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5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6.1040054869392299E-5</v>
      </c>
      <c r="J41" s="403">
        <f ca="1"/>
        <v>4.81227408403541E-4</v>
      </c>
      <c r="K41" s="403">
        <f ca="1"/>
        <v>0.12684243208817</v>
      </c>
      <c r="L41" s="403">
        <f ca="1"/>
        <v>0.12684243208817</v>
      </c>
      <c r="M41" s="403">
        <f ca="1"/>
        <v>-6.4542927516733102E-5</v>
      </c>
      <c r="N41" s="693" t="str">
        <f ca="1"/>
        <v>SANOFI</v>
      </c>
      <c r="O41" s="403">
        <f ca="1"/>
        <v>0.243365976653517</v>
      </c>
      <c r="P41" s="403">
        <f ca="1"/>
        <v>0.77941907208802397</v>
      </c>
      <c r="Q41" s="403">
        <f ca="1"/>
        <v>0.31224021244637001</v>
      </c>
      <c r="R41" s="441">
        <f ca="1"/>
        <v>0.31224021244637001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-3.0967444303183499E-2</v>
      </c>
      <c r="U41" s="413">
        <f ca="1"/>
        <v>1.63533891804853E-2</v>
      </c>
      <c r="V41" s="413">
        <f ca="1"/>
        <v>4.7320833483668799E-2</v>
      </c>
      <c r="W41" s="414">
        <f ca="1"/>
        <v>3.4558540026834198E-3</v>
      </c>
      <c r="X41" s="415">
        <f ca="1"/>
        <v>4.7320833483668796</v>
      </c>
      <c r="Y41" s="416">
        <f t="shared" ca="1" si="4"/>
        <v>5.3457106073324885E-2</v>
      </c>
      <c r="Z41" s="417">
        <f t="shared" ca="1" si="2"/>
        <v>-8.7420486007956308E-4</v>
      </c>
      <c r="AA41" s="416">
        <f t="shared" ca="1" si="0"/>
        <v>4.2280810696056666E-2</v>
      </c>
      <c r="AB41" s="418">
        <f t="shared" ca="1" si="1"/>
        <v>3.2830613025492486E-3</v>
      </c>
      <c r="AC41" s="417">
        <f t="shared" ca="1" si="3"/>
        <v>-3.4571727608951949E-5</v>
      </c>
      <c r="AD41" s="220"/>
      <c r="AE41" s="220"/>
    </row>
    <row r="42" spans="1:31" customFormat="1" ht="14.5">
      <c r="A42" s="220"/>
      <c r="B42" s="267">
        <v>4</v>
      </c>
      <c r="C42" s="68" t="s">
        <v>609</v>
      </c>
      <c r="D42" s="246">
        <f t="shared" ca="1" si="5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6.2295113943200496E-5</v>
      </c>
      <c r="J42" s="403">
        <f ca="1"/>
        <v>4.8044540140995299E-4</v>
      </c>
      <c r="K42" s="403">
        <f ca="1"/>
        <v>0.12966117223806101</v>
      </c>
      <c r="L42" s="403">
        <f ca="1"/>
        <v>0.12966117223806101</v>
      </c>
      <c r="M42" s="403">
        <f ca="1"/>
        <v>-6.7162171319246094E-5</v>
      </c>
      <c r="N42" s="693" t="str">
        <f ca="1"/>
        <v>SIEMENS AKTIENGESELLSCHAFT</v>
      </c>
      <c r="O42" s="403">
        <f ca="1"/>
        <v>0.24325619649084801</v>
      </c>
      <c r="P42" s="403">
        <f ca="1"/>
        <v>0.77866869008580497</v>
      </c>
      <c r="Q42" s="403">
        <f ca="1"/>
        <v>0.31240012548089302</v>
      </c>
      <c r="R42" s="441">
        <f ca="1"/>
        <v>0.31240012548089302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-3.0177568511373602E-2</v>
      </c>
      <c r="U42" s="413">
        <f ca="1"/>
        <v>1.7094314393547999E-2</v>
      </c>
      <c r="V42" s="413">
        <f ca="1"/>
        <v>4.7271882904921597E-2</v>
      </c>
      <c r="W42" s="414">
        <f ca="1"/>
        <v>3.6161695585365098E-3</v>
      </c>
      <c r="X42" s="415">
        <f ca="1"/>
        <v>4.72718829049216</v>
      </c>
      <c r="Y42" s="416">
        <f t="shared" ca="1" si="4"/>
        <v>5.3457106073324885E-2</v>
      </c>
      <c r="Z42" s="417">
        <f t="shared" ca="1" si="2"/>
        <v>-9.138125777866594E-4</v>
      </c>
      <c r="AA42" s="416">
        <f t="shared" ca="1" si="0"/>
        <v>4.3220390746020333E-2</v>
      </c>
      <c r="AB42" s="418">
        <f t="shared" ca="1" si="1"/>
        <v>3.4353610806096843E-3</v>
      </c>
      <c r="AC42" s="417">
        <f t="shared" ca="1" si="3"/>
        <v>-3.6941147381223183E-5</v>
      </c>
      <c r="AD42" s="220"/>
      <c r="AE42" s="220"/>
    </row>
    <row r="43" spans="1:31" customFormat="1" ht="14.5">
      <c r="A43" s="220"/>
      <c r="B43" s="267">
        <v>5</v>
      </c>
      <c r="C43" s="68" t="s">
        <v>512</v>
      </c>
      <c r="D43" s="246">
        <f t="shared" ca="1" si="5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7.2119113065187697E-5</v>
      </c>
      <c r="J43" s="403">
        <f ca="1"/>
        <v>4.7484267478361798E-4</v>
      </c>
      <c r="K43" s="403">
        <f ca="1"/>
        <v>0.15188001604542301</v>
      </c>
      <c r="L43" s="403">
        <f ca="1"/>
        <v>0.15188001604542301</v>
      </c>
      <c r="M43" s="403">
        <f ca="1"/>
        <v>-8.9549516788533997E-5</v>
      </c>
      <c r="N43" s="693" t="str">
        <f ca="1"/>
        <v>SMURFIT KAPPA ACQUISITIONS UNLIMITED COMPANY</v>
      </c>
      <c r="O43" s="403">
        <f ca="1"/>
        <v>0.24221203950525699</v>
      </c>
      <c r="P43" s="403">
        <f ca="1"/>
        <v>0.77216271220944699</v>
      </c>
      <c r="Q43" s="403">
        <f ca="1"/>
        <v>0.31368005172406899</v>
      </c>
      <c r="R43" s="441">
        <f ca="1"/>
        <v>0.31368005172406899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-2.33291707467859E-2</v>
      </c>
      <c r="U43" s="413">
        <f ca="1"/>
        <v>2.3775663548232202E-2</v>
      </c>
      <c r="V43" s="413">
        <f ca="1"/>
        <v>4.7104834295018098E-2</v>
      </c>
      <c r="W43" s="414">
        <f ca="1"/>
        <v>5.0473935221435999E-3</v>
      </c>
      <c r="X43" s="415">
        <f ca="1"/>
        <v>4.7104834295018101</v>
      </c>
      <c r="Y43" s="416">
        <f t="shared" ca="1" si="4"/>
        <v>5.3457106073324885E-2</v>
      </c>
      <c r="Z43" s="417">
        <f t="shared" ca="1" si="2"/>
        <v>-1.2709781682615328E-3</v>
      </c>
      <c r="AA43" s="416">
        <f t="shared" ca="1" si="0"/>
        <v>5.0626672015141004E-2</v>
      </c>
      <c r="AB43" s="418">
        <f t="shared" ca="1" si="1"/>
        <v>4.7950238460364196E-3</v>
      </c>
      <c r="AC43" s="417">
        <f t="shared" ca="1" si="3"/>
        <v>-6.018413601993485E-5</v>
      </c>
      <c r="AD43" s="220"/>
      <c r="AE43" s="220"/>
    </row>
    <row r="44" spans="1:31" customFormat="1" ht="14.5">
      <c r="A44" s="220"/>
      <c r="B44" s="267">
        <v>6</v>
      </c>
      <c r="C44" s="68" t="s">
        <v>513</v>
      </c>
      <c r="D44" s="246">
        <f t="shared" ca="1" si="5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8.5622451227695997E-5</v>
      </c>
      <c r="J44" s="403">
        <f ca="1"/>
        <v>4.5189415514572E-4</v>
      </c>
      <c r="K44" s="403">
        <f ca="1"/>
        <v>0.189474571097486</v>
      </c>
      <c r="L44" s="403">
        <f ca="1"/>
        <v>0.189474571097486</v>
      </c>
      <c r="M44" s="403">
        <f ca="1"/>
        <v>-1.23993230798669E-4</v>
      </c>
      <c r="N44" s="693" t="str">
        <f ca="1"/>
        <v>SOLVAY</v>
      </c>
      <c r="O44" s="403">
        <f ca="1"/>
        <v>0.239010442560461</v>
      </c>
      <c r="P44" s="403">
        <f ca="1"/>
        <v>0.75633404232150803</v>
      </c>
      <c r="Q44" s="403">
        <f ca="1"/>
        <v>0.31601174770189799</v>
      </c>
      <c r="R44" s="441">
        <f ca="1"/>
        <v>0.31601174770189799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-6.6674129700087003E-3</v>
      </c>
      <c r="U44" s="413">
        <f ca="1"/>
        <v>3.9937303780230998E-2</v>
      </c>
      <c r="V44" s="413">
        <f ca="1"/>
        <v>4.6604716750239701E-2</v>
      </c>
      <c r="W44" s="414">
        <f ca="1"/>
        <v>8.5693694898436798E-3</v>
      </c>
      <c r="X44" s="415">
        <f ca="1"/>
        <v>4.6604716750239703</v>
      </c>
      <c r="Y44" s="416">
        <f t="shared" ca="1" si="4"/>
        <v>5.3457106073324885E-2</v>
      </c>
      <c r="Z44" s="417">
        <f t="shared" ca="1" si="2"/>
        <v>-2.1349326844624116E-3</v>
      </c>
      <c r="AA44" s="416">
        <f t="shared" ca="1" si="0"/>
        <v>6.3158190365828662E-2</v>
      </c>
      <c r="AB44" s="418">
        <f t="shared" ca="1" si="1"/>
        <v>8.1409010153514951E-3</v>
      </c>
      <c r="AC44" s="417">
        <f t="shared" ca="1" si="3"/>
        <v>-1.2611839174248837E-4</v>
      </c>
      <c r="AD44" s="220"/>
      <c r="AE44" s="220"/>
    </row>
    <row r="45" spans="1:31" customFormat="1" ht="14.5">
      <c r="A45" s="220"/>
      <c r="B45" s="267">
        <v>7</v>
      </c>
      <c r="C45" s="68" t="s">
        <v>514</v>
      </c>
      <c r="D45" s="246">
        <f t="shared" ca="1" si="5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9.4378608086656004E-5</v>
      </c>
      <c r="J45" s="403">
        <f ca="1"/>
        <v>4.58652192621236E-4</v>
      </c>
      <c r="K45" s="403">
        <f ca="1"/>
        <v>0.20577380770224701</v>
      </c>
      <c r="L45" s="403">
        <f ca="1"/>
        <v>0.20577380770224701</v>
      </c>
      <c r="M45" s="403">
        <f ca="1"/>
        <v>-1.33022858273421E-4</v>
      </c>
      <c r="N45" s="693" t="str">
        <f ca="1"/>
        <v>STELLANTIS N.V.</v>
      </c>
      <c r="O45" s="403">
        <f ca="1"/>
        <v>0.23672422774882201</v>
      </c>
      <c r="P45" s="403">
        <f ca="1"/>
        <v>0.746829100690653</v>
      </c>
      <c r="Q45" s="403">
        <f ca="1"/>
        <v>0.31697242050410701</v>
      </c>
      <c r="R45" s="441">
        <f ca="1"/>
        <v>0.31697242050410701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3.3377887466808998E-3</v>
      </c>
      <c r="U45" s="413">
        <f ca="1"/>
        <v>4.9718474269486897E-2</v>
      </c>
      <c r="V45" s="413">
        <f ca="1"/>
        <v>4.6380685522805998E-2</v>
      </c>
      <c r="W45" s="414">
        <f ca="1"/>
        <v>1.07196505849487E-2</v>
      </c>
      <c r="X45" s="415">
        <f ca="1"/>
        <v>4.6380685522806004</v>
      </c>
      <c r="Y45" s="416">
        <f t="shared" ca="1" si="4"/>
        <v>5.3457106073324885E-2</v>
      </c>
      <c r="Z45" s="417">
        <f t="shared" ca="1" si="2"/>
        <v>-2.6578057528278353E-3</v>
      </c>
      <c r="AA45" s="416">
        <f t="shared" ca="1" si="0"/>
        <v>6.8591269234082333E-2</v>
      </c>
      <c r="AB45" s="418">
        <f t="shared" ca="1" si="1"/>
        <v>1.0183668055701265E-2</v>
      </c>
      <c r="AC45" s="417">
        <f t="shared" ca="1" si="3"/>
        <v>-1.7051266272630853E-4</v>
      </c>
      <c r="AD45" s="220"/>
      <c r="AE45" s="220"/>
    </row>
    <row r="46" spans="1:31" customFormat="1" ht="14.5">
      <c r="A46" s="220"/>
      <c r="B46" s="267">
        <v>8</v>
      </c>
      <c r="C46" s="68" t="s">
        <v>515</v>
      </c>
      <c r="D46" s="246">
        <f t="shared" ca="1" si="5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8.5461133661857096E-5</v>
      </c>
      <c r="J46" s="403">
        <f ca="1"/>
        <v>4.5208660306117601E-4</v>
      </c>
      <c r="K46" s="403">
        <f ca="1"/>
        <v>0.18903708511418199</v>
      </c>
      <c r="L46" s="403">
        <f ca="1"/>
        <v>0.18903708511418199</v>
      </c>
      <c r="M46" s="403">
        <f ca="1"/>
        <v>-1.2376895902523001E-4</v>
      </c>
      <c r="N46" s="693" t="str">
        <f ca="1"/>
        <v>STORA ENSO OYJ</v>
      </c>
      <c r="O46" s="403">
        <f ca="1"/>
        <v>0.239068960925964</v>
      </c>
      <c r="P46" s="403">
        <f ca="1"/>
        <v>0.75659777934258199</v>
      </c>
      <c r="Q46" s="403">
        <f ca="1"/>
        <v>0.31597893551008599</v>
      </c>
      <c r="R46" s="441">
        <f ca="1"/>
        <v>0.31597893551008599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-6.9450308869284001E-3</v>
      </c>
      <c r="U46" s="413">
        <f ca="1"/>
        <v>3.9688260710556901E-2</v>
      </c>
      <c r="V46" s="413">
        <f ca="1"/>
        <v>4.6633291597485298E-2</v>
      </c>
      <c r="W46" s="414">
        <f ca="1"/>
        <v>8.5107139880079095E-3</v>
      </c>
      <c r="X46" s="415">
        <f ca="1"/>
        <v>4.66332915974853</v>
      </c>
      <c r="Y46" s="416">
        <f t="shared" ca="1" si="4"/>
        <v>5.3457106073324885E-2</v>
      </c>
      <c r="Z46" s="417">
        <f t="shared" ca="1" si="2"/>
        <v>-2.1216195626700173E-3</v>
      </c>
      <c r="AA46" s="416">
        <f t="shared" ca="1" si="0"/>
        <v>6.3012361704727335E-2</v>
      </c>
      <c r="AB46" s="418">
        <f t="shared" ca="1" si="1"/>
        <v>8.085178288607513E-3</v>
      </c>
      <c r="AC46" s="417">
        <f t="shared" ca="1" si="3"/>
        <v>-1.2504255196625706E-4</v>
      </c>
      <c r="AD46" s="220"/>
      <c r="AE46" s="220"/>
    </row>
    <row r="47" spans="1:31" customFormat="1" ht="14.5">
      <c r="A47" s="220"/>
      <c r="B47" s="267">
        <v>9</v>
      </c>
      <c r="C47" s="68" t="s">
        <v>530</v>
      </c>
      <c r="D47" s="246">
        <f t="shared" ca="1" si="5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9.8121095190317805E-5</v>
      </c>
      <c r="J47" s="403">
        <f ca="1"/>
        <v>4.5308293522027101E-4</v>
      </c>
      <c r="K47" s="403">
        <f ca="1"/>
        <v>0.216563210756581</v>
      </c>
      <c r="L47" s="403">
        <f ca="1"/>
        <v>0.216563210756581</v>
      </c>
      <c r="M47" s="403">
        <f ca="1"/>
        <v>-1.3421551204267099E-4</v>
      </c>
      <c r="N47" s="693" t="str">
        <f ca="1"/>
        <v>UNIBAIL-RODAMCO-WESTFIELD SE</v>
      </c>
      <c r="O47" s="403">
        <f ca="1"/>
        <v>0.2346530928002</v>
      </c>
      <c r="P47" s="403">
        <f ca="1"/>
        <v>0.73890709062208604</v>
      </c>
      <c r="Q47" s="403">
        <f ca="1"/>
        <v>0.317567791375023</v>
      </c>
      <c r="R47" s="441">
        <f ca="1"/>
        <v>0.317567791375023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1.1676746713593301E-2</v>
      </c>
      <c r="U47" s="413">
        <f ca="1"/>
        <v>5.78384221015667E-2</v>
      </c>
      <c r="V47" s="413">
        <f ca="1"/>
        <v>4.6161675387973403E-2</v>
      </c>
      <c r="W47" s="414">
        <f ca="1"/>
        <v>1.2529532694698401E-2</v>
      </c>
      <c r="X47" s="415">
        <f ca="1"/>
        <v>4.61616753879734</v>
      </c>
      <c r="Y47" s="416">
        <f t="shared" ca="1" si="4"/>
        <v>5.3457106073324885E-2</v>
      </c>
      <c r="Z47" s="417">
        <f t="shared" ca="1" si="2"/>
        <v>-3.0918746653971906E-3</v>
      </c>
      <c r="AA47" s="416">
        <f t="shared" ca="1" si="0"/>
        <v>7.2187736918860337E-2</v>
      </c>
      <c r="AB47" s="418">
        <f t="shared" ca="1" si="1"/>
        <v>1.1903056059963481E-2</v>
      </c>
      <c r="AC47" s="417">
        <f t="shared" ca="1" si="3"/>
        <v>-2.0876123992349477E-4</v>
      </c>
      <c r="AD47" s="220"/>
      <c r="AE47" s="220"/>
    </row>
    <row r="48" spans="1:31" customFormat="1" ht="14.5">
      <c r="A48" s="220"/>
      <c r="B48" s="267">
        <v>10</v>
      </c>
      <c r="C48" s="68" t="s">
        <v>531</v>
      </c>
      <c r="D48" s="246">
        <f t="shared" ca="1" si="5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5.93037331355495E-5</v>
      </c>
      <c r="J48" s="403">
        <f ca="1"/>
        <v>4.8203074076475302E-4</v>
      </c>
      <c r="K48" s="403">
        <f ca="1"/>
        <v>0.123028944256673</v>
      </c>
      <c r="L48" s="403">
        <f ca="1"/>
        <v>0.123028944256673</v>
      </c>
      <c r="M48" s="403">
        <f ca="1"/>
        <v>-6.09016090021353E-5</v>
      </c>
      <c r="N48" s="693" t="str">
        <f ca="1"/>
        <v>VINCI</v>
      </c>
      <c r="O48" s="403">
        <f ca="1"/>
        <v>0.24349812373789401</v>
      </c>
      <c r="P48" s="403">
        <f ca="1"/>
        <v>0.78036140737390403</v>
      </c>
      <c r="Q48" s="403">
        <f ca="1"/>
        <v>0.31203250370532998</v>
      </c>
      <c r="R48" s="441">
        <f ca="1"/>
        <v>0.31203250370532998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-3.1959376183056699E-2</v>
      </c>
      <c r="U48" s="413">
        <f ca="1"/>
        <v>1.53916886204029E-2</v>
      </c>
      <c r="V48" s="413">
        <f ca="1"/>
        <v>4.7351064803459603E-2</v>
      </c>
      <c r="W48" s="414">
        <f ca="1"/>
        <v>3.2505475186860801E-3</v>
      </c>
      <c r="X48" s="415">
        <f ca="1"/>
        <v>4.7351064803459604</v>
      </c>
      <c r="Y48" s="416">
        <f t="shared" ca="1" si="4"/>
        <v>5.3457106073324885E-2</v>
      </c>
      <c r="Z48" s="417">
        <f t="shared" ca="1" si="2"/>
        <v>-8.2279513122846752E-4</v>
      </c>
      <c r="AA48" s="416">
        <f t="shared" ca="1" si="0"/>
        <v>4.1009648085557668E-2</v>
      </c>
      <c r="AB48" s="418">
        <f t="shared" ca="1" si="1"/>
        <v>3.088020142751776E-3</v>
      </c>
      <c r="AC48" s="417">
        <f t="shared" ca="1" si="3"/>
        <v>-3.1560386688260374E-5</v>
      </c>
      <c r="AD48" s="220"/>
      <c r="AE48" s="220"/>
    </row>
    <row r="49" spans="1:31" customFormat="1" ht="14.5">
      <c r="A49" s="220"/>
      <c r="B49" s="267">
        <v>11</v>
      </c>
      <c r="C49" s="68" t="s">
        <v>532</v>
      </c>
      <c r="D49" s="246">
        <f t="shared" ca="1" si="5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8.7462704411627197E-5</v>
      </c>
      <c r="J49" s="403">
        <f ca="1"/>
        <v>4.4968576930807001E-4</v>
      </c>
      <c r="K49" s="403">
        <f ca="1"/>
        <v>0.19449738101831801</v>
      </c>
      <c r="L49" s="403">
        <f ca="1"/>
        <v>0.19449738101831801</v>
      </c>
      <c r="M49" s="403">
        <f ca="1"/>
        <v>-1.27774327020136E-4</v>
      </c>
      <c r="N49" s="693" t="str">
        <f ca="1"/>
        <v>VOLKSWAGEN AKTIENGESELLSCHAFT</v>
      </c>
      <c r="O49" s="403">
        <f ca="1"/>
        <v>0.23840182095371801</v>
      </c>
      <c r="P49" s="403">
        <f ca="1"/>
        <v>0.75372747256797501</v>
      </c>
      <c r="Q49" s="403">
        <f ca="1"/>
        <v>0.31629710953944001</v>
      </c>
      <c r="R49" s="441">
        <f ca="1"/>
        <v>0.31629710953944001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-3.9236553347110001E-3</v>
      </c>
      <c r="U49" s="413">
        <f ca="1"/>
        <v>4.2691936060935798E-2</v>
      </c>
      <c r="V49" s="413">
        <f ca="1"/>
        <v>4.6615591395646798E-2</v>
      </c>
      <c r="W49" s="414">
        <f ca="1"/>
        <v>9.1582954935808293E-3</v>
      </c>
      <c r="X49" s="415">
        <f ca="1"/>
        <v>4.6615591395646803</v>
      </c>
      <c r="Y49" s="416">
        <f t="shared" ca="1" si="4"/>
        <v>5.3457106073324885E-2</v>
      </c>
      <c r="Z49" s="417">
        <f t="shared" ca="1" si="2"/>
        <v>-2.2821873544850457E-3</v>
      </c>
      <c r="AA49" s="416">
        <f t="shared" ca="1" si="0"/>
        <v>6.4832460339439332E-2</v>
      </c>
      <c r="AB49" s="418">
        <f t="shared" ca="1" si="1"/>
        <v>8.7003807189017877E-3</v>
      </c>
      <c r="AC49" s="417">
        <f t="shared" ca="1" si="3"/>
        <v>-1.3839116257422486E-4</v>
      </c>
      <c r="AD49" s="220"/>
      <c r="AE49" s="220"/>
    </row>
    <row r="50" spans="1:31" customFormat="1" ht="14.5">
      <c r="A50" s="220"/>
      <c r="B50" s="267">
        <v>12</v>
      </c>
      <c r="C50" s="68" t="s">
        <v>516</v>
      </c>
      <c r="D50" s="246">
        <f t="shared" ca="1" si="5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8.0475419496135397E-5</v>
      </c>
      <c r="J50" s="403">
        <f ca="1"/>
        <v>4.5717025175906099E-4</v>
      </c>
      <c r="K50" s="403">
        <f ca="1"/>
        <v>0.17602943145685601</v>
      </c>
      <c r="L50" s="403">
        <f ca="1"/>
        <v>0.17602943145685601</v>
      </c>
      <c r="M50" s="403">
        <f ca="1"/>
        <v>-1.13000396795715E-4</v>
      </c>
      <c r="N50" s="693" t="str">
        <f ca="1"/>
        <v>WENDEL</v>
      </c>
      <c r="O50" s="403">
        <f ca="1"/>
        <v>0.240426210128559</v>
      </c>
      <c r="P50" s="403">
        <f ca="1"/>
        <v>0.76284225712425702</v>
      </c>
      <c r="Q50" s="403">
        <f ca="1"/>
        <v>0.31517159397397798</v>
      </c>
      <c r="R50" s="441">
        <f ca="1"/>
        <v>0.31517159397397798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-1.35181653939543E-2</v>
      </c>
      <c r="U50" s="413">
        <f ca="1"/>
        <v>3.3286937523855503E-2</v>
      </c>
      <c r="V50" s="413">
        <f ca="1"/>
        <v>4.6805102917809802E-2</v>
      </c>
      <c r="W50" s="414">
        <f ca="1"/>
        <v>7.1118180387953998E-3</v>
      </c>
      <c r="X50" s="415">
        <f ca="1"/>
        <v>4.6805102917809798</v>
      </c>
      <c r="Y50" s="416">
        <f t="shared" ca="1" si="4"/>
        <v>5.3457106073324885E-2</v>
      </c>
      <c r="Z50" s="417">
        <f t="shared" ca="1" si="2"/>
        <v>-1.7794233500688815E-3</v>
      </c>
      <c r="AA50" s="416">
        <f t="shared" ca="1" si="0"/>
        <v>5.8676477152285335E-2</v>
      </c>
      <c r="AB50" s="418">
        <f t="shared" ca="1" si="1"/>
        <v>6.7562271368556293E-3</v>
      </c>
      <c r="AC50" s="417">
        <f t="shared" ca="1" si="3"/>
        <v>-9.7658011454402957E-5</v>
      </c>
      <c r="AD50" s="220"/>
      <c r="AE50" s="220"/>
    </row>
    <row r="51" spans="1:31" customFormat="1" ht="14.5">
      <c r="A51" s="220"/>
      <c r="B51" s="267">
        <v>13</v>
      </c>
      <c r="C51" s="68" t="s">
        <v>610</v>
      </c>
      <c r="D51" s="246">
        <f t="shared" ca="1" si="5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1.0330144341813501E-4</v>
      </c>
      <c r="J51" s="403">
        <f ca="1"/>
        <v>4.3699606631697902E-4</v>
      </c>
      <c r="K51" s="403">
        <f ca="1"/>
        <v>0.23638987025389899</v>
      </c>
      <c r="L51" s="403">
        <f ca="1"/>
        <v>0.23638987025389899</v>
      </c>
      <c r="M51" s="403">
        <f ca="1"/>
        <v>-1.15152052933758E-4</v>
      </c>
      <c r="N51" s="693" t="str">
        <f ca="1"/>
        <v>AKTIEBOLAGET ELECTROLUX</v>
      </c>
      <c r="O51" s="403">
        <f ca="1"/>
        <v>0.22869958522182399</v>
      </c>
      <c r="P51" s="403">
        <f ca="1"/>
        <v>0.71821836550583396</v>
      </c>
      <c r="Q51" s="403">
        <f ca="1"/>
        <v>0.31842625614391401</v>
      </c>
      <c r="R51" s="441">
        <f ca="1"/>
        <v>0.31842625614391401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3.3454352099122502E-2</v>
      </c>
      <c r="U51" s="413">
        <f ca="1"/>
        <v>7.8870388942103797E-2</v>
      </c>
      <c r="V51" s="413">
        <f ca="1"/>
        <v>4.5416036842981303E-2</v>
      </c>
      <c r="W51" s="414">
        <f ca="1"/>
        <v>1.73661980270946E-2</v>
      </c>
      <c r="X51" s="415">
        <f ca="1"/>
        <v>4.5416036842981304</v>
      </c>
      <c r="Y51" s="416">
        <f t="shared" ca="1" si="4"/>
        <v>5.3457106073324885E-2</v>
      </c>
      <c r="Z51" s="417">
        <f t="shared" ca="1" si="2"/>
        <v>-4.2161827477224306E-3</v>
      </c>
      <c r="AA51" s="416">
        <f t="shared" ca="1" si="0"/>
        <v>7.8796623417966324E-2</v>
      </c>
      <c r="AB51" s="418">
        <f t="shared" ca="1" si="1"/>
        <v>1.6497888125739869E-2</v>
      </c>
      <c r="AC51" s="417">
        <f t="shared" ca="1" si="3"/>
        <v>-3.1073601681497486E-4</v>
      </c>
      <c r="AD51" s="220"/>
      <c r="AE51" s="220"/>
    </row>
    <row r="52" spans="1:31" customFormat="1" ht="14.5">
      <c r="A52" s="220"/>
      <c r="B52" s="267">
        <v>14</v>
      </c>
      <c r="C52" s="68" t="s">
        <v>517</v>
      </c>
      <c r="D52" s="246">
        <f t="shared" ca="1" si="5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6.6406050595089195E-5</v>
      </c>
      <c r="J52" s="403">
        <f ca="1"/>
        <v>4.7841930935703901E-4</v>
      </c>
      <c r="K52" s="403">
        <f ca="1"/>
        <v>0.138803031767957</v>
      </c>
      <c r="L52" s="403">
        <f ca="1"/>
        <v>0.138803031767957</v>
      </c>
      <c r="M52" s="403">
        <f ca="1"/>
        <v>-7.63013180173865E-5</v>
      </c>
      <c r="N52" s="693" t="str">
        <f ca="1"/>
        <v>ANHEUSER-BUSCH INBEV</v>
      </c>
      <c r="O52" s="403">
        <f ca="1"/>
        <v>0.24288134810137901</v>
      </c>
      <c r="P52" s="403">
        <f ca="1"/>
        <v>0.77619281187301903</v>
      </c>
      <c r="Q52" s="403">
        <f ca="1"/>
        <v>0.31291367864549802</v>
      </c>
      <c r="R52" s="441">
        <f ca="1"/>
        <v>0.31291367864549802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-2.75713809189672E-2</v>
      </c>
      <c r="U52" s="413">
        <f ca="1"/>
        <v>1.9645400422640801E-2</v>
      </c>
      <c r="V52" s="413">
        <f ca="1"/>
        <v>4.7216781341607998E-2</v>
      </c>
      <c r="W52" s="414">
        <f ca="1"/>
        <v>4.1606818305781196E-3</v>
      </c>
      <c r="X52" s="415">
        <f ca="1"/>
        <v>4.7216781341607996</v>
      </c>
      <c r="Y52" s="416">
        <f t="shared" ca="1" si="4"/>
        <v>5.3457106073324885E-2</v>
      </c>
      <c r="Z52" s="417">
        <f t="shared" ca="1" si="2"/>
        <v>-1.0501862542460526E-3</v>
      </c>
      <c r="AA52" s="416">
        <f t="shared" ca="1" si="0"/>
        <v>4.6267677255985663E-2</v>
      </c>
      <c r="AB52" s="418">
        <f t="shared" ca="1" si="1"/>
        <v>3.9526477390492134E-3</v>
      </c>
      <c r="AC52" s="417">
        <f t="shared" ca="1" si="3"/>
        <v>-4.5447352315967565E-5</v>
      </c>
      <c r="AD52" s="220"/>
      <c r="AE52" s="220"/>
    </row>
    <row r="53" spans="1:31" customFormat="1" ht="14.5">
      <c r="A53" s="220"/>
      <c r="B53" s="267">
        <v>15</v>
      </c>
      <c r="C53" s="68" t="s">
        <v>518</v>
      </c>
      <c r="D53" s="246">
        <f t="shared" ca="1" si="5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8.0305494429338005E-5</v>
      </c>
      <c r="J53" s="403">
        <f ca="1"/>
        <v>4.5733114163220998E-4</v>
      </c>
      <c r="K53" s="403">
        <f ca="1"/>
        <v>0.17559594595445299</v>
      </c>
      <c r="L53" s="403">
        <f ca="1"/>
        <v>0.17559594595445299</v>
      </c>
      <c r="M53" s="403">
        <f ca="1"/>
        <v>-1.1279468211455199E-4</v>
      </c>
      <c r="N53" s="693" t="str">
        <f ca="1"/>
        <v>BRITISH AMERICAN TOBACCO P.L.C.</v>
      </c>
      <c r="O53" s="403">
        <f ca="1"/>
        <v>0.24047705591344901</v>
      </c>
      <c r="P53" s="403">
        <f ca="1"/>
        <v>0.76309404629574795</v>
      </c>
      <c r="Q53" s="403">
        <f ca="1"/>
        <v>0.31513423159410803</v>
      </c>
      <c r="R53" s="441">
        <f ca="1"/>
        <v>0.31513423159410803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-1.37832066271029E-2</v>
      </c>
      <c r="U53" s="413">
        <f ca="1"/>
        <v>3.3070991925215398E-2</v>
      </c>
      <c r="V53" s="413">
        <f ca="1"/>
        <v>4.6854198552318302E-2</v>
      </c>
      <c r="W53" s="414">
        <f ca="1"/>
        <v>7.0582771548824298E-3</v>
      </c>
      <c r="X53" s="415">
        <f ca="1"/>
        <v>4.6854198552318298</v>
      </c>
      <c r="Y53" s="416">
        <f t="shared" ca="1" si="4"/>
        <v>5.3457106073324885E-2</v>
      </c>
      <c r="Z53" s="417">
        <f t="shared" ca="1" si="2"/>
        <v>-1.7678795232963086E-3</v>
      </c>
      <c r="AA53" s="416">
        <f t="shared" ca="1" si="0"/>
        <v>5.8531981984817662E-2</v>
      </c>
      <c r="AB53" s="418">
        <f t="shared" ca="1" si="1"/>
        <v>6.7053632971383077E-3</v>
      </c>
      <c r="AC53" s="417">
        <f t="shared" ca="1" si="3"/>
        <v>-9.6785535179337982E-5</v>
      </c>
      <c r="AD53" s="220"/>
      <c r="AE53" s="220"/>
    </row>
    <row r="54" spans="1:31" customFormat="1" ht="14.5">
      <c r="A54" s="220"/>
      <c r="B54" s="267">
        <v>16</v>
      </c>
      <c r="C54" s="68" t="s">
        <v>533</v>
      </c>
      <c r="D54" s="246">
        <f t="shared" ca="1" si="5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5.8025315327030499E-5</v>
      </c>
      <c r="J54" s="403">
        <f ca="1"/>
        <v>4.8269004291993001E-4</v>
      </c>
      <c r="K54" s="403">
        <f ca="1"/>
        <v>0.12021237267713</v>
      </c>
      <c r="L54" s="403">
        <f ca="1"/>
        <v>0.12021237267713</v>
      </c>
      <c r="M54" s="403">
        <f ca="1"/>
        <v>-5.8317055490342197E-5</v>
      </c>
      <c r="N54" s="693" t="str">
        <f ca="1"/>
        <v>CARLSBERG BREWERIES A/S</v>
      </c>
      <c r="O54" s="403">
        <f ca="1"/>
        <v>0.243591953500678</v>
      </c>
      <c r="P54" s="403">
        <f ca="1"/>
        <v>0.78104448000646098</v>
      </c>
      <c r="Q54" s="403">
        <f ca="1"/>
        <v>0.31187974531061702</v>
      </c>
      <c r="R54" s="441">
        <f ca="1"/>
        <v>0.31187974531061702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-3.2678400006800903E-2</v>
      </c>
      <c r="U54" s="413">
        <f ca="1"/>
        <v>1.47081180602989E-2</v>
      </c>
      <c r="V54" s="413">
        <f ca="1"/>
        <v>4.73865180670998E-2</v>
      </c>
      <c r="W54" s="414">
        <f ca="1"/>
        <v>3.1038613217945501E-3</v>
      </c>
      <c r="X54" s="415">
        <f ca="1"/>
        <v>4.7386518067099797</v>
      </c>
      <c r="Y54" s="416">
        <f t="shared" ca="1" si="4"/>
        <v>5.3457106073324885E-2</v>
      </c>
      <c r="Z54" s="417">
        <f t="shared" ca="1" si="2"/>
        <v>-7.862534272883875E-4</v>
      </c>
      <c r="AA54" s="416">
        <f t="shared" ca="1" si="0"/>
        <v>4.0070790892376668E-2</v>
      </c>
      <c r="AB54" s="418">
        <f t="shared" ca="1" si="1"/>
        <v>2.9486682557048225E-3</v>
      </c>
      <c r="AC54" s="417">
        <f t="shared" ca="1" si="3"/>
        <v>-2.9468296160731443E-5</v>
      </c>
      <c r="AD54" s="220"/>
      <c r="AE54" s="220"/>
    </row>
    <row r="55" spans="1:31" customFormat="1" ht="14.5">
      <c r="A55" s="220"/>
      <c r="B55" s="267">
        <v>17</v>
      </c>
      <c r="C55" s="68" t="s">
        <v>519</v>
      </c>
      <c r="D55" s="246">
        <f t="shared" ca="1" si="5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7.3495569215444894E-5</v>
      </c>
      <c r="J55" s="403">
        <f ca="1"/>
        <v>4.7394615186223399E-4</v>
      </c>
      <c r="K55" s="403">
        <f ca="1"/>
        <v>0.155071560190257</v>
      </c>
      <c r="L55" s="403">
        <f ca="1"/>
        <v>0.155071560190257</v>
      </c>
      <c r="M55" s="403">
        <f ca="1"/>
        <v>-9.2890895543684701E-5</v>
      </c>
      <c r="N55" s="693" t="str">
        <f ca="1"/>
        <v>CARREFOUR</v>
      </c>
      <c r="O55" s="403">
        <f ca="1"/>
        <v>0.24202758694610799</v>
      </c>
      <c r="P55" s="403">
        <f ca="1"/>
        <v>0.77111665215437997</v>
      </c>
      <c r="Q55" s="403">
        <f ca="1"/>
        <v>0.313866373226308</v>
      </c>
      <c r="R55" s="441">
        <f ca="1"/>
        <v>0.313866373226308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-2.22280548993476E-2</v>
      </c>
      <c r="U55" s="413">
        <f ca="1"/>
        <v>2.4872311682202299E-2</v>
      </c>
      <c r="V55" s="413">
        <f ca="1"/>
        <v>4.7100366581549903E-2</v>
      </c>
      <c r="W55" s="414">
        <f ca="1"/>
        <v>5.2807044801101996E-3</v>
      </c>
      <c r="X55" s="415">
        <f ca="1"/>
        <v>4.7100366581549897</v>
      </c>
      <c r="Y55" s="416">
        <f t="shared" ca="1" si="4"/>
        <v>5.3457106073324885E-2</v>
      </c>
      <c r="Z55" s="417">
        <f t="shared" ca="1" si="2"/>
        <v>-1.3296018038842876E-3</v>
      </c>
      <c r="AA55" s="416">
        <f t="shared" ca="1" si="0"/>
        <v>5.1690520063419003E-2</v>
      </c>
      <c r="AB55" s="418">
        <f t="shared" ca="1" si="1"/>
        <v>5.0166692561046892E-3</v>
      </c>
      <c r="AC55" s="417">
        <f t="shared" ca="1" si="3"/>
        <v>-6.4283136301624631E-5</v>
      </c>
      <c r="AD55" s="220"/>
      <c r="AE55" s="220"/>
    </row>
    <row r="56" spans="1:31" customFormat="1" ht="14.5">
      <c r="A56" s="220"/>
      <c r="B56" s="267">
        <v>18</v>
      </c>
      <c r="C56" s="68" t="s">
        <v>534</v>
      </c>
      <c r="D56" s="246">
        <f t="shared" ca="1" si="5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5.0369812872545999E-5</v>
      </c>
      <c r="J56" s="403">
        <f ca="1"/>
        <v>4.8556663716216498E-4</v>
      </c>
      <c r="K56" s="403">
        <f ca="1"/>
        <v>0.10373408924247</v>
      </c>
      <c r="L56" s="403">
        <f ca="1"/>
        <v>0.10373408924247</v>
      </c>
      <c r="M56" s="403">
        <f ca="1"/>
        <v>-4.36553569807408E-5</v>
      </c>
      <c r="N56" s="693" t="str">
        <f ca="1"/>
        <v>COMPASS GROUP PLC</v>
      </c>
      <c r="O56" s="403">
        <f ca="1"/>
        <v>0.24403103966840101</v>
      </c>
      <c r="P56" s="403">
        <f ca="1"/>
        <v>0.784567978522137</v>
      </c>
      <c r="Q56" s="403">
        <f ca="1"/>
        <v>0.31103874533354497</v>
      </c>
      <c r="R56" s="441">
        <f ca="1"/>
        <v>0.31103874533354497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-3.6387345812776202E-2</v>
      </c>
      <c r="U56" s="413">
        <f ca="1"/>
        <v>1.11031744295681E-2</v>
      </c>
      <c r="V56" s="413">
        <f ca="1"/>
        <v>4.7490520242344299E-2</v>
      </c>
      <c r="W56" s="414">
        <f ca="1"/>
        <v>2.33797700528623E-3</v>
      </c>
      <c r="X56" s="415">
        <f ca="1"/>
        <v>4.7490520242344303</v>
      </c>
      <c r="Y56" s="416">
        <f t="shared" ca="1" si="4"/>
        <v>5.3457106073324885E-2</v>
      </c>
      <c r="Z56" s="417">
        <f t="shared" ca="1" si="2"/>
        <v>-5.9354357323205165E-4</v>
      </c>
      <c r="AA56" s="416">
        <f t="shared" ca="1" si="0"/>
        <v>3.4578029747490004E-2</v>
      </c>
      <c r="AB56" s="418">
        <f t="shared" ca="1" si="1"/>
        <v>2.2210781550219185E-3</v>
      </c>
      <c r="AC56" s="417">
        <f t="shared" ca="1" si="3"/>
        <v>-1.919629478585884E-5</v>
      </c>
      <c r="AD56" s="220"/>
      <c r="AE56" s="220"/>
    </row>
    <row r="57" spans="1:31" customFormat="1" ht="14.5">
      <c r="A57" s="220"/>
      <c r="B57" s="267">
        <v>19</v>
      </c>
      <c r="C57" s="68" t="s">
        <v>535</v>
      </c>
      <c r="D57" s="246">
        <f t="shared" ca="1" si="5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6.3082067404924798E-5</v>
      </c>
      <c r="J57" s="403">
        <f ca="1"/>
        <v>4.80271601743483E-4</v>
      </c>
      <c r="K57" s="403">
        <f ca="1"/>
        <v>0.13134665296870399</v>
      </c>
      <c r="L57" s="403">
        <f ca="1"/>
        <v>0.13134665296870399</v>
      </c>
      <c r="M57" s="403">
        <f ca="1"/>
        <v>-6.8953233283330901E-5</v>
      </c>
      <c r="N57" s="693" t="str">
        <f ca="1"/>
        <v>DANONE</v>
      </c>
      <c r="O57" s="403">
        <f ca="1"/>
        <v>0.243198175530456</v>
      </c>
      <c r="P57" s="403">
        <f ca="1"/>
        <v>0.77826211374409704</v>
      </c>
      <c r="Q57" s="403">
        <f ca="1"/>
        <v>0.31248877625619897</v>
      </c>
      <c r="R57" s="441">
        <f ca="1"/>
        <v>0.31248877625619897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-2.9749593414838599E-2</v>
      </c>
      <c r="U57" s="413">
        <f ca="1"/>
        <v>1.7541806544202E-2</v>
      </c>
      <c r="V57" s="413">
        <f ca="1"/>
        <v>4.7291399959040602E-2</v>
      </c>
      <c r="W57" s="414">
        <f ca="1"/>
        <v>3.7093015980485E-3</v>
      </c>
      <c r="X57" s="415">
        <f ca="1"/>
        <v>4.7291399959040596</v>
      </c>
      <c r="Y57" s="416">
        <f t="shared" ca="1" si="4"/>
        <v>5.3457106073324885E-2</v>
      </c>
      <c r="Z57" s="417">
        <f t="shared" ca="1" si="2"/>
        <v>-9.3773421315115121E-4</v>
      </c>
      <c r="AA57" s="416">
        <f t="shared" ca="1" si="0"/>
        <v>4.3782217656234662E-2</v>
      </c>
      <c r="AB57" s="418">
        <f t="shared" ca="1" si="1"/>
        <v>3.5238365181460749E-3</v>
      </c>
      <c r="AC57" s="417">
        <f t="shared" ca="1" si="3"/>
        <v>-3.8400959610090708E-5</v>
      </c>
      <c r="AD57" s="220"/>
      <c r="AE57" s="220"/>
    </row>
    <row r="58" spans="1:31" customFormat="1" ht="14.5">
      <c r="A58" s="220"/>
      <c r="B58" s="267">
        <v>20</v>
      </c>
      <c r="C58" s="68" t="s">
        <v>611</v>
      </c>
      <c r="D58" s="246">
        <f t="shared" ca="1" si="5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1.06959969446439E-4</v>
      </c>
      <c r="J58" s="403">
        <f ca="1"/>
        <v>4.21609019347092E-4</v>
      </c>
      <c r="K58" s="403">
        <f ca="1"/>
        <v>0.25369468995724598</v>
      </c>
      <c r="L58" s="403">
        <f ca="1"/>
        <v>0.25369468995724598</v>
      </c>
      <c r="M58" s="403">
        <f ca="1"/>
        <v>-5.4166925105070296E-7</v>
      </c>
      <c r="N58" s="693" t="str">
        <f ca="1"/>
        <v>DIAGEO PLC</v>
      </c>
      <c r="O58" s="403">
        <f ca="1"/>
        <v>0.213447698022173</v>
      </c>
      <c r="P58" s="403">
        <f ca="1"/>
        <v>0.67404686460516905</v>
      </c>
      <c r="Q58" s="403">
        <f ca="1"/>
        <v>0.31666596082633303</v>
      </c>
      <c r="R58" s="441">
        <f ca="1"/>
        <v>0.31666596082633303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7.9950668836664296E-2</v>
      </c>
      <c r="U58" s="413">
        <f ca="1"/>
        <v>0.12583433593821899</v>
      </c>
      <c r="V58" s="413">
        <f ca="1"/>
        <v>4.5883667101554698E-2</v>
      </c>
      <c r="W58" s="414">
        <f ca="1"/>
        <v>2.7424646696112699E-2</v>
      </c>
      <c r="X58" s="415">
        <f ca="1"/>
        <v>4.5883667101554702</v>
      </c>
      <c r="Y58" s="416">
        <f t="shared" ca="1" si="4"/>
        <v>5.3457106073324885E-2</v>
      </c>
      <c r="Z58" s="417">
        <f t="shared" ca="1" si="2"/>
        <v>-6.7267394439157555E-3</v>
      </c>
      <c r="AA58" s="416">
        <f t="shared" ca="1" si="0"/>
        <v>8.4564896652415331E-2</v>
      </c>
      <c r="AB58" s="418">
        <f t="shared" ca="1" si="1"/>
        <v>2.6053414361307065E-2</v>
      </c>
      <c r="AC58" s="417">
        <f t="shared" ca="1" si="3"/>
        <v>-5.3205838069703875E-4</v>
      </c>
      <c r="AD58" s="220"/>
      <c r="AE58" s="220"/>
    </row>
    <row r="59" spans="1:31" customFormat="1" ht="14.5">
      <c r="A59" s="220"/>
      <c r="B59" s="267">
        <v>21</v>
      </c>
      <c r="C59" s="68" t="s">
        <v>520</v>
      </c>
      <c r="D59" s="246">
        <f t="shared" ca="1" si="5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1.03065580369377E-4</v>
      </c>
      <c r="J59" s="403">
        <f ca="1"/>
        <v>4.0812655939146899E-4</v>
      </c>
      <c r="K59" s="403">
        <f ca="1"/>
        <v>0.25253338210346199</v>
      </c>
      <c r="L59" s="403">
        <f ca="1"/>
        <v>0.25253338210346199</v>
      </c>
      <c r="M59" s="403">
        <f ca="1"/>
        <v>-3.02382955884872E-5</v>
      </c>
      <c r="N59" s="693" t="str">
        <f ca="1"/>
        <v>ELO</v>
      </c>
      <c r="O59" s="403">
        <f ca="1"/>
        <v>0.21693717466367901</v>
      </c>
      <c r="P59" s="403">
        <f ca="1"/>
        <v>0.68201431055308803</v>
      </c>
      <c r="Q59" s="403">
        <f ca="1"/>
        <v>0.31808302451564602</v>
      </c>
      <c r="R59" s="441">
        <f ca="1"/>
        <v>0.31808302451564602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7.1563883628327996E-2</v>
      </c>
      <c r="U59" s="413">
        <f ca="1"/>
        <v>0.11557398540408199</v>
      </c>
      <c r="V59" s="413">
        <f ca="1"/>
        <v>4.4010101775753999E-2</v>
      </c>
      <c r="W59" s="414">
        <f ca="1"/>
        <v>2.6260785760726001E-2</v>
      </c>
      <c r="X59" s="415">
        <f ca="1"/>
        <v>4.4010101775754</v>
      </c>
      <c r="Y59" s="416">
        <f t="shared" ca="1" si="4"/>
        <v>5.3457106073324885E-2</v>
      </c>
      <c r="Z59" s="417">
        <f t="shared" ca="1" si="2"/>
        <v>-6.1782507970629275E-3</v>
      </c>
      <c r="AA59" s="416">
        <f t="shared" ca="1" si="0"/>
        <v>8.417779403448733E-2</v>
      </c>
      <c r="AB59" s="418">
        <f t="shared" ca="1" si="1"/>
        <v>2.49477464726897E-2</v>
      </c>
      <c r="AC59" s="417">
        <f t="shared" ca="1" si="3"/>
        <v>-4.8643815695448474E-4</v>
      </c>
      <c r="AD59" s="220"/>
      <c r="AE59" s="220"/>
    </row>
    <row r="60" spans="1:31" customFormat="1" ht="14.5">
      <c r="A60" s="220"/>
      <c r="B60" s="267">
        <v>22</v>
      </c>
      <c r="C60" s="68" t="s">
        <v>612</v>
      </c>
      <c r="D60" s="246">
        <f t="shared" ca="1" si="5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5.9045355007374397E-5</v>
      </c>
      <c r="J60" s="403">
        <f ca="1"/>
        <v>4.8222745513769799E-4</v>
      </c>
      <c r="K60" s="403">
        <f ca="1"/>
        <v>0.122442955867194</v>
      </c>
      <c r="L60" s="403">
        <f ca="1"/>
        <v>0.122442955867194</v>
      </c>
      <c r="M60" s="403">
        <f ca="1"/>
        <v>-6.0400793431048E-5</v>
      </c>
      <c r="N60" s="693" t="str">
        <f ca="1"/>
        <v>HEINEKEN N.V.</v>
      </c>
      <c r="O60" s="403">
        <f ca="1"/>
        <v>0.243519727735795</v>
      </c>
      <c r="P60" s="403">
        <f ca="1"/>
        <v>0.78051346438024405</v>
      </c>
      <c r="Q60" s="403">
        <f ca="1"/>
        <v>0.31199939379541503</v>
      </c>
      <c r="R60" s="441">
        <f ca="1"/>
        <v>0.31199939379541503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-3.2119436189730399E-2</v>
      </c>
      <c r="U60" s="413">
        <f ca="1"/>
        <v>1.52480507158467E-2</v>
      </c>
      <c r="V60" s="413">
        <f ca="1"/>
        <v>4.73674869055771E-2</v>
      </c>
      <c r="W60" s="414">
        <f ca="1"/>
        <v>3.2190964123223198E-3</v>
      </c>
      <c r="X60" s="415">
        <f ca="1"/>
        <v>4.7367486905577003</v>
      </c>
      <c r="Y60" s="416">
        <f t="shared" ca="1" si="4"/>
        <v>5.3457106073324885E-2</v>
      </c>
      <c r="Z60" s="417">
        <f t="shared" ca="1" si="2"/>
        <v>-8.1511666452845652E-4</v>
      </c>
      <c r="AA60" s="416">
        <f t="shared" ca="1" si="0"/>
        <v>4.0814318622398003E-2</v>
      </c>
      <c r="AB60" s="418">
        <f t="shared" ca="1" si="1"/>
        <v>3.0581415917062035E-3</v>
      </c>
      <c r="AC60" s="417">
        <f t="shared" ca="1" si="3"/>
        <v>-3.1116940014352705E-5</v>
      </c>
      <c r="AD60" s="220"/>
      <c r="AE60" s="220"/>
    </row>
    <row r="61" spans="1:31" customFormat="1" ht="14.5">
      <c r="A61" s="220"/>
      <c r="B61" s="267">
        <v>23</v>
      </c>
      <c r="C61" s="68" t="s">
        <v>536</v>
      </c>
      <c r="D61" s="246">
        <f t="shared" ca="1" si="5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4.8019282491416099E-5</v>
      </c>
      <c r="J61" s="403">
        <f ca="1"/>
        <v>4.8617113330209102E-4</v>
      </c>
      <c r="K61" s="403">
        <f ca="1"/>
        <v>9.87703283929416E-2</v>
      </c>
      <c r="L61" s="403">
        <f ca="1"/>
        <v>9.87703283929416E-2</v>
      </c>
      <c r="M61" s="403">
        <f ca="1"/>
        <v>-3.94869671227305E-5</v>
      </c>
      <c r="N61" s="693" t="str">
        <f ca="1"/>
        <v>HENKEL AG &amp; CO. KGAA</v>
      </c>
      <c r="O61" s="403">
        <f ca="1"/>
        <v>0.24413303092151201</v>
      </c>
      <c r="P61" s="403">
        <f ca="1"/>
        <v>0.78549636393508204</v>
      </c>
      <c r="Q61" s="403">
        <f ca="1"/>
        <v>0.31080096882751301</v>
      </c>
      <c r="R61" s="441">
        <f ca="1"/>
        <v>0.31080096882751301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-3.73645936158759E-2</v>
      </c>
      <c r="U61" s="413">
        <f ca="1"/>
        <v>1.01347104891972E-2</v>
      </c>
      <c r="V61" s="413">
        <f ca="1"/>
        <v>4.7499304105073102E-2</v>
      </c>
      <c r="W61" s="414">
        <f ca="1"/>
        <v>2.13365451981743E-3</v>
      </c>
      <c r="X61" s="415">
        <f ca="1"/>
        <v>4.7499304105073099</v>
      </c>
      <c r="Y61" s="416">
        <f t="shared" ca="1" si="4"/>
        <v>5.3457106073324885E-2</v>
      </c>
      <c r="Z61" s="417">
        <f t="shared" ca="1" si="2"/>
        <v>-5.4177229364345215E-4</v>
      </c>
      <c r="AA61" s="416">
        <f t="shared" ca="1" si="0"/>
        <v>3.2923442797647202E-2</v>
      </c>
      <c r="AB61" s="418">
        <f t="shared" ca="1" si="1"/>
        <v>2.0269717938265585E-3</v>
      </c>
      <c r="AC61" s="417">
        <f t="shared" ca="1" si="3"/>
        <v>-1.6683478053089921E-5</v>
      </c>
      <c r="AD61" s="220"/>
      <c r="AE61" s="220"/>
    </row>
    <row r="62" spans="1:31" customFormat="1" ht="14.5">
      <c r="A62" s="220"/>
      <c r="B62" s="267">
        <v>24</v>
      </c>
      <c r="C62" s="68" t="s">
        <v>521</v>
      </c>
      <c r="D62" s="246">
        <f t="shared" ca="1" si="5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8.3414244432176198E-5</v>
      </c>
      <c r="J62" s="403">
        <f ca="1"/>
        <v>4.5431894356194098E-4</v>
      </c>
      <c r="K62" s="403">
        <f ca="1"/>
        <v>0.183602831478242</v>
      </c>
      <c r="L62" s="403">
        <f ca="1"/>
        <v>0.183602831478242</v>
      </c>
      <c r="M62" s="403">
        <f ca="1"/>
        <v>-1.19602047848318E-4</v>
      </c>
      <c r="N62" s="693" t="str">
        <f ca="1"/>
        <v>IMPERIAL BRANDS PLC</v>
      </c>
      <c r="O62" s="403">
        <f ca="1"/>
        <v>0.23968272564953899</v>
      </c>
      <c r="P62" s="403">
        <f ca="1"/>
        <v>0.75935769219944105</v>
      </c>
      <c r="Q62" s="403">
        <f ca="1"/>
        <v>0.31563876696278698</v>
      </c>
      <c r="R62" s="441">
        <f ca="1"/>
        <v>0.31563876696278698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-9.8502023152009996E-3</v>
      </c>
      <c r="U62" s="413">
        <f ca="1"/>
        <v>3.6872940696785102E-2</v>
      </c>
      <c r="V62" s="413">
        <f ca="1"/>
        <v>4.6723143011986101E-2</v>
      </c>
      <c r="W62" s="414">
        <f ca="1"/>
        <v>7.8917937278589895E-3</v>
      </c>
      <c r="X62" s="415">
        <f ca="1"/>
        <v>4.6723143011986101</v>
      </c>
      <c r="Y62" s="416">
        <f t="shared" ca="1" si="4"/>
        <v>5.3457106073324885E-2</v>
      </c>
      <c r="Z62" s="417">
        <f t="shared" ca="1" si="2"/>
        <v>-1.9711207020634562E-3</v>
      </c>
      <c r="AA62" s="416">
        <f t="shared" ca="1" si="0"/>
        <v>6.1200943826080663E-2</v>
      </c>
      <c r="AB62" s="418">
        <f t="shared" ca="1" si="1"/>
        <v>7.4972040414660393E-3</v>
      </c>
      <c r="AC62" s="417">
        <f t="shared" ca="1" si="3"/>
        <v>-1.1283293861431746E-4</v>
      </c>
      <c r="AD62" s="220"/>
      <c r="AE62" s="220"/>
    </row>
    <row r="63" spans="1:31" customFormat="1" ht="14.5">
      <c r="A63" s="220"/>
      <c r="B63" s="267">
        <v>25</v>
      </c>
      <c r="C63" s="68" t="s">
        <v>537</v>
      </c>
      <c r="D63" s="246">
        <f t="shared" ca="1" si="5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6.8360279107406799E-5</v>
      </c>
      <c r="J63" s="403">
        <f ca="1"/>
        <v>4.77297619865029E-4</v>
      </c>
      <c r="K63" s="403">
        <f ca="1"/>
        <v>0.14322359103055601</v>
      </c>
      <c r="L63" s="403">
        <f ca="1"/>
        <v>0.14322359103055601</v>
      </c>
      <c r="M63" s="403">
        <f ca="1"/>
        <v>-8.0769452622222402E-5</v>
      </c>
      <c r="N63" s="693" t="str">
        <f ca="1"/>
        <v>KERING</v>
      </c>
      <c r="O63" s="403">
        <f ca="1"/>
        <v>0.24267376009470101</v>
      </c>
      <c r="P63" s="403">
        <f ca="1"/>
        <v>0.77489720919341798</v>
      </c>
      <c r="Q63" s="403">
        <f ca="1"/>
        <v>0.313168969013706</v>
      </c>
      <c r="R63" s="441">
        <f ca="1"/>
        <v>0.313168969013706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-2.6207588624650498E-2</v>
      </c>
      <c r="U63" s="413">
        <f ca="1"/>
        <v>2.0974749213478899E-2</v>
      </c>
      <c r="V63" s="413">
        <f ca="1"/>
        <v>4.7182337838129397E-2</v>
      </c>
      <c r="W63" s="414">
        <f ca="1"/>
        <v>4.4454662855914397E-3</v>
      </c>
      <c r="X63" s="415">
        <f ca="1"/>
        <v>4.7182337838129396</v>
      </c>
      <c r="Y63" s="416">
        <f t="shared" ca="1" si="4"/>
        <v>5.3457106073324885E-2</v>
      </c>
      <c r="Z63" s="417">
        <f t="shared" ca="1" si="2"/>
        <v>-1.121249393566332E-3</v>
      </c>
      <c r="AA63" s="416">
        <f t="shared" ca="1" si="0"/>
        <v>4.7741197010185338E-2</v>
      </c>
      <c r="AB63" s="418">
        <f t="shared" ca="1" si="1"/>
        <v>4.2231929713118675E-3</v>
      </c>
      <c r="AC63" s="417">
        <f t="shared" ca="1" si="3"/>
        <v>-5.0067981721996488E-5</v>
      </c>
      <c r="AD63" s="220"/>
      <c r="AE63" s="220"/>
    </row>
    <row r="64" spans="1:31" customFormat="1" ht="14.5">
      <c r="A64" s="220"/>
      <c r="B64" s="267">
        <v>26</v>
      </c>
      <c r="C64" s="68" t="s">
        <v>522</v>
      </c>
      <c r="D64" s="246">
        <f t="shared" ca="1" si="5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1.04621600551036E-4</v>
      </c>
      <c r="J64" s="403">
        <f ca="1"/>
        <v>4.1151067462850201E-4</v>
      </c>
      <c r="K64" s="403">
        <f ca="1"/>
        <v>0.25423787765769301</v>
      </c>
      <c r="L64" s="403">
        <f ca="1"/>
        <v>0.25423787765769301</v>
      </c>
      <c r="M64" s="403">
        <f ca="1"/>
        <v>5.6624119062145199E-5</v>
      </c>
      <c r="N64" s="693" t="str">
        <f ca="1"/>
        <v>KONINKLIJKE AHOLD DELHAIZE N.V.</v>
      </c>
      <c r="O64" s="403">
        <f ca="1"/>
        <v>0.20732277946175401</v>
      </c>
      <c r="P64" s="403">
        <f ca="1"/>
        <v>0.65708525755277702</v>
      </c>
      <c r="Q64" s="403">
        <f ca="1"/>
        <v>0.31551884185303303</v>
      </c>
      <c r="R64" s="441">
        <f ca="1"/>
        <v>0.31551884185303303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9.7804992049707606E-2</v>
      </c>
      <c r="U64" s="413">
        <f ca="1"/>
        <v>0.14341471906702799</v>
      </c>
      <c r="V64" s="413">
        <f ca="1"/>
        <v>4.5609727017320398E-2</v>
      </c>
      <c r="W64" s="414">
        <f ca="1"/>
        <v>3.1443888934605202E-2</v>
      </c>
      <c r="X64" s="415">
        <f ca="1"/>
        <v>4.5609727017320401</v>
      </c>
      <c r="Y64" s="416">
        <f t="shared" ca="1" si="4"/>
        <v>5.3457106073324885E-2</v>
      </c>
      <c r="Z64" s="417">
        <f t="shared" ca="1" si="2"/>
        <v>-7.6665358496422302E-3</v>
      </c>
      <c r="AA64" s="416">
        <f t="shared" ca="1" si="0"/>
        <v>8.4745959219231004E-2</v>
      </c>
      <c r="AB64" s="418">
        <f t="shared" ca="1" si="1"/>
        <v>2.9871694487874939E-2</v>
      </c>
      <c r="AC64" s="417">
        <f t="shared" ca="1" si="3"/>
        <v>-6.0769089667459452E-4</v>
      </c>
      <c r="AD64" s="220"/>
      <c r="AE64" s="220"/>
    </row>
    <row r="65" spans="1:31" customFormat="1" ht="14.5">
      <c r="A65" s="220"/>
      <c r="B65" s="267">
        <v>27</v>
      </c>
      <c r="C65" s="68" t="s">
        <v>523</v>
      </c>
      <c r="D65" s="246">
        <f t="shared" ca="1" si="5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7.1140539964078604E-5</v>
      </c>
      <c r="J65" s="403">
        <f ca="1"/>
        <v>4.64337624280375E-4</v>
      </c>
      <c r="K65" s="403">
        <f ca="1"/>
        <v>0.15320864871618201</v>
      </c>
      <c r="L65" s="403">
        <f ca="1"/>
        <v>0.15320864871618201</v>
      </c>
      <c r="M65" s="403">
        <f ca="1"/>
        <v>-9.0871337729370204E-5</v>
      </c>
      <c r="N65" s="693" t="str">
        <f ca="1"/>
        <v>KONINKLIJKE PHILIPS N.V.</v>
      </c>
      <c r="O65" s="403">
        <f ca="1"/>
        <v>0.24212708573362501</v>
      </c>
      <c r="P65" s="403">
        <f ca="1"/>
        <v>0.77167988806161203</v>
      </c>
      <c r="Q65" s="403">
        <f ca="1"/>
        <v>0.31376622545110699</v>
      </c>
      <c r="R65" s="441">
        <f ca="1"/>
        <v>0.31376622545110699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-2.2820934801697199E-2</v>
      </c>
      <c r="U65" s="413">
        <f ca="1"/>
        <v>2.4253137589085899E-2</v>
      </c>
      <c r="V65" s="413">
        <f ca="1"/>
        <v>4.7074072390783102E-2</v>
      </c>
      <c r="W65" s="414">
        <f ca="1"/>
        <v>5.1521222527232602E-3</v>
      </c>
      <c r="X65" s="415">
        <f ca="1"/>
        <v>4.7074072390783099</v>
      </c>
      <c r="Y65" s="416">
        <f t="shared" ca="1" si="4"/>
        <v>5.3457106073324885E-2</v>
      </c>
      <c r="Z65" s="417">
        <f t="shared" ca="1" si="2"/>
        <v>-1.2965025487107092E-3</v>
      </c>
      <c r="AA65" s="416">
        <f t="shared" ca="1" si="0"/>
        <v>5.1069549572060668E-2</v>
      </c>
      <c r="AB65" s="418">
        <f t="shared" ca="1" si="1"/>
        <v>4.8945161400870971E-3</v>
      </c>
      <c r="AC65" s="417">
        <f t="shared" ca="1" si="3"/>
        <v>-6.1929840619191588E-5</v>
      </c>
      <c r="AD65" s="220"/>
      <c r="AE65" s="220"/>
    </row>
    <row r="66" spans="1:31" customFormat="1" ht="14.5">
      <c r="A66" s="220"/>
      <c r="B66" s="267">
        <v>28</v>
      </c>
      <c r="C66" s="68" t="s">
        <v>524</v>
      </c>
      <c r="D66" s="246">
        <f t="shared" ca="1" si="5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9.7603014152562999E-5</v>
      </c>
      <c r="J66" s="403">
        <f ca="1"/>
        <v>4.5363554899141898E-4</v>
      </c>
      <c r="K66" s="403">
        <f ca="1"/>
        <v>0.215157331407485</v>
      </c>
      <c r="L66" s="403">
        <f ca="1"/>
        <v>0.215157331407485</v>
      </c>
      <c r="M66" s="403">
        <f ca="1"/>
        <v>-1.3426046694744201E-4</v>
      </c>
      <c r="N66" s="693" t="str">
        <f ca="1"/>
        <v>LOUIS DREYFUS COMPANY B.V.</v>
      </c>
      <c r="O66" s="403">
        <f ca="1"/>
        <v>0.2349469637471</v>
      </c>
      <c r="P66" s="403">
        <f ca="1"/>
        <v>0.73998794364905796</v>
      </c>
      <c r="Q66" s="403">
        <f ca="1"/>
        <v>0.31750106979921899</v>
      </c>
      <c r="R66" s="441">
        <f ca="1"/>
        <v>0.31750106979921899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1.05390066852018E-2</v>
      </c>
      <c r="U66" s="413">
        <f ca="1"/>
        <v>5.6708525391350198E-2</v>
      </c>
      <c r="V66" s="413">
        <f ca="1"/>
        <v>4.6169518706148403E-2</v>
      </c>
      <c r="W66" s="414">
        <f ca="1"/>
        <v>1.2282676315574901E-2</v>
      </c>
      <c r="X66" s="415">
        <f ca="1"/>
        <v>4.61695187061484</v>
      </c>
      <c r="Y66" s="416">
        <f t="shared" ca="1" si="4"/>
        <v>5.3457106073324885E-2</v>
      </c>
      <c r="Z66" s="417">
        <f t="shared" ca="1" si="2"/>
        <v>-3.0314736571072417E-3</v>
      </c>
      <c r="AA66" s="416">
        <f t="shared" ca="1" si="0"/>
        <v>7.171911046916167E-2</v>
      </c>
      <c r="AB66" s="418">
        <f t="shared" ca="1" si="1"/>
        <v>1.1668542499796155E-2</v>
      </c>
      <c r="AC66" s="417">
        <f t="shared" ca="1" si="3"/>
        <v>-2.0335424985427528E-4</v>
      </c>
      <c r="AD66" s="220"/>
      <c r="AE66" s="220"/>
    </row>
    <row r="67" spans="1:31" customFormat="1" ht="14.5">
      <c r="A67" s="220"/>
      <c r="B67" s="267">
        <v>29</v>
      </c>
      <c r="C67" s="68" t="s">
        <v>538</v>
      </c>
      <c r="D67" s="246">
        <f t="shared" ca="1" si="5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5.8741378005648903E-5</v>
      </c>
      <c r="J67" s="403">
        <f ca="1"/>
        <v>4.8236050587487398E-4</v>
      </c>
      <c r="K67" s="403">
        <f ca="1"/>
        <v>0.12177899577227499</v>
      </c>
      <c r="L67" s="403">
        <f ca="1"/>
        <v>0.12177899577227499</v>
      </c>
      <c r="M67" s="403">
        <f ca="1"/>
        <v>-5.9773821550663801E-5</v>
      </c>
      <c r="N67" s="693" t="str">
        <f ca="1"/>
        <v>LVMH MOET HENNESSY LOUIS VUITTON</v>
      </c>
      <c r="O67" s="403">
        <f ca="1"/>
        <v>0.243541403380379</v>
      </c>
      <c r="P67" s="403">
        <f ca="1"/>
        <v>0.78067211029420303</v>
      </c>
      <c r="Q67" s="403">
        <f ca="1"/>
        <v>0.31196375554981498</v>
      </c>
      <c r="R67" s="441">
        <f ca="1"/>
        <v>0.31196375554981498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-3.2286431888635198E-2</v>
      </c>
      <c r="U67" s="413">
        <f ca="1"/>
        <v>1.5085831691761401E-2</v>
      </c>
      <c r="V67" s="413">
        <f ca="1"/>
        <v>4.7372263580396597E-2</v>
      </c>
      <c r="W67" s="414">
        <f ca="1"/>
        <v>3.18452836144484E-3</v>
      </c>
      <c r="X67" s="415">
        <f ca="1"/>
        <v>4.7372263580396599</v>
      </c>
      <c r="Y67" s="416">
        <f t="shared" ca="1" si="4"/>
        <v>5.3457106073324885E-2</v>
      </c>
      <c r="Z67" s="417">
        <f t="shared" ca="1" si="2"/>
        <v>-8.0644490495081244E-4</v>
      </c>
      <c r="AA67" s="416">
        <f t="shared" ca="1" si="0"/>
        <v>4.0592998590758329E-2</v>
      </c>
      <c r="AB67" s="418">
        <f t="shared" ca="1" si="1"/>
        <v>3.0253019433725977E-3</v>
      </c>
      <c r="AC67" s="417">
        <f t="shared" ca="1" si="3"/>
        <v>-3.0618957230204346E-5</v>
      </c>
      <c r="AD67" s="220"/>
      <c r="AE67" s="220"/>
    </row>
    <row r="68" spans="1:31" customFormat="1" ht="14.5">
      <c r="A68" s="220"/>
      <c r="B68" s="267">
        <v>30</v>
      </c>
      <c r="C68" s="68" t="s">
        <v>539</v>
      </c>
      <c r="D68" s="246">
        <f t="shared" ca="1" si="5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5.5417487256912398E-5</v>
      </c>
      <c r="J68" s="403">
        <f ca="1"/>
        <v>4.83379933058756E-4</v>
      </c>
      <c r="K68" s="403">
        <f ca="1"/>
        <v>0.114645816813782</v>
      </c>
      <c r="L68" s="403">
        <f ca="1"/>
        <v>0.114645816813782</v>
      </c>
      <c r="M68" s="403">
        <f ca="1"/>
        <v>-5.2971655393188002E-5</v>
      </c>
      <c r="N68" s="693" t="str">
        <f ca="1"/>
        <v>NESTLE S.A.</v>
      </c>
      <c r="O68" s="403">
        <f ca="1"/>
        <v>0.24374776720019101</v>
      </c>
      <c r="P68" s="403">
        <f ca="1"/>
        <v>0.78226172825186502</v>
      </c>
      <c r="Q68" s="403">
        <f ca="1"/>
        <v>0.31159362448281702</v>
      </c>
      <c r="R68" s="441">
        <f ca="1"/>
        <v>0.31159362448281702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-3.3959713949331699E-2</v>
      </c>
      <c r="U68" s="413">
        <f ca="1"/>
        <v>1.3414311429827099E-2</v>
      </c>
      <c r="V68" s="413">
        <f ca="1"/>
        <v>4.7374025379158802E-2</v>
      </c>
      <c r="W68" s="414">
        <f ca="1"/>
        <v>2.8315751770016098E-3</v>
      </c>
      <c r="X68" s="415">
        <f ca="1"/>
        <v>4.7374025379158802</v>
      </c>
      <c r="Y68" s="416">
        <f t="shared" ca="1" si="4"/>
        <v>5.3457106073324885E-2</v>
      </c>
      <c r="Z68" s="417">
        <f t="shared" ca="1" si="2"/>
        <v>-7.1709026900487814E-4</v>
      </c>
      <c r="AA68" s="416">
        <f t="shared" ca="1" si="0"/>
        <v>3.8215272271260668E-2</v>
      </c>
      <c r="AB68" s="418">
        <f t="shared" ca="1" si="1"/>
        <v>2.6899964181515291E-3</v>
      </c>
      <c r="AC68" s="417">
        <f t="shared" ca="1" si="3"/>
        <v>-2.5631578181116244E-5</v>
      </c>
      <c r="AD68" s="220"/>
      <c r="AE68" s="220"/>
    </row>
    <row r="69" spans="1:31" customFormat="1" ht="14.5">
      <c r="A69" s="220"/>
      <c r="B69" s="267">
        <v>31</v>
      </c>
      <c r="C69" s="68" t="s">
        <v>540</v>
      </c>
      <c r="D69" s="246">
        <f t="shared" ca="1" si="5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7.2220239475897496E-5</v>
      </c>
      <c r="J69" s="403">
        <f ca="1"/>
        <v>4.7510444934251498E-4</v>
      </c>
      <c r="K69" s="403">
        <f ca="1"/>
        <v>0.15200918361392199</v>
      </c>
      <c r="L69" s="403">
        <f ca="1"/>
        <v>0.15200918361392199</v>
      </c>
      <c r="M69" s="403">
        <f ca="1"/>
        <v>-9.0035213163548405E-5</v>
      </c>
      <c r="N69" s="693" t="str">
        <f ca="1"/>
        <v>NEXT PLC</v>
      </c>
      <c r="O69" s="403">
        <f ca="1"/>
        <v>0.24222024609880499</v>
      </c>
      <c r="P69" s="403">
        <f ca="1"/>
        <v>0.77220654272245703</v>
      </c>
      <c r="Q69" s="403">
        <f ca="1"/>
        <v>0.31367287467527</v>
      </c>
      <c r="R69" s="441">
        <f ca="1"/>
        <v>0.31367287467527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-2.3375308128902698E-2</v>
      </c>
      <c r="U69" s="413">
        <f ca="1"/>
        <v>2.3810140274720799E-2</v>
      </c>
      <c r="V69" s="413">
        <f ca="1"/>
        <v>4.7185448403623501E-2</v>
      </c>
      <c r="W69" s="414">
        <f ca="1"/>
        <v>5.0460769326698598E-3</v>
      </c>
      <c r="X69" s="415">
        <f ca="1"/>
        <v>4.71854484036235</v>
      </c>
      <c r="Y69" s="416">
        <f t="shared" ca="1" si="4"/>
        <v>5.3457106073324885E-2</v>
      </c>
      <c r="Z69" s="417">
        <f t="shared" ca="1" si="2"/>
        <v>-1.272821194286497E-3</v>
      </c>
      <c r="AA69" s="416">
        <f t="shared" ca="1" si="0"/>
        <v>5.066972787130733E-2</v>
      </c>
      <c r="AB69" s="418">
        <f t="shared" ca="1" si="1"/>
        <v>4.7937730860363667E-3</v>
      </c>
      <c r="AC69" s="417">
        <f t="shared" ca="1" si="3"/>
        <v>-6.0322666414888004E-5</v>
      </c>
      <c r="AD69" s="220"/>
      <c r="AE69" s="220"/>
    </row>
    <row r="70" spans="1:31" customFormat="1" ht="14.5">
      <c r="A70" s="220"/>
      <c r="B70" s="267">
        <v>32</v>
      </c>
      <c r="C70" s="68" t="s">
        <v>525</v>
      </c>
      <c r="D70" s="246">
        <f t="shared" ca="1" si="5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6.4239105870347299E-5</v>
      </c>
      <c r="J70" s="403">
        <f ca="1"/>
        <v>4.7965258316612998E-4</v>
      </c>
      <c r="K70" s="403">
        <f ca="1"/>
        <v>0.13392840594397001</v>
      </c>
      <c r="L70" s="403">
        <f ca="1"/>
        <v>0.13392840594397001</v>
      </c>
      <c r="M70" s="403">
        <f ca="1"/>
        <v>-7.1481689400343401E-5</v>
      </c>
      <c r="N70" s="693" t="str">
        <f ca="1"/>
        <v>PERNOD RICARD</v>
      </c>
      <c r="O70" s="403">
        <f ca="1"/>
        <v>0.24309368791383501</v>
      </c>
      <c r="P70" s="403">
        <f ca="1"/>
        <v>0.77756537388604097</v>
      </c>
      <c r="Q70" s="403">
        <f ca="1"/>
        <v>0.312634404871869</v>
      </c>
      <c r="R70" s="441">
        <f ca="1"/>
        <v>0.312634404871869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-2.90161830379378E-2</v>
      </c>
      <c r="U70" s="413">
        <f ca="1"/>
        <v>1.8250417697358402E-2</v>
      </c>
      <c r="V70" s="413">
        <f ca="1"/>
        <v>4.7266600735296198E-2</v>
      </c>
      <c r="W70" s="414">
        <f ca="1"/>
        <v>3.8611656885514001E-3</v>
      </c>
      <c r="X70" s="415">
        <f ca="1"/>
        <v>4.7266600735296196</v>
      </c>
      <c r="Y70" s="416">
        <f t="shared" ca="1" si="4"/>
        <v>5.3457106073324885E-2</v>
      </c>
      <c r="Z70" s="417">
        <f t="shared" ca="1" si="2"/>
        <v>-9.7561451473017393E-4</v>
      </c>
      <c r="AA70" s="416">
        <f t="shared" ca="1" si="0"/>
        <v>4.4642801981323338E-2</v>
      </c>
      <c r="AB70" s="418">
        <f t="shared" ca="1" si="1"/>
        <v>3.6681074041238298E-3</v>
      </c>
      <c r="AC70" s="417">
        <f t="shared" ca="1" si="3"/>
        <v>-4.073748916698059E-5</v>
      </c>
      <c r="AD70" s="220"/>
      <c r="AE70" s="220"/>
    </row>
    <row r="71" spans="1:31" customFormat="1" ht="14.5">
      <c r="A71" s="220"/>
      <c r="B71" s="267">
        <v>33</v>
      </c>
      <c r="C71" s="68" t="s">
        <v>526</v>
      </c>
      <c r="D71" s="246">
        <f t="shared" ca="1" si="5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5.4717528022649799E-5</v>
      </c>
      <c r="J71" s="403">
        <f ca="1"/>
        <v>4.8396526347716402E-4</v>
      </c>
      <c r="K71" s="403">
        <f ca="1"/>
        <v>0.113060858189529</v>
      </c>
      <c r="L71" s="403">
        <f ca="1"/>
        <v>0.113060858189529</v>
      </c>
      <c r="M71" s="403">
        <f ca="1"/>
        <v>-5.1725048004969198E-5</v>
      </c>
      <c r="N71" s="693" t="str">
        <f ca="1"/>
        <v>SODEXO</v>
      </c>
      <c r="O71" s="403">
        <f ca="1"/>
        <v>0.243799789997282</v>
      </c>
      <c r="P71" s="403">
        <f ca="1"/>
        <v>0.78264719569420504</v>
      </c>
      <c r="Q71" s="403">
        <f ca="1"/>
        <v>0.31150662947310798</v>
      </c>
      <c r="R71" s="441">
        <f ca="1"/>
        <v>0.31150662947310798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-3.4365469151794503E-2</v>
      </c>
      <c r="U71" s="413">
        <f ca="1"/>
        <v>1.3061124756397299E-2</v>
      </c>
      <c r="V71" s="413">
        <f ca="1"/>
        <v>4.7426593908191803E-2</v>
      </c>
      <c r="W71" s="414">
        <f ca="1"/>
        <v>2.7539664310873599E-3</v>
      </c>
      <c r="X71" s="415">
        <f ca="1"/>
        <v>4.7426593908191803</v>
      </c>
      <c r="Y71" s="416">
        <f t="shared" ca="1" si="4"/>
        <v>5.3457106073324885E-2</v>
      </c>
      <c r="Z71" s="417">
        <f t="shared" ca="1" si="2"/>
        <v>-6.9820993153965746E-4</v>
      </c>
      <c r="AA71" s="416">
        <f t="shared" ca="1" si="0"/>
        <v>3.7686952729843001E-2</v>
      </c>
      <c r="AB71" s="418">
        <f t="shared" ca="1" si="1"/>
        <v>2.6162681095329918E-3</v>
      </c>
      <c r="AC71" s="417">
        <f t="shared" ca="1" si="3"/>
        <v>-2.4611699564646289E-5</v>
      </c>
      <c r="AD71" s="220"/>
      <c r="AE71" s="220"/>
    </row>
    <row r="72" spans="1:31" customFormat="1" ht="14.5">
      <c r="A72" s="220"/>
      <c r="B72" s="267">
        <v>34</v>
      </c>
      <c r="C72" s="68" t="s">
        <v>527</v>
      </c>
      <c r="D72" s="246">
        <f t="shared" ca="1" si="5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8.1191238235582794E-5</v>
      </c>
      <c r="J72" s="403">
        <f ca="1"/>
        <v>4.5651512055547202E-4</v>
      </c>
      <c r="K72" s="403">
        <f ca="1"/>
        <v>0.17785005267030801</v>
      </c>
      <c r="L72" s="403">
        <f ca="1"/>
        <v>0.17785005267030801</v>
      </c>
      <c r="M72" s="403">
        <f ca="1"/>
        <v>-1.14812888061777E-4</v>
      </c>
      <c r="N72" s="693" t="str">
        <f ca="1"/>
        <v>SUEDZUCKER AG</v>
      </c>
      <c r="O72" s="403">
        <f ca="1"/>
        <v>0.24026766674213501</v>
      </c>
      <c r="P72" s="403">
        <f ca="1"/>
        <v>0.76209053749842603</v>
      </c>
      <c r="Q72" s="403">
        <f ca="1"/>
        <v>0.31527443908543601</v>
      </c>
      <c r="R72" s="441">
        <f ca="1"/>
        <v>0.31527443908543601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-1.27268815772903E-2</v>
      </c>
      <c r="U72" s="413">
        <f ca="1"/>
        <v>3.40988275702385E-2</v>
      </c>
      <c r="V72" s="413">
        <f ca="1"/>
        <v>4.6825709147528802E-2</v>
      </c>
      <c r="W72" s="414">
        <f ca="1"/>
        <v>7.2820739271255699E-3</v>
      </c>
      <c r="X72" s="415">
        <f ca="1"/>
        <v>4.6825709147528798</v>
      </c>
      <c r="Y72" s="416">
        <f t="shared" ca="1" si="4"/>
        <v>5.3457106073324885E-2</v>
      </c>
      <c r="Z72" s="417">
        <f t="shared" ca="1" si="2"/>
        <v>-1.8228246423982531E-3</v>
      </c>
      <c r="AA72" s="416">
        <f t="shared" ca="1" si="0"/>
        <v>5.9283350890102671E-2</v>
      </c>
      <c r="AB72" s="418">
        <f t="shared" ca="1" si="1"/>
        <v>6.9179702307692907E-3</v>
      </c>
      <c r="AC72" s="417">
        <f t="shared" ca="1" si="3"/>
        <v>-1.0107463798937794E-4</v>
      </c>
      <c r="AD72" s="220"/>
      <c r="AE72" s="220"/>
    </row>
    <row r="73" spans="1:31" customFormat="1" ht="14.5">
      <c r="A73" s="220"/>
      <c r="B73" s="267">
        <v>35</v>
      </c>
      <c r="C73" s="68" t="s">
        <v>541</v>
      </c>
      <c r="D73" s="246">
        <f t="shared" ca="1" si="5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7.2760725509872802E-5</v>
      </c>
      <c r="J73" s="403">
        <f ca="1"/>
        <v>4.63257693255563E-4</v>
      </c>
      <c r="K73" s="403">
        <f ca="1"/>
        <v>0.15706317794431801</v>
      </c>
      <c r="L73" s="403">
        <f ca="1"/>
        <v>0.15706317794431801</v>
      </c>
      <c r="M73" s="403">
        <f ca="1"/>
        <v>-9.4875027881118301E-5</v>
      </c>
      <c r="N73" s="693" t="str">
        <f ca="1"/>
        <v>TESCO PLC</v>
      </c>
      <c r="O73" s="403">
        <f ca="1"/>
        <v>0.24189540693681799</v>
      </c>
      <c r="P73" s="403">
        <f ca="1"/>
        <v>0.77038310384267905</v>
      </c>
      <c r="Q73" s="403">
        <f ca="1"/>
        <v>0.31399365553351499</v>
      </c>
      <c r="R73" s="441">
        <f ca="1"/>
        <v>0.31399365553351499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-2.14558987817677E-2</v>
      </c>
      <c r="U73" s="413">
        <f ca="1"/>
        <v>2.5605720424987499E-2</v>
      </c>
      <c r="V73" s="413">
        <f ca="1"/>
        <v>4.7061619206755202E-2</v>
      </c>
      <c r="W73" s="414">
        <f ca="1"/>
        <v>5.4408923569956701E-3</v>
      </c>
      <c r="X73" s="415">
        <f ca="1"/>
        <v>4.7061619206755196</v>
      </c>
      <c r="Y73" s="416">
        <f t="shared" ca="1" si="4"/>
        <v>5.3457106073324885E-2</v>
      </c>
      <c r="Z73" s="417">
        <f t="shared" ca="1" si="2"/>
        <v>-1.3688077128424583E-3</v>
      </c>
      <c r="AA73" s="416">
        <f t="shared" ca="1" si="0"/>
        <v>5.2354392648106006E-2</v>
      </c>
      <c r="AB73" s="418">
        <f t="shared" ca="1" si="1"/>
        <v>5.1688477391458867E-3</v>
      </c>
      <c r="AC73" s="417">
        <f t="shared" ca="1" si="3"/>
        <v>-6.7028597058371137E-5</v>
      </c>
      <c r="AD73" s="220"/>
      <c r="AE73" s="220"/>
    </row>
    <row r="74" spans="1:31" customFormat="1" ht="14.5">
      <c r="A74" s="220"/>
      <c r="B74" s="267">
        <v>36</v>
      </c>
      <c r="C74" s="68" t="s">
        <v>528</v>
      </c>
      <c r="D74" s="246">
        <f t="shared" ca="1" si="5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5.4445993529488401E-5</v>
      </c>
      <c r="J74" s="403">
        <f ca="1"/>
        <v>4.8380686773139399E-4</v>
      </c>
      <c r="K74" s="403">
        <f ca="1"/>
        <v>0.112536628065636</v>
      </c>
      <c r="L74" s="403">
        <f ca="1"/>
        <v>0.112536628065636</v>
      </c>
      <c r="M74" s="403">
        <f ca="1"/>
        <v>-5.11044620266676E-5</v>
      </c>
      <c r="N74" s="693" t="str">
        <f ca="1"/>
        <v>UNILEVER PLC</v>
      </c>
      <c r="O74" s="403">
        <f ca="1"/>
        <v>0.24380738495653601</v>
      </c>
      <c r="P74" s="403">
        <f ca="1"/>
        <v>0.78272910226113901</v>
      </c>
      <c r="Q74" s="403">
        <f ca="1"/>
        <v>0.31148373588285899</v>
      </c>
      <c r="R74" s="441">
        <f ca="1"/>
        <v>0.31148373588285899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-3.4451686590672298E-2</v>
      </c>
      <c r="U74" s="413">
        <f ca="1"/>
        <v>1.29435351665424E-2</v>
      </c>
      <c r="V74" s="413">
        <f ca="1"/>
        <v>4.7395221757214702E-2</v>
      </c>
      <c r="W74" s="414">
        <f ca="1"/>
        <v>2.7309789229063102E-3</v>
      </c>
      <c r="X74" s="415">
        <f ca="1"/>
        <v>4.7395221757214703</v>
      </c>
      <c r="Y74" s="416">
        <f t="shared" ca="1" si="4"/>
        <v>5.3457106073324885E-2</v>
      </c>
      <c r="Z74" s="417">
        <f t="shared" ca="1" si="2"/>
        <v>-6.9192393236166758E-4</v>
      </c>
      <c r="AA74" s="416">
        <f t="shared" ca="1" si="0"/>
        <v>3.7512209355211996E-2</v>
      </c>
      <c r="AB74" s="418">
        <f t="shared" ca="1" si="1"/>
        <v>2.5944299767609947E-3</v>
      </c>
      <c r="AC74" s="417">
        <f t="shared" ca="1" si="3"/>
        <v>-2.4277030048194355E-5</v>
      </c>
      <c r="AD74" s="220"/>
      <c r="AE74" s="220"/>
    </row>
    <row r="75" spans="1:31" customFormat="1" ht="14.5">
      <c r="A75" s="220"/>
      <c r="B75" s="267">
        <v>37</v>
      </c>
      <c r="C75" s="68" t="s">
        <v>542</v>
      </c>
      <c r="D75" s="246">
        <f t="shared" ca="1" si="5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7.4064736434784601E-5</v>
      </c>
      <c r="J75" s="403">
        <f ca="1"/>
        <v>4.73511422023144E-4</v>
      </c>
      <c r="K75" s="403">
        <f ca="1"/>
        <v>0.15641594476925699</v>
      </c>
      <c r="L75" s="403">
        <f ca="1"/>
        <v>0.15641594476925699</v>
      </c>
      <c r="M75" s="403">
        <f ca="1"/>
        <v>-9.4250692769100102E-5</v>
      </c>
      <c r="N75" s="693" t="str">
        <f ca="1"/>
        <v>BP P.L.C.</v>
      </c>
      <c r="O75" s="403">
        <f ca="1"/>
        <v>0.24194419570530501</v>
      </c>
      <c r="P75" s="403">
        <f ca="1"/>
        <v>0.77065234473862798</v>
      </c>
      <c r="Q75" s="403">
        <f ca="1"/>
        <v>0.31394726475186702</v>
      </c>
      <c r="R75" s="441">
        <f ca="1"/>
        <v>0.31394726475186702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-2.17393102511876E-2</v>
      </c>
      <c r="U75" s="413">
        <f ca="1"/>
        <v>2.53487396001956E-2</v>
      </c>
      <c r="V75" s="413">
        <f ca="1"/>
        <v>4.70880498513832E-2</v>
      </c>
      <c r="W75" s="414">
        <f ca="1"/>
        <v>5.3832638387446398E-3</v>
      </c>
      <c r="X75" s="415">
        <f ca="1"/>
        <v>4.70880498513832</v>
      </c>
      <c r="Y75" s="416">
        <f t="shared" ca="1" si="4"/>
        <v>5.3457106073324885E-2</v>
      </c>
      <c r="Z75" s="417">
        <f t="shared" ca="1" si="2"/>
        <v>-1.3550702616327479E-3</v>
      </c>
      <c r="AA75" s="416">
        <f t="shared" ca="1" si="0"/>
        <v>5.2138648256419E-2</v>
      </c>
      <c r="AB75" s="418">
        <f t="shared" ca="1" si="1"/>
        <v>5.1141006468074079E-3</v>
      </c>
      <c r="AC75" s="417">
        <f t="shared" ca="1" si="3"/>
        <v>-6.6082450887907897E-5</v>
      </c>
      <c r="AD75" s="220"/>
      <c r="AE75" s="220"/>
    </row>
    <row r="76" spans="1:31" customFormat="1" ht="14.5">
      <c r="A76" s="220"/>
      <c r="B76" s="267">
        <v>38</v>
      </c>
      <c r="C76" s="68" t="s">
        <v>543</v>
      </c>
      <c r="D76" s="246">
        <f t="shared" ca="1" si="5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7.8418987472976903E-5</v>
      </c>
      <c r="J76" s="403">
        <f ca="1"/>
        <v>4.5897458406683002E-4</v>
      </c>
      <c r="K76" s="403">
        <f ca="1"/>
        <v>0.170856928020133</v>
      </c>
      <c r="L76" s="403">
        <f ca="1"/>
        <v>0.170856928020133</v>
      </c>
      <c r="M76" s="403">
        <f ca="1"/>
        <v>-1.08468700272302E-4</v>
      </c>
      <c r="N76" s="693" t="str">
        <f ca="1"/>
        <v>CENTRICA PLC</v>
      </c>
      <c r="O76" s="403">
        <f ca="1"/>
        <v>0.240892102503904</v>
      </c>
      <c r="P76" s="403">
        <f ca="1"/>
        <v>0.76513346129672699</v>
      </c>
      <c r="Q76" s="403">
        <f ca="1"/>
        <v>0.31483671109566502</v>
      </c>
      <c r="R76" s="441">
        <f ca="1"/>
        <v>0.31483671109566502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-1.5929959259713099E-2</v>
      </c>
      <c r="U76" s="413">
        <f ca="1"/>
        <v>3.0996406779208601E-2</v>
      </c>
      <c r="V76" s="413">
        <f ca="1"/>
        <v>4.6926366038921703E-2</v>
      </c>
      <c r="W76" s="414">
        <f ca="1"/>
        <v>6.60532860215504E-3</v>
      </c>
      <c r="X76" s="415">
        <f ca="1"/>
        <v>4.6926366038921703</v>
      </c>
      <c r="Y76" s="416">
        <f t="shared" ca="1" si="4"/>
        <v>5.3457106073324885E-2</v>
      </c>
      <c r="Z76" s="417">
        <f t="shared" ca="1" si="2"/>
        <v>-1.6569782050880832E-3</v>
      </c>
      <c r="AA76" s="416">
        <f t="shared" ca="1" si="0"/>
        <v>5.6952309340044333E-2</v>
      </c>
      <c r="AB76" s="418">
        <f t="shared" ca="1" si="1"/>
        <v>6.2750621720472875E-3</v>
      </c>
      <c r="AC76" s="417">
        <f t="shared" ca="1" si="3"/>
        <v>-8.8265847365967008E-5</v>
      </c>
      <c r="AD76" s="220"/>
      <c r="AE76" s="220"/>
    </row>
    <row r="77" spans="1:31" customFormat="1" ht="14.5">
      <c r="A77" s="220"/>
      <c r="B77" s="267">
        <v>39</v>
      </c>
      <c r="C77" s="68" t="s">
        <v>544</v>
      </c>
      <c r="D77" s="246">
        <f t="shared" ca="1" si="5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6.6526518757981104E-5</v>
      </c>
      <c r="J77" s="403">
        <f ca="1"/>
        <v>4.7844084763460699E-4</v>
      </c>
      <c r="K77" s="403">
        <f ca="1"/>
        <v>0.13904857640581</v>
      </c>
      <c r="L77" s="403">
        <f ca="1"/>
        <v>0.13904857640581</v>
      </c>
      <c r="M77" s="403">
        <f ca="1"/>
        <v>-7.6614131749428406E-5</v>
      </c>
      <c r="N77" s="693" t="str">
        <f ca="1"/>
        <v>E.ON SE</v>
      </c>
      <c r="O77" s="403">
        <f ca="1"/>
        <v>0.242873498152408</v>
      </c>
      <c r="P77" s="403">
        <f ca="1"/>
        <v>0.776139327324055</v>
      </c>
      <c r="Q77" s="403">
        <f ca="1"/>
        <v>0.31292512774707398</v>
      </c>
      <c r="R77" s="441">
        <f ca="1"/>
        <v>0.31292512774707398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-2.75150813937419E-2</v>
      </c>
      <c r="U77" s="413">
        <f ca="1"/>
        <v>1.97150378855293E-2</v>
      </c>
      <c r="V77" s="413">
        <f ca="1"/>
        <v>4.7230119279271197E-2</v>
      </c>
      <c r="W77" s="414">
        <f ca="1"/>
        <v>4.1742511317734501E-3</v>
      </c>
      <c r="X77" s="415">
        <f ca="1"/>
        <v>4.7230119279271197</v>
      </c>
      <c r="Y77" s="416">
        <f t="shared" ca="1" si="4"/>
        <v>5.3457106073324885E-2</v>
      </c>
      <c r="Z77" s="417">
        <f t="shared" ca="1" si="2"/>
        <v>-1.0539088714863578E-3</v>
      </c>
      <c r="AA77" s="416">
        <f t="shared" ca="1" si="0"/>
        <v>4.6349525468603332E-2</v>
      </c>
      <c r="AB77" s="418">
        <f t="shared" ca="1" si="1"/>
        <v>3.9655385751847776E-3</v>
      </c>
      <c r="AC77" s="417">
        <f t="shared" ca="1" si="3"/>
        <v>-4.5689132529490958E-5</v>
      </c>
      <c r="AD77" s="220"/>
      <c r="AE77" s="220"/>
    </row>
    <row r="78" spans="1:31" customFormat="1" ht="14.5">
      <c r="A78" s="220"/>
      <c r="B78" s="267">
        <v>40</v>
      </c>
      <c r="C78" s="68" t="s">
        <v>560</v>
      </c>
      <c r="D78" s="246">
        <f t="shared" ca="1" si="5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7.7599757084687599E-5</v>
      </c>
      <c r="J78" s="403">
        <f ca="1"/>
        <v>4.5964182483914398E-4</v>
      </c>
      <c r="K78" s="403">
        <f ca="1"/>
        <v>0.168826579504257</v>
      </c>
      <c r="L78" s="403">
        <f ca="1"/>
        <v>0.168826579504257</v>
      </c>
      <c r="M78" s="403">
        <f ca="1"/>
        <v>-1.06190164663564E-4</v>
      </c>
      <c r="N78" s="693" t="str">
        <f ca="1"/>
        <v>EDP - ENERGIAS DE PORTUGAL S.A.</v>
      </c>
      <c r="O78" s="403">
        <f ca="1"/>
        <v>0.241036844530541</v>
      </c>
      <c r="P78" s="403">
        <f ca="1"/>
        <v>0.76585397978467795</v>
      </c>
      <c r="Q78" s="403">
        <f ca="1"/>
        <v>0.31472950574508901</v>
      </c>
      <c r="R78" s="441">
        <f ca="1"/>
        <v>0.31472950574508901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-1.6688399773344902E-2</v>
      </c>
      <c r="U78" s="413">
        <f ca="1"/>
        <v>3.01806238287795E-2</v>
      </c>
      <c r="V78" s="413">
        <f ca="1"/>
        <v>4.6869023602124402E-2</v>
      </c>
      <c r="W78" s="414">
        <f ca="1"/>
        <v>6.43935407850303E-3</v>
      </c>
      <c r="X78" s="415">
        <f ca="1"/>
        <v>4.6869023602124402</v>
      </c>
      <c r="Y78" s="416">
        <f t="shared" ca="1" si="4"/>
        <v>5.3457106073324885E-2</v>
      </c>
      <c r="Z78" s="417">
        <f t="shared" ca="1" si="2"/>
        <v>-1.6133688093741799E-3</v>
      </c>
      <c r="AA78" s="416">
        <f t="shared" ca="1" si="0"/>
        <v>5.6275526501419003E-2</v>
      </c>
      <c r="AB78" s="418">
        <f t="shared" ca="1" si="1"/>
        <v>6.1173863745778781E-3</v>
      </c>
      <c r="AC78" s="417">
        <f t="shared" ca="1" si="3"/>
        <v>-8.4921524805291911E-5</v>
      </c>
      <c r="AD78" s="220"/>
      <c r="AE78" s="220"/>
    </row>
    <row r="79" spans="1:31" customFormat="1" ht="14.5">
      <c r="A79" s="220"/>
      <c r="B79" s="267">
        <v>41</v>
      </c>
      <c r="C79" s="68" t="s">
        <v>545</v>
      </c>
      <c r="D79" s="246">
        <f t="shared" ca="1" si="5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7.9643753993625602E-5</v>
      </c>
      <c r="J79" s="403">
        <f ca="1"/>
        <v>4.57917434070569E-4</v>
      </c>
      <c r="K79" s="403">
        <f ca="1"/>
        <v>0.173926013879069</v>
      </c>
      <c r="L79" s="403">
        <f ca="1"/>
        <v>0.173926013879069</v>
      </c>
      <c r="M79" s="403">
        <f ca="1"/>
        <v>-1.11127518918128E-4</v>
      </c>
      <c r="N79" s="693" t="str">
        <f ca="1"/>
        <v>ELECTRICITE DE FRANCE</v>
      </c>
      <c r="O79" s="403">
        <f ca="1"/>
        <v>0.24061799994813801</v>
      </c>
      <c r="P79" s="403">
        <f ca="1"/>
        <v>0.76377398615629</v>
      </c>
      <c r="Q79" s="403">
        <f ca="1"/>
        <v>0.31503822375393198</v>
      </c>
      <c r="R79" s="441">
        <f ca="1"/>
        <v>0.31503822375393198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-1.4498932796095E-2</v>
      </c>
      <c r="U79" s="413">
        <f ca="1"/>
        <v>3.2342636623673301E-2</v>
      </c>
      <c r="V79" s="413">
        <f ca="1"/>
        <v>4.6841569419768303E-2</v>
      </c>
      <c r="W79" s="414">
        <f ca="1"/>
        <v>6.90468680368849E-3</v>
      </c>
      <c r="X79" s="415">
        <f ca="1"/>
        <v>4.6841569419768296</v>
      </c>
      <c r="Y79" s="416">
        <f t="shared" ca="1" si="4"/>
        <v>5.3457106073324885E-2</v>
      </c>
      <c r="Z79" s="417">
        <f t="shared" ca="1" si="2"/>
        <v>-1.728943756682703E-3</v>
      </c>
      <c r="AA79" s="416">
        <f t="shared" ca="1" si="0"/>
        <v>5.797533795968967E-2</v>
      </c>
      <c r="AB79" s="418">
        <f t="shared" ca="1" si="1"/>
        <v>6.5594524635040653E-3</v>
      </c>
      <c r="AC79" s="417">
        <f t="shared" ca="1" si="3"/>
        <v>-9.3753764438244701E-5</v>
      </c>
      <c r="AD79" s="220"/>
      <c r="AE79" s="220"/>
    </row>
    <row r="80" spans="1:31" customFormat="1" ht="14.5">
      <c r="A80" s="220"/>
      <c r="B80" s="267">
        <v>42</v>
      </c>
      <c r="C80" s="68" t="s">
        <v>546</v>
      </c>
      <c r="D80" s="246">
        <f t="shared" ca="1" si="5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7.7932221079852801E-5</v>
      </c>
      <c r="J80" s="403">
        <f ca="1"/>
        <v>4.5937791542776199E-4</v>
      </c>
      <c r="K80" s="403">
        <f ca="1"/>
        <v>0.169647295750568</v>
      </c>
      <c r="L80" s="403">
        <f ca="1"/>
        <v>0.169647295750568</v>
      </c>
      <c r="M80" s="403">
        <f ca="1"/>
        <v>-1.07446656361634E-4</v>
      </c>
      <c r="N80" s="693" t="str">
        <f ca="1"/>
        <v>ENEL S.P.A.</v>
      </c>
      <c r="O80" s="403">
        <f ca="1"/>
        <v>0.24099761034174699</v>
      </c>
      <c r="P80" s="403">
        <f ca="1"/>
        <v>0.76566619537465996</v>
      </c>
      <c r="Q80" s="403">
        <f ca="1"/>
        <v>0.31475545322178</v>
      </c>
      <c r="R80" s="441">
        <f ca="1"/>
        <v>0.31475545322178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-1.6490731973326199E-2</v>
      </c>
      <c r="U80" s="413">
        <f ca="1"/>
        <v>3.0479295043353501E-2</v>
      </c>
      <c r="V80" s="413">
        <f ca="1"/>
        <v>4.6970027016679697E-2</v>
      </c>
      <c r="W80" s="414">
        <f ca="1"/>
        <v>6.4890946374226797E-3</v>
      </c>
      <c r="X80" s="415">
        <f ca="1"/>
        <v>4.6970027016679703</v>
      </c>
      <c r="Y80" s="416">
        <f t="shared" ref="Y80:Y143" ca="1" si="6">IF($U$12,IF(T80="","",$U$13*D104/$C$18),"")</f>
        <v>5.3457106073324885E-2</v>
      </c>
      <c r="Z80" s="417">
        <f t="shared" ref="Z80:Z143" ca="1" si="7">IF($U$12,IF(Y80="","",Y80*($Z$10-W80)*X80),"")</f>
        <v>-1.6293349081727116E-3</v>
      </c>
      <c r="AA80" s="416">
        <f t="shared" ref="AA80:AA143" ca="1" si="8">IF($U$12,IF(OR(T80="",L80=""),"",L80/($C$20-$C$19)),"")</f>
        <v>5.6549098583522667E-2</v>
      </c>
      <c r="AB80" s="418">
        <f t="shared" ref="AB80:AB143" ca="1" si="9">IF($U$12,IF(W80="","",W80*$AC$10),"")</f>
        <v>6.1646399055515456E-3</v>
      </c>
      <c r="AC80" s="417">
        <f t="shared" ref="AC80:AC143" ca="1" si="10">IF($U$12,IF(AA80="","",AA80*(AB80-W80)*X80),"")</f>
        <v>-8.6178833008143462E-5</v>
      </c>
      <c r="AD80" s="220"/>
      <c r="AE80" s="220"/>
    </row>
    <row r="81" spans="1:31" customFormat="1" ht="14.5">
      <c r="A81" s="220"/>
      <c r="B81" s="267">
        <v>43</v>
      </c>
      <c r="C81" s="68" t="s">
        <v>561</v>
      </c>
      <c r="D81" s="246">
        <f t="shared" ca="1" si="5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6.9900048275406396E-5</v>
      </c>
      <c r="J81" s="403">
        <f ca="1"/>
        <v>4.7640119426163298E-4</v>
      </c>
      <c r="K81" s="403">
        <f ca="1"/>
        <v>0.14672517432233401</v>
      </c>
      <c r="L81" s="403">
        <f ca="1"/>
        <v>0.14672517432233401</v>
      </c>
      <c r="M81" s="403">
        <f ca="1"/>
        <v>-8.4371034196770696E-5</v>
      </c>
      <c r="N81" s="693" t="str">
        <f ca="1"/>
        <v>ENGIE</v>
      </c>
      <c r="O81" s="403">
        <f ca="1"/>
        <v>0.242498737759299</v>
      </c>
      <c r="P81" s="403">
        <f ca="1"/>
        <v>0.77383707391183498</v>
      </c>
      <c r="Q81" s="403">
        <f ca="1"/>
        <v>0.313371827138548</v>
      </c>
      <c r="R81" s="441">
        <f ca="1"/>
        <v>0.313371827138548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-2.5091656749299401E-2</v>
      </c>
      <c r="U81" s="413">
        <f ca="1"/>
        <v>2.20725428051631E-2</v>
      </c>
      <c r="V81" s="413">
        <f ca="1"/>
        <v>4.7164199554462501E-2</v>
      </c>
      <c r="W81" s="414">
        <f ca="1"/>
        <v>4.6799358440664197E-3</v>
      </c>
      <c r="X81" s="415">
        <f ca="1"/>
        <v>4.7164199554462503</v>
      </c>
      <c r="Y81" s="416">
        <f t="shared" ca="1" si="6"/>
        <v>5.3457106073324885E-2</v>
      </c>
      <c r="Z81" s="417">
        <f t="shared" ca="1" si="7"/>
        <v>-1.1799342620436052E-3</v>
      </c>
      <c r="AA81" s="416">
        <f t="shared" ca="1" si="8"/>
        <v>4.8908391440778E-2</v>
      </c>
      <c r="AB81" s="418">
        <f t="shared" ca="1" si="9"/>
        <v>4.4459390518630983E-3</v>
      </c>
      <c r="AC81" s="417">
        <f t="shared" ca="1" si="10"/>
        <v>-5.3976628180412221E-5</v>
      </c>
      <c r="AD81" s="220"/>
      <c r="AE81" s="220"/>
    </row>
    <row r="82" spans="1:31" customFormat="1" ht="14.5">
      <c r="A82" s="220"/>
      <c r="B82" s="267">
        <v>44</v>
      </c>
      <c r="C82" s="68" t="s">
        <v>547</v>
      </c>
      <c r="D82" s="246">
        <f t="shared" ca="1" si="5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7.4951097726299093E-5</v>
      </c>
      <c r="J82" s="403">
        <f ca="1"/>
        <v>4.61700891152811E-4</v>
      </c>
      <c r="K82" s="403">
        <f ca="1"/>
        <v>0.16233691370868999</v>
      </c>
      <c r="L82" s="403">
        <f ca="1"/>
        <v>0.16233691370868999</v>
      </c>
      <c r="M82" s="403">
        <f ca="1"/>
        <v>-1.0006471773678701E-4</v>
      </c>
      <c r="N82" s="693" t="str">
        <f ca="1"/>
        <v>ENI S.P.A.</v>
      </c>
      <c r="O82" s="403">
        <f ca="1"/>
        <v>0.24153684456275601</v>
      </c>
      <c r="P82" s="403">
        <f ca="1"/>
        <v>0.76844529312681698</v>
      </c>
      <c r="Q82" s="403">
        <f ca="1"/>
        <v>0.31431885486595701</v>
      </c>
      <c r="R82" s="441">
        <f ca="1"/>
        <v>0.31431885486595701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-1.9416098028228301E-2</v>
      </c>
      <c r="U82" s="413">
        <f ca="1"/>
        <v>2.7572448162317999E-2</v>
      </c>
      <c r="V82" s="413">
        <f ca="1"/>
        <v>4.69885461905463E-2</v>
      </c>
      <c r="W82" s="414">
        <f ca="1"/>
        <v>5.8679083303635696E-3</v>
      </c>
      <c r="X82" s="415">
        <f ca="1"/>
        <v>4.6988546190546296</v>
      </c>
      <c r="Y82" s="416">
        <f t="shared" ca="1" si="6"/>
        <v>5.3457106073324885E-2</v>
      </c>
      <c r="Z82" s="417">
        <f t="shared" ca="1" si="7"/>
        <v>-1.4739432861142852E-3</v>
      </c>
      <c r="AA82" s="416">
        <f t="shared" ca="1" si="8"/>
        <v>5.4112304569563334E-2</v>
      </c>
      <c r="AB82" s="418">
        <f t="shared" ca="1" si="9"/>
        <v>5.5745129138453911E-3</v>
      </c>
      <c r="AC82" s="417">
        <f t="shared" ca="1" si="10"/>
        <v>-7.4600435634392435E-5</v>
      </c>
      <c r="AD82" s="220"/>
      <c r="AE82" s="220"/>
    </row>
    <row r="83" spans="1:31" customFormat="1" ht="14.5">
      <c r="A83" s="220"/>
      <c r="B83" s="267">
        <v>45</v>
      </c>
      <c r="C83" s="68" t="s">
        <v>613</v>
      </c>
      <c r="D83" s="246">
        <f t="shared" ca="1" si="5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5.60097714903795E-5</v>
      </c>
      <c r="J83" s="403">
        <f ca="1"/>
        <v>4.8335585900506601E-4</v>
      </c>
      <c r="K83" s="403">
        <f ca="1"/>
        <v>0.115876885418684</v>
      </c>
      <c r="L83" s="403">
        <f ca="1"/>
        <v>0.115876885418684</v>
      </c>
      <c r="M83" s="403">
        <f ca="1"/>
        <v>-5.4208133942772401E-5</v>
      </c>
      <c r="N83" s="693" t="str">
        <f ca="1"/>
        <v>EQUINOR ASA</v>
      </c>
      <c r="O83" s="403">
        <f ca="1"/>
        <v>0.243718349740049</v>
      </c>
      <c r="P83" s="403">
        <f ca="1"/>
        <v>0.78201572011058196</v>
      </c>
      <c r="Q83" s="403">
        <f ca="1"/>
        <v>0.311654028777818</v>
      </c>
      <c r="R83" s="441">
        <f ca="1"/>
        <v>0.311654028777818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-3.3700758011138698E-2</v>
      </c>
      <c r="U83" s="413">
        <f ca="1"/>
        <v>1.3692644371873499E-2</v>
      </c>
      <c r="V83" s="413">
        <f ca="1"/>
        <v>4.7393402383012199E-2</v>
      </c>
      <c r="W83" s="414">
        <f ca="1"/>
        <v>2.88914567922676E-3</v>
      </c>
      <c r="X83" s="415">
        <f ca="1"/>
        <v>4.73934023830122</v>
      </c>
      <c r="Y83" s="416">
        <f t="shared" ca="1" si="6"/>
        <v>5.3457106073324885E-2</v>
      </c>
      <c r="Z83" s="417">
        <f t="shared" ca="1" si="7"/>
        <v>-7.319691426115562E-4</v>
      </c>
      <c r="AA83" s="416">
        <f t="shared" ca="1" si="8"/>
        <v>3.862562847289467E-2</v>
      </c>
      <c r="AB83" s="418">
        <f t="shared" ca="1" si="9"/>
        <v>2.7446883952654219E-3</v>
      </c>
      <c r="AC83" s="417">
        <f t="shared" ca="1" si="10"/>
        <v>-2.6444349715972909E-5</v>
      </c>
      <c r="AD83" s="220"/>
      <c r="AE83" s="220"/>
    </row>
    <row r="84" spans="1:31" customFormat="1" ht="14.5">
      <c r="A84" s="220"/>
      <c r="B84" s="267">
        <v>46</v>
      </c>
      <c r="C84" s="68" t="s">
        <v>562</v>
      </c>
      <c r="D84" s="246">
        <f t="shared" ca="1" si="5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7.0702756507314896E-5</v>
      </c>
      <c r="J84" s="403">
        <f ca="1"/>
        <v>4.7597483594421001E-4</v>
      </c>
      <c r="K84" s="403">
        <f ca="1"/>
        <v>0.14854305557364</v>
      </c>
      <c r="L84" s="403">
        <f ca="1"/>
        <v>0.14854305557364</v>
      </c>
      <c r="M84" s="403">
        <f ca="1"/>
        <v>-8.6308532235068695E-5</v>
      </c>
      <c r="N84" s="693" t="str">
        <f ca="1"/>
        <v>FORTUM OYJ</v>
      </c>
      <c r="O84" s="403">
        <f ca="1"/>
        <v>0.24240614679050199</v>
      </c>
      <c r="P84" s="403">
        <f ca="1"/>
        <v>0.77328645424962605</v>
      </c>
      <c r="Q84" s="403">
        <f ca="1"/>
        <v>0.31347522701108899</v>
      </c>
      <c r="R84" s="441">
        <f ca="1"/>
        <v>0.31347522701108899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-2.4512057104868999E-2</v>
      </c>
      <c r="U84" s="413">
        <f ca="1"/>
        <v>2.2657292001393301E-2</v>
      </c>
      <c r="V84" s="413">
        <f ca="1"/>
        <v>4.7169349106262297E-2</v>
      </c>
      <c r="W84" s="414">
        <f ca="1"/>
        <v>4.80339297248968E-3</v>
      </c>
      <c r="X84" s="415">
        <f ca="1"/>
        <v>4.7169349106262297</v>
      </c>
      <c r="Y84" s="416">
        <f t="shared" ca="1" si="6"/>
        <v>5.3457106073324885E-2</v>
      </c>
      <c r="Z84" s="417">
        <f t="shared" ca="1" si="7"/>
        <v>-1.2111932618527753E-3</v>
      </c>
      <c r="AA84" s="416">
        <f t="shared" ca="1" si="8"/>
        <v>4.9514351857880001E-2</v>
      </c>
      <c r="AB84" s="418">
        <f t="shared" ca="1" si="9"/>
        <v>4.5632233238651959E-3</v>
      </c>
      <c r="AC84" s="417">
        <f t="shared" ca="1" si="10"/>
        <v>-5.609305641518585E-5</v>
      </c>
      <c r="AD84" s="220"/>
      <c r="AE84" s="220"/>
    </row>
    <row r="85" spans="1:31" customFormat="1" ht="14.5">
      <c r="A85" s="220"/>
      <c r="B85" s="267">
        <v>47</v>
      </c>
      <c r="C85" s="68" t="s">
        <v>548</v>
      </c>
      <c r="D85" s="246">
        <f t="shared" ca="1" si="5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6.5923178442841597E-5</v>
      </c>
      <c r="J85" s="403">
        <f ca="1"/>
        <v>4.7883261927652199E-4</v>
      </c>
      <c r="K85" s="403">
        <f ca="1"/>
        <v>0.13767478611303899</v>
      </c>
      <c r="L85" s="403">
        <f ca="1"/>
        <v>0.13767478611303899</v>
      </c>
      <c r="M85" s="403">
        <f ca="1"/>
        <v>-7.5277285935357901E-5</v>
      </c>
      <c r="N85" s="693" t="str">
        <f ca="1"/>
        <v>IBERDROLA, S.A.</v>
      </c>
      <c r="O85" s="403">
        <f ca="1"/>
        <v>0.24293685527615</v>
      </c>
      <c r="P85" s="403">
        <f ca="1"/>
        <v>0.77654100540096505</v>
      </c>
      <c r="Q85" s="403">
        <f ca="1"/>
        <v>0.31284485118813499</v>
      </c>
      <c r="R85" s="441">
        <f ca="1"/>
        <v>0.31284485118813499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-2.7937900422068201E-2</v>
      </c>
      <c r="U85" s="413">
        <f ca="1"/>
        <v>1.9312895359405599E-2</v>
      </c>
      <c r="V85" s="413">
        <f ca="1"/>
        <v>4.7250795781473801E-2</v>
      </c>
      <c r="W85" s="414">
        <f ca="1"/>
        <v>4.0873164229284402E-3</v>
      </c>
      <c r="X85" s="415">
        <f ca="1"/>
        <v>4.7250795781473798</v>
      </c>
      <c r="Y85" s="416">
        <f t="shared" ca="1" si="6"/>
        <v>5.3457106073324885E-2</v>
      </c>
      <c r="Z85" s="417">
        <f t="shared" ca="1" si="7"/>
        <v>-1.0324114958107677E-3</v>
      </c>
      <c r="AA85" s="416">
        <f t="shared" ca="1" si="8"/>
        <v>4.5891595371012998E-2</v>
      </c>
      <c r="AB85" s="418">
        <f t="shared" ca="1" si="9"/>
        <v>3.8829506017820179E-3</v>
      </c>
      <c r="AC85" s="417">
        <f t="shared" ca="1" si="10"/>
        <v>-4.4314978963827825E-5</v>
      </c>
      <c r="AD85" s="220"/>
      <c r="AE85" s="220"/>
    </row>
    <row r="86" spans="1:31" customFormat="1" ht="14.5">
      <c r="A86" s="220"/>
      <c r="B86" s="267">
        <v>48</v>
      </c>
      <c r="C86" s="68" t="s">
        <v>563</v>
      </c>
      <c r="D86" s="246">
        <f t="shared" ca="1" si="5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7.6009214642476194E-5</v>
      </c>
      <c r="J86" s="403">
        <f ca="1"/>
        <v>4.60902718492981E-4</v>
      </c>
      <c r="K86" s="403">
        <f ca="1"/>
        <v>0.16491379111627799</v>
      </c>
      <c r="L86" s="403">
        <f ca="1"/>
        <v>0.16491379111627799</v>
      </c>
      <c r="M86" s="403">
        <f ca="1"/>
        <v>-1.02507734205774E-4</v>
      </c>
      <c r="N86" s="693" t="str">
        <f ca="1"/>
        <v>NATIONAL GRID PLC</v>
      </c>
      <c r="O86" s="403">
        <f ca="1"/>
        <v>0.24134485064244901</v>
      </c>
      <c r="P86" s="403">
        <f ca="1"/>
        <v>0.76743610903880799</v>
      </c>
      <c r="Q86" s="403">
        <f ca="1"/>
        <v>0.31448201068454601</v>
      </c>
      <c r="R86" s="441">
        <f ca="1"/>
        <v>0.31448201068454601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-1.8353798988218602E-2</v>
      </c>
      <c r="U86" s="413">
        <f ca="1"/>
        <v>2.8584642998823299E-2</v>
      </c>
      <c r="V86" s="413">
        <f ca="1"/>
        <v>4.6938441987041897E-2</v>
      </c>
      <c r="W86" s="414">
        <f ca="1"/>
        <v>6.0898150404554404E-3</v>
      </c>
      <c r="X86" s="415">
        <f ca="1"/>
        <v>4.6938441987041903</v>
      </c>
      <c r="Y86" s="416">
        <f t="shared" ca="1" si="6"/>
        <v>5.3457106073324885E-2</v>
      </c>
      <c r="Z86" s="417">
        <f t="shared" ca="1" si="7"/>
        <v>-1.5280522928562202E-3</v>
      </c>
      <c r="AA86" s="416">
        <f t="shared" ca="1" si="8"/>
        <v>5.4971263705425995E-2</v>
      </c>
      <c r="AB86" s="418">
        <f t="shared" ca="1" si="9"/>
        <v>5.785324288432668E-3</v>
      </c>
      <c r="AC86" s="417">
        <f t="shared" ca="1" si="10"/>
        <v>-7.8566697410688789E-5</v>
      </c>
      <c r="AD86" s="220"/>
      <c r="AE86" s="220"/>
    </row>
    <row r="87" spans="1:31" customFormat="1" ht="14.5">
      <c r="A87" s="220"/>
      <c r="B87" s="267">
        <v>49</v>
      </c>
      <c r="C87" s="68" t="s">
        <v>549</v>
      </c>
      <c r="D87" s="246">
        <f t="shared" ca="1" si="5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7.1468192896608802E-5</v>
      </c>
      <c r="J87" s="403">
        <f ca="1"/>
        <v>4.7524392025935898E-4</v>
      </c>
      <c r="K87" s="403">
        <f ca="1"/>
        <v>0.150382129786333</v>
      </c>
      <c r="L87" s="403">
        <f ca="1"/>
        <v>0.150382129786333</v>
      </c>
      <c r="M87" s="403">
        <f ca="1"/>
        <v>-8.7984347174452303E-5</v>
      </c>
      <c r="N87" s="693" t="str">
        <f ca="1"/>
        <v>NATURGY ENERGY GROUP, S.A.</v>
      </c>
      <c r="O87" s="403">
        <f ca="1"/>
        <v>0.24229495284126701</v>
      </c>
      <c r="P87" s="403">
        <f ca="1"/>
        <v>0.77264186582151595</v>
      </c>
      <c r="Q87" s="403">
        <f ca="1"/>
        <v>0.31359283460991999</v>
      </c>
      <c r="R87" s="441">
        <f ca="1"/>
        <v>0.31359283460991999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-2.3833542970016899E-2</v>
      </c>
      <c r="U87" s="413">
        <f ca="1"/>
        <v>2.3274498852273201E-2</v>
      </c>
      <c r="V87" s="413">
        <f ca="1"/>
        <v>4.71080418222901E-2</v>
      </c>
      <c r="W87" s="414">
        <f ca="1"/>
        <v>4.9406636217386498E-3</v>
      </c>
      <c r="X87" s="415">
        <f ca="1"/>
        <v>4.7108041822290101</v>
      </c>
      <c r="Y87" s="416">
        <f t="shared" ca="1" si="6"/>
        <v>5.3457106073324885E-2</v>
      </c>
      <c r="Z87" s="417">
        <f t="shared" ca="1" si="7"/>
        <v>-1.2441873539494445E-3</v>
      </c>
      <c r="AA87" s="416">
        <f t="shared" ca="1" si="8"/>
        <v>5.0127376595444334E-2</v>
      </c>
      <c r="AB87" s="418">
        <f t="shared" ca="1" si="9"/>
        <v>4.6936304406517172E-3</v>
      </c>
      <c r="AC87" s="417">
        <f t="shared" ca="1" si="10"/>
        <v>-5.8334478451906702E-5</v>
      </c>
      <c r="AD87" s="220"/>
      <c r="AE87" s="220"/>
    </row>
    <row r="88" spans="1:31" customFormat="1" ht="14.5">
      <c r="A88" s="220"/>
      <c r="B88" s="267">
        <v>50</v>
      </c>
      <c r="C88" s="68" t="s">
        <v>550</v>
      </c>
      <c r="D88" s="246">
        <f t="shared" ca="1" si="5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7.7212965039747894E-5</v>
      </c>
      <c r="J88" s="403">
        <f ca="1"/>
        <v>4.5995621245369399E-4</v>
      </c>
      <c r="K88" s="403">
        <f ca="1"/>
        <v>0.167870251448166</v>
      </c>
      <c r="L88" s="403">
        <f ca="1"/>
        <v>0.167870251448166</v>
      </c>
      <c r="M88" s="403">
        <f ca="1"/>
        <v>-1.05313205952051E-4</v>
      </c>
      <c r="N88" s="693" t="str">
        <f ca="1"/>
        <v>REPSOL, S.A.</v>
      </c>
      <c r="O88" s="403">
        <f ca="1"/>
        <v>0.241115209259705</v>
      </c>
      <c r="P88" s="403">
        <f ca="1"/>
        <v>0.76625259886477803</v>
      </c>
      <c r="Q88" s="403">
        <f ca="1"/>
        <v>0.31466804760848199</v>
      </c>
      <c r="R88" s="441">
        <f ca="1"/>
        <v>0.31466804760848199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-1.71079988050294E-2</v>
      </c>
      <c r="U88" s="413">
        <f ca="1"/>
        <v>2.97816706613078E-2</v>
      </c>
      <c r="V88" s="413">
        <f ca="1"/>
        <v>4.68896694663372E-2</v>
      </c>
      <c r="W88" s="414">
        <f ca="1"/>
        <v>6.3514354014989399E-3</v>
      </c>
      <c r="X88" s="415">
        <f ca="1"/>
        <v>4.6889669466337196</v>
      </c>
      <c r="Y88" s="416">
        <f t="shared" ca="1" si="6"/>
        <v>5.3457106073324885E-2</v>
      </c>
      <c r="Z88" s="417">
        <f t="shared" ca="1" si="7"/>
        <v>-1.5920419275823586E-3</v>
      </c>
      <c r="AA88" s="416">
        <f t="shared" ca="1" si="8"/>
        <v>5.5956750482722001E-2</v>
      </c>
      <c r="AB88" s="418">
        <f t="shared" ca="1" si="9"/>
        <v>6.0338636314239925E-3</v>
      </c>
      <c r="AC88" s="417">
        <f t="shared" ca="1" si="10"/>
        <v>-8.332427570767024E-5</v>
      </c>
      <c r="AD88" s="220"/>
      <c r="AE88" s="220"/>
    </row>
    <row r="89" spans="1:31" customFormat="1" ht="14.5">
      <c r="A89" s="220"/>
      <c r="B89" s="267">
        <v>51</v>
      </c>
      <c r="C89" s="68" t="s">
        <v>551</v>
      </c>
      <c r="D89" s="246">
        <f t="shared" ca="1" si="5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5.9669956014047902E-5</v>
      </c>
      <c r="J89" s="403">
        <f ca="1"/>
        <v>4.8188897141271798E-4</v>
      </c>
      <c r="K89" s="403">
        <f ca="1"/>
        <v>0.12382511232643099</v>
      </c>
      <c r="L89" s="403">
        <f ca="1"/>
        <v>0.12382511232643099</v>
      </c>
      <c r="M89" s="403">
        <f ca="1"/>
        <v>-6.1672081620354195E-5</v>
      </c>
      <c r="N89" s="693" t="str">
        <f ca="1"/>
        <v>SHELL PLC</v>
      </c>
      <c r="O89" s="403">
        <f ca="1"/>
        <v>0.243472019356059</v>
      </c>
      <c r="P89" s="403">
        <f ca="1"/>
        <v>0.78017124019182105</v>
      </c>
      <c r="Q89" s="403">
        <f ca="1"/>
        <v>0.31207510199452698</v>
      </c>
      <c r="R89" s="441">
        <f ca="1"/>
        <v>0.31207510199452698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-3.1759200201917102E-2</v>
      </c>
      <c r="U89" s="413">
        <f ca="1"/>
        <v>1.5589169111604901E-2</v>
      </c>
      <c r="V89" s="413">
        <f ca="1"/>
        <v>4.7348369313522001E-2</v>
      </c>
      <c r="W89" s="414">
        <f ca="1"/>
        <v>3.29244055024993E-3</v>
      </c>
      <c r="X89" s="415">
        <f ca="1"/>
        <v>4.7348369313522003</v>
      </c>
      <c r="Y89" s="416">
        <f t="shared" ca="1" si="6"/>
        <v>5.3457106073324885E-2</v>
      </c>
      <c r="Z89" s="417">
        <f t="shared" ca="1" si="7"/>
        <v>-8.3335186679406455E-4</v>
      </c>
      <c r="AA89" s="416">
        <f t="shared" ca="1" si="8"/>
        <v>4.1275037442143662E-2</v>
      </c>
      <c r="AB89" s="418">
        <f t="shared" ca="1" si="9"/>
        <v>3.1278185227374333E-3</v>
      </c>
      <c r="AC89" s="417">
        <f t="shared" ca="1" si="10"/>
        <v>-3.2172176938670194E-5</v>
      </c>
      <c r="AD89" s="220"/>
      <c r="AE89" s="220"/>
    </row>
    <row r="90" spans="1:31" customFormat="1" ht="14.5">
      <c r="A90" s="220"/>
      <c r="B90" s="267">
        <v>52</v>
      </c>
      <c r="C90" s="68" t="s">
        <v>552</v>
      </c>
      <c r="D90" s="246">
        <f t="shared" ca="1" si="5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5.8154479319756397E-5</v>
      </c>
      <c r="J90" s="403">
        <f ca="1"/>
        <v>4.8261804842632299E-4</v>
      </c>
      <c r="K90" s="403">
        <f ca="1"/>
        <v>0.120497937259871</v>
      </c>
      <c r="L90" s="403">
        <f ca="1"/>
        <v>0.120497937259871</v>
      </c>
      <c r="M90" s="403">
        <f ca="1"/>
        <v>-5.8573000780179899E-5</v>
      </c>
      <c r="N90" s="693" t="str">
        <f ca="1"/>
        <v>TOTALENERGIES SE</v>
      </c>
      <c r="O90" s="403">
        <f ca="1"/>
        <v>0.24358253158245499</v>
      </c>
      <c r="P90" s="403">
        <f ca="1"/>
        <v>0.78097549944519595</v>
      </c>
      <c r="Q90" s="403">
        <f ca="1"/>
        <v>0.31189522815439902</v>
      </c>
      <c r="R90" s="441">
        <f ca="1"/>
        <v>0.31189522815439902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-3.2605788889679597E-2</v>
      </c>
      <c r="U90" s="413">
        <f ca="1"/>
        <v>1.47762369066828E-2</v>
      </c>
      <c r="V90" s="413">
        <f ca="1"/>
        <v>4.7382025796362401E-2</v>
      </c>
      <c r="W90" s="414">
        <f ca="1"/>
        <v>3.1185321138838301E-3</v>
      </c>
      <c r="X90" s="415">
        <f ca="1"/>
        <v>4.7382025796362397</v>
      </c>
      <c r="Y90" s="416">
        <f t="shared" ca="1" si="6"/>
        <v>5.3457106073324885E-2</v>
      </c>
      <c r="Z90" s="417">
        <f t="shared" ca="1" si="7"/>
        <v>-7.8989486368512144E-4</v>
      </c>
      <c r="AA90" s="416">
        <f t="shared" ca="1" si="8"/>
        <v>4.0165979086623664E-2</v>
      </c>
      <c r="AB90" s="418">
        <f t="shared" ca="1" si="9"/>
        <v>2.9626055081896385E-3</v>
      </c>
      <c r="AC90" s="417">
        <f t="shared" ca="1" si="10"/>
        <v>-2.9675101128640973E-5</v>
      </c>
      <c r="AD90" s="220"/>
      <c r="AE90" s="220"/>
    </row>
    <row r="91" spans="1:31" customFormat="1" ht="14.5">
      <c r="A91" s="220"/>
      <c r="B91" s="267">
        <v>53</v>
      </c>
      <c r="C91" s="68" t="s">
        <v>553</v>
      </c>
      <c r="D91" s="246">
        <f t="shared" ca="1" si="5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6.8652292062956196E-5</v>
      </c>
      <c r="J91" s="403">
        <f ca="1"/>
        <v>4.7724220260529101E-4</v>
      </c>
      <c r="K91" s="403">
        <f ca="1"/>
        <v>0.143852097924659</v>
      </c>
      <c r="L91" s="403">
        <f ca="1"/>
        <v>0.143852097924659</v>
      </c>
      <c r="M91" s="403">
        <f ca="1"/>
        <v>-8.1504717993490303E-5</v>
      </c>
      <c r="N91" s="693" t="str">
        <f ca="1"/>
        <v>VEOLIA ENVIRONNEMENT</v>
      </c>
      <c r="O91" s="403">
        <f ca="1"/>
        <v>0.24264757639106699</v>
      </c>
      <c r="P91" s="403">
        <f ca="1"/>
        <v>0.77473311122983801</v>
      </c>
      <c r="Q91" s="403">
        <f ca="1"/>
        <v>0.31320150497489402</v>
      </c>
      <c r="R91" s="441">
        <f ca="1"/>
        <v>0.31320150497489402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-2.60348539261453E-2</v>
      </c>
      <c r="U91" s="413">
        <f ca="1"/>
        <v>2.1165092922119599E-2</v>
      </c>
      <c r="V91" s="413">
        <f ca="1"/>
        <v>4.7199946848264902E-2</v>
      </c>
      <c r="W91" s="414">
        <f ca="1"/>
        <v>4.48413490594801E-3</v>
      </c>
      <c r="X91" s="415">
        <f ca="1"/>
        <v>4.7199946848264904</v>
      </c>
      <c r="Y91" s="416">
        <f t="shared" ca="1" si="6"/>
        <v>5.3457106073324885E-2</v>
      </c>
      <c r="Z91" s="417">
        <f t="shared" ca="1" si="7"/>
        <v>-1.1314246173895221E-3</v>
      </c>
      <c r="AA91" s="416">
        <f t="shared" ca="1" si="8"/>
        <v>4.7950699308219664E-2</v>
      </c>
      <c r="AB91" s="418">
        <f t="shared" ca="1" si="9"/>
        <v>4.2599281606506096E-3</v>
      </c>
      <c r="AC91" s="417">
        <f t="shared" ca="1" si="10"/>
        <v>-5.0744050326954098E-5</v>
      </c>
      <c r="AD91" s="220"/>
      <c r="AE91" s="220"/>
    </row>
    <row r="92" spans="1:31" customFormat="1" ht="14.5">
      <c r="A92" s="220"/>
      <c r="B92" s="267">
        <v>54</v>
      </c>
      <c r="C92" s="68" t="s">
        <v>554</v>
      </c>
      <c r="D92" s="246">
        <f t="shared" ca="1" si="5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6.1340095792141694E-5</v>
      </c>
      <c r="J92" s="403">
        <f ca="1"/>
        <v>4.81041173276216E-4</v>
      </c>
      <c r="K92" s="403">
        <f ca="1"/>
        <v>0.12751527145664901</v>
      </c>
      <c r="L92" s="403">
        <f ca="1"/>
        <v>0.12751527145664901</v>
      </c>
      <c r="M92" s="403">
        <f ca="1"/>
        <v>-6.5163902864713303E-5</v>
      </c>
      <c r="N92" s="693" t="str">
        <f ca="1"/>
        <v>BERTELSMANN SE &amp; CO. KGAA</v>
      </c>
      <c r="O92" s="403">
        <f ca="1"/>
        <v>0.24334032129324701</v>
      </c>
      <c r="P92" s="403">
        <f ca="1"/>
        <v>0.77924215593325996</v>
      </c>
      <c r="Q92" s="403">
        <f ca="1"/>
        <v>0.31227817879258601</v>
      </c>
      <c r="R92" s="441">
        <f ca="1"/>
        <v>0.31227817879258601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-3.07812167718521E-2</v>
      </c>
      <c r="U92" s="413">
        <f ca="1"/>
        <v>1.65277484179173E-2</v>
      </c>
      <c r="V92" s="413">
        <f ca="1"/>
        <v>4.7308965189769403E-2</v>
      </c>
      <c r="W92" s="414">
        <f ca="1"/>
        <v>3.4935763975432301E-3</v>
      </c>
      <c r="X92" s="415">
        <f ca="1"/>
        <v>4.7308965189769401</v>
      </c>
      <c r="Y92" s="416">
        <f t="shared" ca="1" si="6"/>
        <v>5.3457106073324885E-2</v>
      </c>
      <c r="Z92" s="417">
        <f t="shared" ca="1" si="7"/>
        <v>-8.835256003298309E-4</v>
      </c>
      <c r="AA92" s="416">
        <f t="shared" ca="1" si="8"/>
        <v>4.2505090485549672E-2</v>
      </c>
      <c r="AB92" s="418">
        <f t="shared" ca="1" si="9"/>
        <v>3.3188975776660685E-3</v>
      </c>
      <c r="AC92" s="417">
        <f t="shared" ca="1" si="10"/>
        <v>-3.5125672101298694E-5</v>
      </c>
      <c r="AD92" s="220"/>
      <c r="AE92" s="220"/>
    </row>
    <row r="93" spans="1:31" customFormat="1" ht="14.5">
      <c r="A93" s="220"/>
      <c r="B93" s="267">
        <v>55</v>
      </c>
      <c r="C93" s="68" t="s">
        <v>555</v>
      </c>
      <c r="D93" s="246">
        <f t="shared" ca="1" si="5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8.2785914023324504E-5</v>
      </c>
      <c r="J93" s="403">
        <f ca="1"/>
        <v>4.5496938821315103E-4</v>
      </c>
      <c r="K93" s="403">
        <f ca="1"/>
        <v>0.18195930576441299</v>
      </c>
      <c r="L93" s="403">
        <f ca="1"/>
        <v>0.18195930576441299</v>
      </c>
      <c r="M93" s="403">
        <f ca="1"/>
        <v>-1.18625870267968E-4</v>
      </c>
      <c r="N93" s="693" t="str">
        <f ca="1"/>
        <v>BRITISH TELECOMMUNICATIONS PUBLIC LIMITED COMPANY</v>
      </c>
      <c r="O93" s="403">
        <f ca="1"/>
        <v>0.239876506670997</v>
      </c>
      <c r="P93" s="403">
        <f ca="1"/>
        <v>0.76027114012185104</v>
      </c>
      <c r="Q93" s="403">
        <f ca="1"/>
        <v>0.31551441849094902</v>
      </c>
      <c r="R93" s="441">
        <f ca="1"/>
        <v>0.31551441849094902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-1.08117264440533E-2</v>
      </c>
      <c r="U93" s="413">
        <f ca="1"/>
        <v>3.6025650663221297E-2</v>
      </c>
      <c r="V93" s="413">
        <f ca="1"/>
        <v>4.6837377107274598E-2</v>
      </c>
      <c r="W93" s="414">
        <f ca="1"/>
        <v>7.6916456232614004E-3</v>
      </c>
      <c r="X93" s="415">
        <f ca="1"/>
        <v>4.6837377107274598</v>
      </c>
      <c r="Y93" s="416">
        <f t="shared" ca="1" si="6"/>
        <v>5.3457106073324885E-2</v>
      </c>
      <c r="Z93" s="417">
        <f t="shared" ca="1" si="7"/>
        <v>-1.9258270288643646E-3</v>
      </c>
      <c r="AA93" s="416">
        <f t="shared" ca="1" si="8"/>
        <v>6.0653101921470998E-2</v>
      </c>
      <c r="AB93" s="418">
        <f t="shared" ca="1" si="9"/>
        <v>7.3070633420983296E-3</v>
      </c>
      <c r="AC93" s="417">
        <f t="shared" ca="1" si="10"/>
        <v>-1.0925337307318356E-4</v>
      </c>
      <c r="AD93" s="220"/>
      <c r="AE93" s="220"/>
    </row>
    <row r="94" spans="1:31" customFormat="1" ht="14.5">
      <c r="A94" s="220"/>
      <c r="B94" s="267">
        <v>56</v>
      </c>
      <c r="C94" s="68" t="s">
        <v>556</v>
      </c>
      <c r="D94" s="246">
        <f t="shared" ca="1" si="5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6.0263305018371003E-5</v>
      </c>
      <c r="J94" s="403">
        <f ca="1"/>
        <v>4.81476821654935E-4</v>
      </c>
      <c r="K94" s="403">
        <f ca="1"/>
        <v>0.125163460228955</v>
      </c>
      <c r="L94" s="403">
        <f ca="1"/>
        <v>0.125163460228955</v>
      </c>
      <c r="M94" s="403">
        <f ca="1"/>
        <v>-6.2859100104011305E-5</v>
      </c>
      <c r="N94" s="693" t="str">
        <f ca="1"/>
        <v>DEUTSCHE TELEKOM AG</v>
      </c>
      <c r="O94" s="403">
        <f ca="1"/>
        <v>0.243421970710821</v>
      </c>
      <c r="P94" s="403">
        <f ca="1"/>
        <v>0.77982172064993505</v>
      </c>
      <c r="Q94" s="403">
        <f ca="1"/>
        <v>0.31215079583567301</v>
      </c>
      <c r="R94" s="441">
        <f ca="1"/>
        <v>0.31215079583567301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-3.1391284894668997E-2</v>
      </c>
      <c r="U94" s="413">
        <f ca="1"/>
        <v>1.5926152661710501E-2</v>
      </c>
      <c r="V94" s="413">
        <f ca="1"/>
        <v>4.7317437556379502E-2</v>
      </c>
      <c r="W94" s="414">
        <f ca="1"/>
        <v>3.36581046738515E-3</v>
      </c>
      <c r="X94" s="415">
        <f ca="1"/>
        <v>4.7317437556379502</v>
      </c>
      <c r="Y94" s="416">
        <f t="shared" ca="1" si="6"/>
        <v>5.3457106073324885E-2</v>
      </c>
      <c r="Z94" s="417">
        <f t="shared" ca="1" si="7"/>
        <v>-8.5136603217702547E-4</v>
      </c>
      <c r="AA94" s="416">
        <f t="shared" ca="1" si="8"/>
        <v>4.1721153409651664E-2</v>
      </c>
      <c r="AB94" s="418">
        <f t="shared" ca="1" si="9"/>
        <v>3.1975199440158922E-3</v>
      </c>
      <c r="AC94" s="417">
        <f t="shared" ca="1" si="10"/>
        <v>-3.322287292123794E-5</v>
      </c>
      <c r="AD94" s="220"/>
      <c r="AE94" s="220"/>
    </row>
    <row r="95" spans="1:31" customFormat="1" ht="14.5">
      <c r="A95" s="220"/>
      <c r="B95" s="267">
        <v>57</v>
      </c>
      <c r="C95" s="68" t="s">
        <v>564</v>
      </c>
      <c r="D95" s="246">
        <f t="shared" ca="1" si="5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9.4341523608287801E-5</v>
      </c>
      <c r="J95" s="403">
        <f ca="1"/>
        <v>4.6012251528535999E-4</v>
      </c>
      <c r="K95" s="403">
        <f ca="1"/>
        <v>0.20503566001280901</v>
      </c>
      <c r="L95" s="403">
        <f ca="1"/>
        <v>0.20503566001280901</v>
      </c>
      <c r="M95" s="403">
        <f ca="1"/>
        <v>-1.3321797826351599E-4</v>
      </c>
      <c r="N95" s="693" t="str">
        <f ca="1"/>
        <v>ITV PLC</v>
      </c>
      <c r="O95" s="403">
        <f ca="1"/>
        <v>0.236879369083278</v>
      </c>
      <c r="P95" s="403">
        <f ca="1"/>
        <v>0.74749419647537496</v>
      </c>
      <c r="Q95" s="403">
        <f ca="1"/>
        <v>0.316897937402356</v>
      </c>
      <c r="R95" s="441">
        <f ca="1"/>
        <v>0.316897937402356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2.6376879206578001E-3</v>
      </c>
      <c r="U95" s="413">
        <f ca="1"/>
        <v>4.9143283526599899E-2</v>
      </c>
      <c r="V95" s="413">
        <f ca="1"/>
        <v>4.6505595605942099E-2</v>
      </c>
      <c r="W95" s="414">
        <f ca="1"/>
        <v>1.05671764625934E-2</v>
      </c>
      <c r="X95" s="415">
        <f ca="1"/>
        <v>4.6505595605942096</v>
      </c>
      <c r="Y95" s="416">
        <f t="shared" ca="1" si="6"/>
        <v>5.3457106073324885E-2</v>
      </c>
      <c r="Z95" s="417">
        <f t="shared" ca="1" si="7"/>
        <v>-2.6270577202729272E-3</v>
      </c>
      <c r="AA95" s="416">
        <f t="shared" ca="1" si="8"/>
        <v>6.8345220004269666E-2</v>
      </c>
      <c r="AB95" s="418">
        <f t="shared" ca="1" si="9"/>
        <v>1.003881763946373E-2</v>
      </c>
      <c r="AC95" s="417">
        <f t="shared" ca="1" si="10"/>
        <v>-1.6793542621788333E-4</v>
      </c>
      <c r="AD95" s="220"/>
      <c r="AE95" s="220"/>
    </row>
    <row r="96" spans="1:31" customFormat="1" ht="14.5">
      <c r="A96" s="220"/>
      <c r="B96" s="267">
        <v>58</v>
      </c>
      <c r="C96" s="68" t="s">
        <v>557</v>
      </c>
      <c r="D96" s="246">
        <f t="shared" ca="1" si="5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7.0919735926189295E-5</v>
      </c>
      <c r="J96" s="403">
        <f ca="1"/>
        <v>4.75761308226945E-4</v>
      </c>
      <c r="K96" s="403">
        <f ca="1"/>
        <v>0.149065791395461</v>
      </c>
      <c r="L96" s="403">
        <f ca="1"/>
        <v>0.149065791395461</v>
      </c>
      <c r="M96" s="403">
        <f ca="1"/>
        <v>-8.6776351085258099E-5</v>
      </c>
      <c r="N96" s="693" t="str">
        <f ca="1"/>
        <v>KONINKLIJKE KPN N.V.</v>
      </c>
      <c r="O96" s="403">
        <f ca="1"/>
        <v>0.242374696614819</v>
      </c>
      <c r="P96" s="403">
        <f ca="1"/>
        <v>0.77310324641816897</v>
      </c>
      <c r="Q96" s="403">
        <f ca="1"/>
        <v>0.31350883305400001</v>
      </c>
      <c r="R96" s="441">
        <f ca="1"/>
        <v>0.31350883305400001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-2.4319206755967802E-2</v>
      </c>
      <c r="U96" s="413">
        <f ca="1"/>
        <v>2.2830867457174098E-2</v>
      </c>
      <c r="V96" s="413">
        <f ca="1"/>
        <v>4.71500742131419E-2</v>
      </c>
      <c r="W96" s="414">
        <f ca="1"/>
        <v>4.8421699940422499E-3</v>
      </c>
      <c r="X96" s="415">
        <f ca="1"/>
        <v>4.7150074213141897</v>
      </c>
      <c r="Y96" s="416">
        <f t="shared" ca="1" si="6"/>
        <v>5.3457106073324885E-2</v>
      </c>
      <c r="Z96" s="417">
        <f t="shared" ca="1" si="7"/>
        <v>-1.2204721034041767E-3</v>
      </c>
      <c r="AA96" s="416">
        <f t="shared" ca="1" si="8"/>
        <v>4.9688597131820333E-2</v>
      </c>
      <c r="AB96" s="418">
        <f t="shared" ca="1" si="9"/>
        <v>4.6000614943401373E-3</v>
      </c>
      <c r="AC96" s="417">
        <f t="shared" ca="1" si="10"/>
        <v>-5.6721688762475562E-5</v>
      </c>
      <c r="AD96" s="220"/>
      <c r="AE96" s="220"/>
    </row>
    <row r="97" spans="1:31" customFormat="1" ht="14.5">
      <c r="A97" s="220"/>
      <c r="B97" s="267">
        <v>59</v>
      </c>
      <c r="C97" s="68" t="s">
        <v>558</v>
      </c>
      <c r="D97" s="246">
        <f t="shared" ca="1" si="5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5.93335379924609E-5</v>
      </c>
      <c r="J97" s="403">
        <f ca="1"/>
        <v>4.8218258165138699E-4</v>
      </c>
      <c r="K97" s="403">
        <f ca="1"/>
        <v>0.123052014424193</v>
      </c>
      <c r="L97" s="403">
        <f ca="1"/>
        <v>0.123052014424193</v>
      </c>
      <c r="M97" s="403">
        <f ca="1"/>
        <v>-6.1034717884971302E-5</v>
      </c>
      <c r="N97" s="693" t="str">
        <f ca="1"/>
        <v>ORANGE</v>
      </c>
      <c r="O97" s="403">
        <f ca="1"/>
        <v>0.24350169884466999</v>
      </c>
      <c r="P97" s="403">
        <f ca="1"/>
        <v>0.78037733963701394</v>
      </c>
      <c r="Q97" s="403">
        <f ca="1"/>
        <v>0.31203071447196701</v>
      </c>
      <c r="R97" s="441">
        <f ca="1"/>
        <v>0.31203071447196701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-3.1976146986330001E-2</v>
      </c>
      <c r="U97" s="413">
        <f ca="1"/>
        <v>1.5399397269863601E-2</v>
      </c>
      <c r="V97" s="413">
        <f ca="1"/>
        <v>4.73755442561936E-2</v>
      </c>
      <c r="W97" s="414">
        <f ca="1"/>
        <v>3.25049506272434E-3</v>
      </c>
      <c r="X97" s="415">
        <f ca="1"/>
        <v>4.7375544256193596</v>
      </c>
      <c r="Y97" s="416">
        <f t="shared" ca="1" si="6"/>
        <v>5.3457106073324885E-2</v>
      </c>
      <c r="Z97" s="417">
        <f t="shared" ca="1" si="7"/>
        <v>-8.2320721332036675E-4</v>
      </c>
      <c r="AA97" s="416">
        <f t="shared" ca="1" si="8"/>
        <v>4.1017338141397665E-2</v>
      </c>
      <c r="AB97" s="418">
        <f t="shared" ca="1" si="9"/>
        <v>3.0879703095881227E-3</v>
      </c>
      <c r="AC97" s="417">
        <f t="shared" ca="1" si="10"/>
        <v>-3.1582114249585565E-5</v>
      </c>
      <c r="AD97" s="220"/>
      <c r="AE97" s="220"/>
    </row>
    <row r="98" spans="1:31" customFormat="1" ht="14.5">
      <c r="A98" s="220"/>
      <c r="B98" s="267">
        <v>60</v>
      </c>
      <c r="C98" s="68" t="s">
        <v>559</v>
      </c>
      <c r="D98" s="246">
        <f t="shared" ca="1" si="5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7.4009510433221693E-5</v>
      </c>
      <c r="J98" s="403">
        <f ca="1"/>
        <v>4.6238407834729402E-4</v>
      </c>
      <c r="K98" s="403">
        <f ca="1"/>
        <v>0.16006068093381401</v>
      </c>
      <c r="L98" s="403">
        <f ca="1"/>
        <v>0.16006068093381401</v>
      </c>
      <c r="M98" s="403">
        <f ca="1"/>
        <v>-9.7954452115460702E-5</v>
      </c>
      <c r="N98" s="693" t="str">
        <f ca="1"/>
        <v>PEARSON PLC</v>
      </c>
      <c r="O98" s="403">
        <f ca="1"/>
        <v>0.241702160266491</v>
      </c>
      <c r="P98" s="403">
        <f ca="1"/>
        <v>0.769329836006724</v>
      </c>
      <c r="Q98" s="403">
        <f ca="1"/>
        <v>0.314172347092462</v>
      </c>
      <c r="R98" s="441">
        <f ca="1"/>
        <v>0.314172347092462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-2.0347195796551001E-2</v>
      </c>
      <c r="U98" s="413">
        <f ca="1"/>
        <v>2.6700933893383801E-2</v>
      </c>
      <c r="V98" s="413">
        <f ca="1"/>
        <v>4.7048129689934798E-2</v>
      </c>
      <c r="W98" s="414">
        <f ca="1"/>
        <v>5.6752381166590799E-3</v>
      </c>
      <c r="X98" s="415">
        <f ca="1"/>
        <v>4.7048129689934797</v>
      </c>
      <c r="Y98" s="416">
        <f t="shared" ca="1" si="6"/>
        <v>5.3457106073324885E-2</v>
      </c>
      <c r="Z98" s="417">
        <f t="shared" ca="1" si="7"/>
        <v>-1.4273546553954519E-3</v>
      </c>
      <c r="AA98" s="416">
        <f t="shared" ca="1" si="8"/>
        <v>5.3353560311271336E-2</v>
      </c>
      <c r="AB98" s="418">
        <f t="shared" ca="1" si="9"/>
        <v>5.3914762108261257E-3</v>
      </c>
      <c r="AC98" s="417">
        <f t="shared" ca="1" si="10"/>
        <v>-7.1229494342396043E-5</v>
      </c>
      <c r="AD98" s="220"/>
      <c r="AE98" s="220"/>
    </row>
    <row r="99" spans="1:31" customFormat="1" ht="14.5">
      <c r="A99" s="220"/>
      <c r="B99" s="267">
        <v>61</v>
      </c>
      <c r="C99" s="68" t="s">
        <v>565</v>
      </c>
      <c r="D99" s="246">
        <f t="shared" ca="1" si="5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7.0392049192300406E-5</v>
      </c>
      <c r="J99" s="403">
        <f ca="1"/>
        <v>4.76229127896031E-4</v>
      </c>
      <c r="K99" s="403">
        <f ca="1"/>
        <v>0.147811305669796</v>
      </c>
      <c r="L99" s="403">
        <f ca="1"/>
        <v>0.147811305669796</v>
      </c>
      <c r="M99" s="403">
        <f ca="1"/>
        <v>-8.5610419729298398E-5</v>
      </c>
      <c r="N99" s="693" t="str">
        <f ca="1"/>
        <v>PUBLICIS GROUPE SA</v>
      </c>
      <c r="O99" s="403">
        <f ca="1"/>
        <v>0.24244751372576201</v>
      </c>
      <c r="P99" s="403">
        <f ca="1"/>
        <v>0.77352951866878605</v>
      </c>
      <c r="Q99" s="403">
        <f ca="1"/>
        <v>0.31343020256422099</v>
      </c>
      <c r="R99" s="441">
        <f ca="1"/>
        <v>0.31343020256422099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-2.4767914388195599E-2</v>
      </c>
      <c r="U99" s="413">
        <f ca="1"/>
        <v>2.2418246522964601E-2</v>
      </c>
      <c r="V99" s="413">
        <f ca="1"/>
        <v>4.7186160911160201E-2</v>
      </c>
      <c r="W99" s="414">
        <f ca="1"/>
        <v>4.75102150504946E-3</v>
      </c>
      <c r="X99" s="415">
        <f ca="1"/>
        <v>4.7186160911160204</v>
      </c>
      <c r="Y99" s="416">
        <f t="shared" ca="1" si="6"/>
        <v>5.3457106073324885E-2</v>
      </c>
      <c r="Z99" s="417">
        <f t="shared" ca="1" si="7"/>
        <v>-1.1984145823560673E-3</v>
      </c>
      <c r="AA99" s="416">
        <f t="shared" ca="1" si="8"/>
        <v>4.9270435223265331E-2</v>
      </c>
      <c r="AB99" s="418">
        <f t="shared" ca="1" si="9"/>
        <v>4.5134704297969865E-3</v>
      </c>
      <c r="AC99" s="417">
        <f t="shared" ca="1" si="10"/>
        <v>-5.5227838156446217E-5</v>
      </c>
      <c r="AD99" s="220"/>
      <c r="AE99" s="220"/>
    </row>
    <row r="100" spans="1:31" customFormat="1" ht="14.5">
      <c r="A100" s="220"/>
      <c r="B100" s="267">
        <v>62</v>
      </c>
      <c r="C100" s="68" t="s">
        <v>566</v>
      </c>
      <c r="D100" s="246">
        <f t="shared" ca="1" si="5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1.0288442388419399E-4</v>
      </c>
      <c r="J100" s="403">
        <f ca="1"/>
        <v>4.3983686953113398E-4</v>
      </c>
      <c r="K100" s="403">
        <f ca="1"/>
        <v>0.23391496032124101</v>
      </c>
      <c r="L100" s="403">
        <f ca="1"/>
        <v>0.23391496032124101</v>
      </c>
      <c r="M100" s="403">
        <f ca="1"/>
        <v>-1.20079743104857E-4</v>
      </c>
      <c r="N100" s="693" t="str">
        <f ca="1"/>
        <v>SES</v>
      </c>
      <c r="O100" s="403">
        <f ca="1"/>
        <v>0.22969516415333799</v>
      </c>
      <c r="P100" s="403">
        <f ca="1"/>
        <v>0.72153337275684903</v>
      </c>
      <c r="Q100" s="403">
        <f ca="1"/>
        <v>0.31834309101422997</v>
      </c>
      <c r="R100" s="441">
        <f ca="1"/>
        <v>0.31834309101422997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2.9964870782264501E-2</v>
      </c>
      <c r="U100" s="413">
        <f ca="1"/>
        <v>7.5529165002354098E-2</v>
      </c>
      <c r="V100" s="413">
        <f ca="1"/>
        <v>4.5564294220089598E-2</v>
      </c>
      <c r="W100" s="414">
        <f ca="1"/>
        <v>1.6576393049681601E-2</v>
      </c>
      <c r="X100" s="415">
        <f ca="1"/>
        <v>4.5564294220089598</v>
      </c>
      <c r="Y100" s="416">
        <f t="shared" ca="1" si="6"/>
        <v>5.3457106073324885E-2</v>
      </c>
      <c r="Z100" s="417">
        <f t="shared" ca="1" si="7"/>
        <v>-4.0375705851604998E-3</v>
      </c>
      <c r="AA100" s="416">
        <f t="shared" ca="1" si="8"/>
        <v>7.7971653440413666E-2</v>
      </c>
      <c r="AB100" s="418">
        <f t="shared" ca="1" si="9"/>
        <v>1.5747573397197519E-2</v>
      </c>
      <c r="AC100" s="417">
        <f t="shared" ca="1" si="10"/>
        <v>-2.9445669391036934E-4</v>
      </c>
      <c r="AD100" s="220"/>
      <c r="AE100" s="220"/>
    </row>
    <row r="101" spans="1:31" customFormat="1" ht="14.5">
      <c r="A101" s="220"/>
      <c r="B101" s="267">
        <v>63</v>
      </c>
      <c r="C101" s="68" t="s">
        <v>576</v>
      </c>
      <c r="D101" s="246">
        <f t="shared" ca="1" si="5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3.8627655543868098E-5</v>
      </c>
      <c r="J101" s="403">
        <f ca="1"/>
        <v>4.8887196914248305E-4</v>
      </c>
      <c r="K101" s="403">
        <f ca="1"/>
        <v>7.9013848168926107E-2</v>
      </c>
      <c r="L101" s="403">
        <f ca="1"/>
        <v>7.9013848168926107E-2</v>
      </c>
      <c r="M101" s="403">
        <f ca="1"/>
        <v>-2.5144471875171399E-5</v>
      </c>
      <c r="N101" s="693" t="str">
        <f ca="1"/>
        <v>SKY LIMITED</v>
      </c>
      <c r="O101" s="403">
        <f ca="1"/>
        <v>0.244453827786524</v>
      </c>
      <c r="P101" s="403">
        <f ca="1"/>
        <v>0.788760391473464</v>
      </c>
      <c r="Q101" s="403">
        <f ca="1"/>
        <v>0.30992153058023802</v>
      </c>
      <c r="R101" s="441">
        <f ca="1"/>
        <v>0.30992153058023802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-4.0800412077329901E-2</v>
      </c>
      <c r="U101" s="413">
        <f ca="1"/>
        <v>6.8156317990683496E-3</v>
      </c>
      <c r="V101" s="413">
        <f ca="1"/>
        <v>4.7616043876398298E-2</v>
      </c>
      <c r="W101" s="414">
        <f ca="1"/>
        <v>1.4313729668009301E-3</v>
      </c>
      <c r="X101" s="415">
        <f ca="1"/>
        <v>4.7616043876398297</v>
      </c>
      <c r="Y101" s="416">
        <f t="shared" ca="1" si="6"/>
        <v>5.3457106073324885E-2</v>
      </c>
      <c r="Z101" s="417">
        <f t="shared" ca="1" si="7"/>
        <v>-3.6434395203952284E-4</v>
      </c>
      <c r="AA101" s="416">
        <f t="shared" ca="1" si="8"/>
        <v>2.6337949389642037E-2</v>
      </c>
      <c r="AB101" s="418">
        <f t="shared" ca="1" si="9"/>
        <v>1.3598043184608836E-3</v>
      </c>
      <c r="AC101" s="417">
        <f t="shared" ca="1" si="10"/>
        <v>-8.9754882691148555E-6</v>
      </c>
      <c r="AD101" s="220"/>
      <c r="AE101" s="220"/>
    </row>
    <row r="102" spans="1:31" customFormat="1" ht="14.5">
      <c r="A102" s="220"/>
      <c r="B102" s="267">
        <v>64</v>
      </c>
      <c r="C102" s="68" t="s">
        <v>614</v>
      </c>
      <c r="D102" s="246">
        <f t="shared" ca="1" si="5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5.9039928514721397E-5</v>
      </c>
      <c r="J102" s="403">
        <f ca="1"/>
        <v>4.8219993767282903E-4</v>
      </c>
      <c r="K102" s="403">
        <f ca="1"/>
        <v>0.12243868964325701</v>
      </c>
      <c r="L102" s="403">
        <f ca="1"/>
        <v>0.12243868964325701</v>
      </c>
      <c r="M102" s="403">
        <f ca="1"/>
        <v>-6.0376890378406298E-5</v>
      </c>
      <c r="N102" s="693" t="str">
        <f ca="1"/>
        <v>STMICROELECTRONICS N.V.</v>
      </c>
      <c r="O102" s="403">
        <f ca="1"/>
        <v>0.24351907978234999</v>
      </c>
      <c r="P102" s="403">
        <f ca="1"/>
        <v>0.780510594001113</v>
      </c>
      <c r="Q102" s="403">
        <f ca="1"/>
        <v>0.31199971102762902</v>
      </c>
      <c r="R102" s="441">
        <f ca="1"/>
        <v>0.31199971102762902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-3.2116414738013702E-2</v>
      </c>
      <c r="U102" s="413">
        <f ca="1"/>
        <v>1.52466815047824E-2</v>
      </c>
      <c r="V102" s="413">
        <f ca="1"/>
        <v>4.7363096242796103E-2</v>
      </c>
      <c r="W102" s="414">
        <f ca="1"/>
        <v>3.2191057414455702E-3</v>
      </c>
      <c r="X102" s="415">
        <f ca="1"/>
        <v>4.7363096242796097</v>
      </c>
      <c r="Y102" s="416">
        <f t="shared" ca="1" si="6"/>
        <v>5.3457106073324885E-2</v>
      </c>
      <c r="Z102" s="417">
        <f t="shared" ca="1" si="7"/>
        <v>-8.1504347046735366E-4</v>
      </c>
      <c r="AA102" s="416">
        <f t="shared" ca="1" si="8"/>
        <v>4.0812896547752338E-2</v>
      </c>
      <c r="AB102" s="418">
        <f t="shared" ca="1" si="9"/>
        <v>3.0581504543732915E-3</v>
      </c>
      <c r="AC102" s="417">
        <f t="shared" ca="1" si="10"/>
        <v>-3.111306174756069E-5</v>
      </c>
      <c r="AD102" s="220"/>
      <c r="AE102" s="220"/>
    </row>
    <row r="103" spans="1:31" customFormat="1" ht="14.5">
      <c r="A103" s="220"/>
      <c r="B103" s="267">
        <v>65</v>
      </c>
      <c r="C103" s="68" t="s">
        <v>567</v>
      </c>
      <c r="D103" s="246">
        <f t="shared" ca="1" si="5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8.0120618030845602E-5</v>
      </c>
      <c r="J103" s="403">
        <f ca="1"/>
        <v>4.5749822516459501E-4</v>
      </c>
      <c r="K103" s="403">
        <f ca="1"/>
        <v>0.175127713341446</v>
      </c>
      <c r="L103" s="403">
        <f ca="1"/>
        <v>0.175127713341446</v>
      </c>
      <c r="M103" s="403">
        <f ca="1"/>
        <v>-1.1239508048216899E-4</v>
      </c>
      <c r="N103" s="693" t="str">
        <f ca="1"/>
        <v>TELEFONICA, S.A.</v>
      </c>
      <c r="O103" s="403">
        <f ca="1"/>
        <v>0.240520878422749</v>
      </c>
      <c r="P103" s="403">
        <f ca="1"/>
        <v>0.76330702631846303</v>
      </c>
      <c r="Q103" s="403">
        <f ca="1"/>
        <v>0.31510371335478898</v>
      </c>
      <c r="R103" s="441">
        <f ca="1"/>
        <v>0.31510371335478898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-1.40073961246982E-2</v>
      </c>
      <c r="U103" s="413">
        <f ca="1"/>
        <v>3.2858685137863497E-2</v>
      </c>
      <c r="V103" s="413">
        <f ca="1"/>
        <v>4.6866081262561698E-2</v>
      </c>
      <c r="W103" s="414">
        <f ca="1"/>
        <v>7.0111868226781296E-3</v>
      </c>
      <c r="X103" s="415">
        <f ca="1"/>
        <v>4.6866081262561696</v>
      </c>
      <c r="Y103" s="416">
        <f t="shared" ca="1" si="6"/>
        <v>5.3457106073324885E-2</v>
      </c>
      <c r="Z103" s="417">
        <f t="shared" ca="1" si="7"/>
        <v>-1.7565302168447527E-3</v>
      </c>
      <c r="AA103" s="416">
        <f t="shared" ca="1" si="8"/>
        <v>5.8375904447148665E-2</v>
      </c>
      <c r="AB103" s="418">
        <f t="shared" ca="1" si="9"/>
        <v>6.6606274815442226E-3</v>
      </c>
      <c r="AC103" s="417">
        <f t="shared" ca="1" si="10"/>
        <v>-9.590777319334331E-5</v>
      </c>
      <c r="AD103" s="220"/>
      <c r="AE103" s="220"/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1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5.1269894148413602E-5</v>
      </c>
      <c r="J104" s="403">
        <f ca="1"/>
        <v>4.8531050197100602E-4</v>
      </c>
      <c r="K104" s="403">
        <f ca="1"/>
        <v>0.105643487911738</v>
      </c>
      <c r="L104" s="403">
        <f ca="1"/>
        <v>0.105643487911738</v>
      </c>
      <c r="M104" s="403">
        <f ca="1"/>
        <v>-4.5300059473307697E-5</v>
      </c>
      <c r="N104" s="693" t="str">
        <f ca="1"/>
        <v>TELEKOM AUSTRIA AKTIENGESELLSCHAFT</v>
      </c>
      <c r="O104" s="403">
        <f ca="1"/>
        <v>0.24398848939708201</v>
      </c>
      <c r="P104" s="403">
        <f ca="1"/>
        <v>0.78419585447907703</v>
      </c>
      <c r="Q104" s="403">
        <f ca="1"/>
        <v>0.31113208263407299</v>
      </c>
      <c r="R104" s="441">
        <f ca="1"/>
        <v>0.31113208263407299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-3.5995636293765301E-2</v>
      </c>
      <c r="U104" s="413">
        <f ca="1"/>
        <v>1.14901402509935E-2</v>
      </c>
      <c r="V104" s="413">
        <f ca="1"/>
        <v>4.7485776544758801E-2</v>
      </c>
      <c r="W104" s="414">
        <f ca="1"/>
        <v>2.41970145316317E-3</v>
      </c>
      <c r="X104" s="415">
        <f ca="1"/>
        <v>4.7485776544758798</v>
      </c>
      <c r="Y104" s="416">
        <f t="shared" ca="1" si="6"/>
        <v>5.3457106073324885E-2</v>
      </c>
      <c r="Z104" s="417">
        <f t="shared" ca="1" si="7"/>
        <v>-6.1422964619473638E-4</v>
      </c>
      <c r="AA104" s="416">
        <f t="shared" ca="1" si="8"/>
        <v>3.5214495970579331E-2</v>
      </c>
      <c r="AB104" s="418">
        <f t="shared" ca="1" si="9"/>
        <v>2.2987163805050113E-3</v>
      </c>
      <c r="AC104" s="417">
        <f t="shared" ca="1" si="10"/>
        <v>-2.023097487850003E-5</v>
      </c>
      <c r="AD104" s="220"/>
      <c r="AE104" s="220"/>
    </row>
    <row r="105" spans="1:31" customFormat="1" ht="14.5">
      <c r="A105" s="220"/>
      <c r="B105" s="267">
        <v>67</v>
      </c>
      <c r="C105" s="68" t="s">
        <v>568</v>
      </c>
      <c r="D105" s="246">
        <f t="shared" ca="1" si="11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5.4072505307571902E-5</v>
      </c>
      <c r="J105" s="403">
        <f ca="1"/>
        <v>4.8422134211693999E-4</v>
      </c>
      <c r="K105" s="403">
        <f ca="1"/>
        <v>0.11166898400466101</v>
      </c>
      <c r="L105" s="403">
        <f ca="1"/>
        <v>0.11166898400466101</v>
      </c>
      <c r="M105" s="403">
        <f ca="1"/>
        <v>-5.0490074604097103E-5</v>
      </c>
      <c r="N105" s="693" t="str">
        <f ca="1"/>
        <v>TELENOR ASA</v>
      </c>
      <c r="O105" s="403">
        <f ca="1"/>
        <v>0.24383735513378599</v>
      </c>
      <c r="P105" s="403">
        <f ca="1"/>
        <v>0.78294727870366498</v>
      </c>
      <c r="Q105" s="403">
        <f ca="1"/>
        <v>0.31143521635008498</v>
      </c>
      <c r="R105" s="441">
        <f ca="1"/>
        <v>0.31143521635008498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-3.4681346003858297E-2</v>
      </c>
      <c r="U105" s="413">
        <f ca="1"/>
        <v>1.27558937006273E-2</v>
      </c>
      <c r="V105" s="413">
        <f ca="1"/>
        <v>4.7437239704485601E-2</v>
      </c>
      <c r="W105" s="414">
        <f ca="1"/>
        <v>2.6890042043110499E-3</v>
      </c>
      <c r="X105" s="415">
        <f ca="1"/>
        <v>4.7437239704485599</v>
      </c>
      <c r="Y105" s="416">
        <f t="shared" ca="1" si="6"/>
        <v>5.3457106073324885E-2</v>
      </c>
      <c r="Z105" s="417">
        <f t="shared" ca="1" si="7"/>
        <v>-6.818931626144894E-4</v>
      </c>
      <c r="AA105" s="416">
        <f t="shared" ca="1" si="8"/>
        <v>3.7222994668220336E-2</v>
      </c>
      <c r="AB105" s="418">
        <f t="shared" ca="1" si="9"/>
        <v>2.5545539940954971E-3</v>
      </c>
      <c r="AC105" s="417">
        <f t="shared" ca="1" si="10"/>
        <v>-2.3740628160341789E-5</v>
      </c>
      <c r="AD105" s="220"/>
      <c r="AE105" s="220"/>
    </row>
    <row r="106" spans="1:31" customFormat="1" ht="14.5">
      <c r="A106" s="220"/>
      <c r="B106" s="267">
        <v>68</v>
      </c>
      <c r="C106" s="68" t="s">
        <v>569</v>
      </c>
      <c r="D106" s="246">
        <f t="shared" ca="1" si="11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5.5141169424588501E-5</v>
      </c>
      <c r="J106" s="403">
        <f ca="1"/>
        <v>4.8381862471692398E-4</v>
      </c>
      <c r="K106" s="403">
        <f ca="1"/>
        <v>0.11397074566290399</v>
      </c>
      <c r="L106" s="403">
        <f ca="1"/>
        <v>0.11397074566290399</v>
      </c>
      <c r="M106" s="403">
        <f ca="1"/>
        <v>-5.2553653433176101E-5</v>
      </c>
      <c r="N106" s="693" t="str">
        <f ca="1"/>
        <v>TELIA COMPANY AB</v>
      </c>
      <c r="O106" s="403">
        <f ca="1"/>
        <v>0.24377520819644699</v>
      </c>
      <c r="P106" s="403">
        <f ca="1"/>
        <v>0.78245114480298095</v>
      </c>
      <c r="Q106" s="403">
        <f ca="1"/>
        <v>0.311553264143832</v>
      </c>
      <c r="R106" s="441">
        <f ca="1"/>
        <v>0.311553264143832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-3.4159099792611801E-2</v>
      </c>
      <c r="U106" s="413">
        <f ca="1"/>
        <v>1.3263797098353999E-2</v>
      </c>
      <c r="V106" s="413">
        <f ca="1"/>
        <v>4.74228968909658E-2</v>
      </c>
      <c r="W106" s="414">
        <f ca="1"/>
        <v>2.7969183596797099E-3</v>
      </c>
      <c r="X106" s="415">
        <f ca="1"/>
        <v>4.7422896890965802</v>
      </c>
      <c r="Y106" s="416">
        <f t="shared" ca="1" si="6"/>
        <v>5.3457106073324885E-2</v>
      </c>
      <c r="Z106" s="417">
        <f t="shared" ca="1" si="7"/>
        <v>-7.0904420842176914E-4</v>
      </c>
      <c r="AA106" s="416">
        <f t="shared" ca="1" si="8"/>
        <v>3.7990248554301331E-2</v>
      </c>
      <c r="AB106" s="418">
        <f t="shared" ca="1" si="9"/>
        <v>2.6570724416957242E-3</v>
      </c>
      <c r="AC106" s="417">
        <f t="shared" ca="1" si="10"/>
        <v>-2.5194747427014513E-5</v>
      </c>
      <c r="AD106" s="220"/>
      <c r="AE106" s="220"/>
    </row>
    <row r="107" spans="1:31" customFormat="1" ht="14.5">
      <c r="A107" s="220"/>
      <c r="B107" s="267">
        <v>69</v>
      </c>
      <c r="C107" s="68" t="s">
        <v>578</v>
      </c>
      <c r="D107" s="246">
        <f t="shared" ca="1" si="11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7.4738707200787706E-5</v>
      </c>
      <c r="J107" s="403">
        <f ca="1"/>
        <v>4.6185520710684101E-4</v>
      </c>
      <c r="K107" s="403">
        <f ca="1"/>
        <v>0.161822809509861</v>
      </c>
      <c r="L107" s="403">
        <f ca="1"/>
        <v>0.161822809509861</v>
      </c>
      <c r="M107" s="403">
        <f ca="1"/>
        <v>-9.9793885255186103E-5</v>
      </c>
      <c r="N107" s="693" t="str">
        <f ca="1"/>
        <v>VIVENDI SE</v>
      </c>
      <c r="O107" s="403">
        <f ca="1"/>
        <v>0.24158515490971899</v>
      </c>
      <c r="P107" s="403">
        <f ca="1"/>
        <v>0.76870399874214301</v>
      </c>
      <c r="Q107" s="403">
        <f ca="1"/>
        <v>0.31427591804521998</v>
      </c>
      <c r="R107" s="441">
        <f ca="1"/>
        <v>0.31427591804521998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-1.9688419728571601E-2</v>
      </c>
      <c r="U107" s="413">
        <f ca="1"/>
        <v>2.7361036686663499E-2</v>
      </c>
      <c r="V107" s="413">
        <f ca="1"/>
        <v>4.70494564152351E-2</v>
      </c>
      <c r="W107" s="414">
        <f ca="1"/>
        <v>5.8153778537181301E-3</v>
      </c>
      <c r="X107" s="415">
        <f ca="1"/>
        <v>4.7049456415235102</v>
      </c>
      <c r="Y107" s="416">
        <f t="shared" ca="1" si="6"/>
        <v>5.3457106073324885E-2</v>
      </c>
      <c r="Z107" s="417">
        <f t="shared" ca="1" si="7"/>
        <v>-1.4626418404351024E-3</v>
      </c>
      <c r="AA107" s="416">
        <f t="shared" ca="1" si="8"/>
        <v>5.3940936503286997E-2</v>
      </c>
      <c r="AB107" s="418">
        <f t="shared" ca="1" si="9"/>
        <v>5.5246089610322237E-3</v>
      </c>
      <c r="AC107" s="417">
        <f t="shared" ca="1" si="10"/>
        <v>-7.3793997128970948E-5</v>
      </c>
      <c r="AD107" s="220"/>
      <c r="AE107" s="220"/>
    </row>
    <row r="108" spans="1:31" customFormat="1" ht="14.5">
      <c r="A108" s="220"/>
      <c r="B108" s="267">
        <v>70</v>
      </c>
      <c r="C108" s="68" t="s">
        <v>570</v>
      </c>
      <c r="D108" s="246">
        <f t="shared" ca="1" si="11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7.9833203963459694E-5</v>
      </c>
      <c r="J108" s="403">
        <f ca="1"/>
        <v>4.5775536526796698E-4</v>
      </c>
      <c r="K108" s="403">
        <f ca="1"/>
        <v>0.17440145986432301</v>
      </c>
      <c r="L108" s="403">
        <f ca="1"/>
        <v>0.17440145986432301</v>
      </c>
      <c r="M108" s="403">
        <f ca="1"/>
        <v>-1.1178774650433E-4</v>
      </c>
      <c r="N108" s="693" t="str">
        <f ca="1"/>
        <v>VODAFONE GROUP PUBLIC LIMITED COMPANY</v>
      </c>
      <c r="O108" s="403">
        <f ca="1"/>
        <v>0.24058892359218401</v>
      </c>
      <c r="P108" s="403">
        <f ca="1"/>
        <v>0.76363971531256503</v>
      </c>
      <c r="Q108" s="403">
        <f ca="1"/>
        <v>0.31505554094146199</v>
      </c>
      <c r="R108" s="441">
        <f ca="1"/>
        <v>0.31505554094146199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-1.43575950658583E-2</v>
      </c>
      <c r="U108" s="413">
        <f ca="1"/>
        <v>3.2530731404931103E-2</v>
      </c>
      <c r="V108" s="413">
        <f ca="1"/>
        <v>4.6888326470789402E-2</v>
      </c>
      <c r="W108" s="414">
        <f ca="1"/>
        <v>6.9379169301760297E-3</v>
      </c>
      <c r="X108" s="415">
        <f ca="1"/>
        <v>4.6888326470789403</v>
      </c>
      <c r="Y108" s="416">
        <f t="shared" ca="1" si="6"/>
        <v>5.3457106073324885E-2</v>
      </c>
      <c r="Z108" s="417">
        <f t="shared" ca="1" si="7"/>
        <v>-1.7389987593562414E-3</v>
      </c>
      <c r="AA108" s="416">
        <f t="shared" ca="1" si="8"/>
        <v>5.8133819954774339E-2</v>
      </c>
      <c r="AB108" s="418">
        <f t="shared" ca="1" si="9"/>
        <v>6.5910210836672275E-3</v>
      </c>
      <c r="AC108" s="417">
        <f t="shared" ca="1" si="10"/>
        <v>-9.4556784124569468E-5</v>
      </c>
      <c r="AD108" s="220"/>
      <c r="AE108" s="220"/>
    </row>
    <row r="109" spans="1:31" customFormat="1" ht="14.5">
      <c r="A109" s="220"/>
      <c r="B109" s="267">
        <v>71</v>
      </c>
      <c r="C109" s="68" t="s">
        <v>571</v>
      </c>
      <c r="D109" s="246">
        <f t="shared" ca="1" si="11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7.9096167720336103E-5</v>
      </c>
      <c r="J109" s="403">
        <f ca="1"/>
        <v>4.5839786028031398E-4</v>
      </c>
      <c r="K109" s="403">
        <f ca="1"/>
        <v>0.17254916432630901</v>
      </c>
      <c r="L109" s="403">
        <f ca="1"/>
        <v>0.17254916432630901</v>
      </c>
      <c r="M109" s="403">
        <f ca="1"/>
        <v>-1.0996478253652001E-4</v>
      </c>
      <c r="N109" s="693" t="str">
        <f ca="1"/>
        <v>WPP 2005 LIMITED</v>
      </c>
      <c r="O109" s="403">
        <f ca="1"/>
        <v>0.24074432163814899</v>
      </c>
      <c r="P109" s="403">
        <f ca="1"/>
        <v>0.76439747616667897</v>
      </c>
      <c r="Q109" s="403">
        <f ca="1"/>
        <v>0.31494651558171</v>
      </c>
      <c r="R109" s="441">
        <f ca="1"/>
        <v>0.31494651558171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-1.5155238070188599E-2</v>
      </c>
      <c r="U109" s="413">
        <f ca="1"/>
        <v>3.17294439441159E-2</v>
      </c>
      <c r="V109" s="413">
        <f ca="1"/>
        <v>4.6884682014304499E-2</v>
      </c>
      <c r="W109" s="414">
        <f ca="1"/>
        <v>6.76755020636276E-3</v>
      </c>
      <c r="X109" s="415">
        <f ca="1"/>
        <v>4.6884682014304504</v>
      </c>
      <c r="Y109" s="416">
        <f t="shared" ca="1" si="6"/>
        <v>5.3457106073324885E-2</v>
      </c>
      <c r="Z109" s="417">
        <f t="shared" ca="1" si="7"/>
        <v>-1.6961642505682187E-3</v>
      </c>
      <c r="AA109" s="416">
        <f t="shared" ca="1" si="8"/>
        <v>5.7516388108769669E-2</v>
      </c>
      <c r="AB109" s="418">
        <f t="shared" ca="1" si="9"/>
        <v>6.4291726960446216E-3</v>
      </c>
      <c r="AC109" s="417">
        <f t="shared" ca="1" si="10"/>
        <v>-9.1248150618261127E-5</v>
      </c>
      <c r="AD109" s="220"/>
      <c r="AE109" s="220"/>
    </row>
    <row r="110" spans="1:31" customFormat="1" ht="14.5">
      <c r="A110" s="220"/>
      <c r="B110" s="267">
        <v>72</v>
      </c>
      <c r="C110" s="68" t="s">
        <v>572</v>
      </c>
      <c r="D110" s="246">
        <f t="shared" ca="1" si="11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69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6"/>
        <v/>
      </c>
      <c r="Z110" s="417" t="str">
        <f t="shared" ca="1" si="7"/>
        <v/>
      </c>
      <c r="AA110" s="416" t="str">
        <f t="shared" ca="1" si="8"/>
        <v/>
      </c>
      <c r="AB110" s="418" t="str">
        <f t="shared" ca="1" si="9"/>
        <v/>
      </c>
      <c r="AC110" s="417" t="str">
        <f t="shared" ca="1" si="10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1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69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6"/>
        <v/>
      </c>
      <c r="Z111" s="417" t="str">
        <f t="shared" ca="1" si="7"/>
        <v/>
      </c>
      <c r="AA111" s="416" t="str">
        <f t="shared" ca="1" si="8"/>
        <v/>
      </c>
      <c r="AB111" s="418" t="str">
        <f t="shared" ca="1" si="9"/>
        <v/>
      </c>
      <c r="AC111" s="417" t="str">
        <f t="shared" ca="1" si="10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1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69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6"/>
        <v/>
      </c>
      <c r="Z112" s="417" t="str">
        <f t="shared" ca="1" si="7"/>
        <v/>
      </c>
      <c r="AA112" s="416" t="str">
        <f t="shared" ca="1" si="8"/>
        <v/>
      </c>
      <c r="AB112" s="418" t="str">
        <f t="shared" ca="1" si="9"/>
        <v/>
      </c>
      <c r="AC112" s="417" t="str">
        <f t="shared" ca="1" si="10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1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69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6"/>
        <v/>
      </c>
      <c r="Z113" s="417" t="str">
        <f t="shared" ca="1" si="7"/>
        <v/>
      </c>
      <c r="AA113" s="416" t="str">
        <f t="shared" ca="1" si="8"/>
        <v/>
      </c>
      <c r="AB113" s="418" t="str">
        <f t="shared" ca="1" si="9"/>
        <v/>
      </c>
      <c r="AC113" s="417" t="str">
        <f t="shared" ca="1" si="10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1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69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6"/>
        <v/>
      </c>
      <c r="Z114" s="417" t="str">
        <f t="shared" ca="1" si="7"/>
        <v/>
      </c>
      <c r="AA114" s="416" t="str">
        <f t="shared" ca="1" si="8"/>
        <v/>
      </c>
      <c r="AB114" s="418" t="str">
        <f t="shared" ca="1" si="9"/>
        <v/>
      </c>
      <c r="AC114" s="417" t="str">
        <f t="shared" ca="1" si="10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1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69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6"/>
        <v/>
      </c>
      <c r="Z115" s="417" t="str">
        <f t="shared" ca="1" si="7"/>
        <v/>
      </c>
      <c r="AA115" s="416" t="str">
        <f t="shared" ca="1" si="8"/>
        <v/>
      </c>
      <c r="AB115" s="418" t="str">
        <f t="shared" ca="1" si="9"/>
        <v/>
      </c>
      <c r="AC115" s="417" t="str">
        <f t="shared" ca="1" si="10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1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69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6"/>
        <v/>
      </c>
      <c r="Z116" s="417" t="str">
        <f t="shared" ca="1" si="7"/>
        <v/>
      </c>
      <c r="AA116" s="416" t="str">
        <f t="shared" ca="1" si="8"/>
        <v/>
      </c>
      <c r="AB116" s="418" t="str">
        <f t="shared" ca="1" si="9"/>
        <v/>
      </c>
      <c r="AC116" s="417" t="str">
        <f t="shared" ca="1" si="10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1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69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6"/>
        <v/>
      </c>
      <c r="Z117" s="417" t="str">
        <f t="shared" ca="1" si="7"/>
        <v/>
      </c>
      <c r="AA117" s="416" t="str">
        <f t="shared" ca="1" si="8"/>
        <v/>
      </c>
      <c r="AB117" s="418" t="str">
        <f t="shared" ca="1" si="9"/>
        <v/>
      </c>
      <c r="AC117" s="417" t="str">
        <f t="shared" ca="1" si="10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1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69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6"/>
        <v/>
      </c>
      <c r="Z118" s="417" t="str">
        <f t="shared" ca="1" si="7"/>
        <v/>
      </c>
      <c r="AA118" s="416" t="str">
        <f t="shared" ca="1" si="8"/>
        <v/>
      </c>
      <c r="AB118" s="418" t="str">
        <f t="shared" ca="1" si="9"/>
        <v/>
      </c>
      <c r="AC118" s="417" t="str">
        <f t="shared" ca="1" si="10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1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69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6"/>
        <v/>
      </c>
      <c r="Z119" s="417" t="str">
        <f t="shared" ca="1" si="7"/>
        <v/>
      </c>
      <c r="AA119" s="416" t="str">
        <f t="shared" ca="1" si="8"/>
        <v/>
      </c>
      <c r="AB119" s="418" t="str">
        <f t="shared" ca="1" si="9"/>
        <v/>
      </c>
      <c r="AC119" s="417" t="str">
        <f t="shared" ca="1" si="10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1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69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6"/>
        <v/>
      </c>
      <c r="Z120" s="417" t="str">
        <f t="shared" ca="1" si="7"/>
        <v/>
      </c>
      <c r="AA120" s="416" t="str">
        <f t="shared" ca="1" si="8"/>
        <v/>
      </c>
      <c r="AB120" s="418" t="str">
        <f t="shared" ca="1" si="9"/>
        <v/>
      </c>
      <c r="AC120" s="417" t="str">
        <f t="shared" ca="1" si="10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1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69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6"/>
        <v/>
      </c>
      <c r="Z121" s="417" t="str">
        <f t="shared" ca="1" si="7"/>
        <v/>
      </c>
      <c r="AA121" s="416" t="str">
        <f t="shared" ca="1" si="8"/>
        <v/>
      </c>
      <c r="AB121" s="418" t="str">
        <f t="shared" ca="1" si="9"/>
        <v/>
      </c>
      <c r="AC121" s="417" t="str">
        <f t="shared" ca="1" si="10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1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69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6"/>
        <v/>
      </c>
      <c r="Z122" s="417" t="str">
        <f t="shared" ca="1" si="7"/>
        <v/>
      </c>
      <c r="AA122" s="416" t="str">
        <f t="shared" ca="1" si="8"/>
        <v/>
      </c>
      <c r="AB122" s="418" t="str">
        <f t="shared" ca="1" si="9"/>
        <v/>
      </c>
      <c r="AC122" s="417" t="str">
        <f t="shared" ca="1" si="10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1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69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6"/>
        <v/>
      </c>
      <c r="Z123" s="417" t="str">
        <f t="shared" ca="1" si="7"/>
        <v/>
      </c>
      <c r="AA123" s="416" t="str">
        <f t="shared" ca="1" si="8"/>
        <v/>
      </c>
      <c r="AB123" s="418" t="str">
        <f t="shared" ca="1" si="9"/>
        <v/>
      </c>
      <c r="AC123" s="417" t="str">
        <f t="shared" ca="1" si="10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1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69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6"/>
        <v/>
      </c>
      <c r="Z124" s="417" t="str">
        <f t="shared" ca="1" si="7"/>
        <v/>
      </c>
      <c r="AA124" s="416" t="str">
        <f t="shared" ca="1" si="8"/>
        <v/>
      </c>
      <c r="AB124" s="418" t="str">
        <f t="shared" ca="1" si="9"/>
        <v/>
      </c>
      <c r="AC124" s="417" t="str">
        <f t="shared" ca="1" si="10"/>
        <v/>
      </c>
      <c r="AD124" s="220"/>
    </row>
    <row r="125" spans="1:30" customFormat="1" ht="14.5">
      <c r="A125" s="220"/>
      <c r="B125" s="267">
        <v>87</v>
      </c>
      <c r="C125" s="68" t="s">
        <v>615</v>
      </c>
      <c r="D125" s="246">
        <f t="shared" ca="1" si="11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69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6"/>
        <v/>
      </c>
      <c r="Z125" s="417" t="str">
        <f t="shared" ca="1" si="7"/>
        <v/>
      </c>
      <c r="AA125" s="416" t="str">
        <f t="shared" ca="1" si="8"/>
        <v/>
      </c>
      <c r="AB125" s="418" t="str">
        <f t="shared" ca="1" si="9"/>
        <v/>
      </c>
      <c r="AC125" s="417" t="str">
        <f t="shared" ca="1" si="10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1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69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6"/>
        <v/>
      </c>
      <c r="Z126" s="417" t="str">
        <f t="shared" ca="1" si="7"/>
        <v/>
      </c>
      <c r="AA126" s="416" t="str">
        <f t="shared" ca="1" si="8"/>
        <v/>
      </c>
      <c r="AB126" s="418" t="str">
        <f t="shared" ca="1" si="9"/>
        <v/>
      </c>
      <c r="AC126" s="417" t="str">
        <f t="shared" ca="1" si="10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1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69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6"/>
        <v/>
      </c>
      <c r="Z127" s="417" t="str">
        <f t="shared" ca="1" si="7"/>
        <v/>
      </c>
      <c r="AA127" s="416" t="str">
        <f t="shared" ca="1" si="8"/>
        <v/>
      </c>
      <c r="AB127" s="418" t="str">
        <f t="shared" ca="1" si="9"/>
        <v/>
      </c>
      <c r="AC127" s="417" t="str">
        <f t="shared" ca="1" si="10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1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69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6"/>
        <v/>
      </c>
      <c r="Z128" s="417" t="str">
        <f t="shared" ca="1" si="7"/>
        <v/>
      </c>
      <c r="AA128" s="416" t="str">
        <f t="shared" ca="1" si="8"/>
        <v/>
      </c>
      <c r="AB128" s="418" t="str">
        <f t="shared" ca="1" si="9"/>
        <v/>
      </c>
      <c r="AC128" s="417" t="str">
        <f t="shared" ca="1" si="10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1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69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6"/>
        <v/>
      </c>
      <c r="Z129" s="417" t="str">
        <f t="shared" ca="1" si="7"/>
        <v/>
      </c>
      <c r="AA129" s="416" t="str">
        <f t="shared" ca="1" si="8"/>
        <v/>
      </c>
      <c r="AB129" s="418" t="str">
        <f t="shared" ca="1" si="9"/>
        <v/>
      </c>
      <c r="AC129" s="417" t="str">
        <f t="shared" ca="1" si="10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1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69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6"/>
        <v/>
      </c>
      <c r="Z130" s="417" t="str">
        <f t="shared" ca="1" si="7"/>
        <v/>
      </c>
      <c r="AA130" s="416" t="str">
        <f t="shared" ca="1" si="8"/>
        <v/>
      </c>
      <c r="AB130" s="418" t="str">
        <f t="shared" ca="1" si="9"/>
        <v/>
      </c>
      <c r="AC130" s="417" t="str">
        <f t="shared" ca="1" si="10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1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69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6"/>
        <v/>
      </c>
      <c r="Z131" s="417" t="str">
        <f t="shared" ca="1" si="7"/>
        <v/>
      </c>
      <c r="AA131" s="416" t="str">
        <f t="shared" ca="1" si="8"/>
        <v/>
      </c>
      <c r="AB131" s="418" t="str">
        <f t="shared" ca="1" si="9"/>
        <v/>
      </c>
      <c r="AC131" s="417" t="str">
        <f t="shared" ca="1" si="10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1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69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6"/>
        <v/>
      </c>
      <c r="Z132" s="417" t="str">
        <f t="shared" ca="1" si="7"/>
        <v/>
      </c>
      <c r="AA132" s="416" t="str">
        <f t="shared" ca="1" si="8"/>
        <v/>
      </c>
      <c r="AB132" s="418" t="str">
        <f t="shared" ca="1" si="9"/>
        <v/>
      </c>
      <c r="AC132" s="417" t="str">
        <f t="shared" ca="1" si="10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1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69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6"/>
        <v/>
      </c>
      <c r="Z133" s="417" t="str">
        <f t="shared" ca="1" si="7"/>
        <v/>
      </c>
      <c r="AA133" s="416" t="str">
        <f t="shared" ca="1" si="8"/>
        <v/>
      </c>
      <c r="AB133" s="418" t="str">
        <f t="shared" ca="1" si="9"/>
        <v/>
      </c>
      <c r="AC133" s="417" t="str">
        <f t="shared" ca="1" si="10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69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6"/>
        <v/>
      </c>
      <c r="Z134" s="417" t="str">
        <f t="shared" ca="1" si="7"/>
        <v/>
      </c>
      <c r="AA134" s="416" t="str">
        <f t="shared" ca="1" si="8"/>
        <v/>
      </c>
      <c r="AB134" s="418" t="str">
        <f t="shared" ca="1" si="9"/>
        <v/>
      </c>
      <c r="AC134" s="417" t="str">
        <f t="shared" ca="1" si="10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69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6"/>
        <v/>
      </c>
      <c r="Z135" s="417" t="str">
        <f t="shared" ca="1" si="7"/>
        <v/>
      </c>
      <c r="AA135" s="416" t="str">
        <f t="shared" ca="1" si="8"/>
        <v/>
      </c>
      <c r="AB135" s="418" t="str">
        <f t="shared" ca="1" si="9"/>
        <v/>
      </c>
      <c r="AC135" s="417" t="str">
        <f t="shared" ca="1" si="10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69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6"/>
        <v/>
      </c>
      <c r="Z136" s="417" t="str">
        <f t="shared" ca="1" si="7"/>
        <v/>
      </c>
      <c r="AA136" s="416" t="str">
        <f t="shared" ca="1" si="8"/>
        <v/>
      </c>
      <c r="AB136" s="418" t="str">
        <f t="shared" ca="1" si="9"/>
        <v/>
      </c>
      <c r="AC136" s="417" t="str">
        <f t="shared" ca="1" si="10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69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6"/>
        <v/>
      </c>
      <c r="Z137" s="417" t="str">
        <f t="shared" ca="1" si="7"/>
        <v/>
      </c>
      <c r="AA137" s="416" t="str">
        <f t="shared" ca="1" si="8"/>
        <v/>
      </c>
      <c r="AB137" s="418" t="str">
        <f t="shared" ca="1" si="9"/>
        <v/>
      </c>
      <c r="AC137" s="417" t="str">
        <f t="shared" ca="1" si="10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69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6"/>
        <v/>
      </c>
      <c r="Z138" s="417" t="str">
        <f t="shared" ca="1" si="7"/>
        <v/>
      </c>
      <c r="AA138" s="416" t="str">
        <f t="shared" ca="1" si="8"/>
        <v/>
      </c>
      <c r="AB138" s="418" t="str">
        <f t="shared" ca="1" si="9"/>
        <v/>
      </c>
      <c r="AC138" s="417" t="str">
        <f t="shared" ca="1" si="10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69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6"/>
        <v/>
      </c>
      <c r="Z139" s="417" t="str">
        <f t="shared" ca="1" si="7"/>
        <v/>
      </c>
      <c r="AA139" s="416" t="str">
        <f t="shared" ca="1" si="8"/>
        <v/>
      </c>
      <c r="AB139" s="418" t="str">
        <f t="shared" ca="1" si="9"/>
        <v/>
      </c>
      <c r="AC139" s="417" t="str">
        <f t="shared" ca="1" si="10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6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6"/>
        <v/>
      </c>
      <c r="Z140" s="417" t="str">
        <f t="shared" ca="1" si="7"/>
        <v/>
      </c>
      <c r="AA140" s="416" t="str">
        <f t="shared" ca="1" si="8"/>
        <v/>
      </c>
      <c r="AB140" s="418" t="str">
        <f t="shared" ca="1" si="9"/>
        <v/>
      </c>
      <c r="AC140" s="417" t="str">
        <f t="shared" ca="1" si="10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6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6"/>
        <v/>
      </c>
      <c r="Z141" s="417" t="str">
        <f t="shared" ca="1" si="7"/>
        <v/>
      </c>
      <c r="AA141" s="416" t="str">
        <f t="shared" ca="1" si="8"/>
        <v/>
      </c>
      <c r="AB141" s="418" t="str">
        <f t="shared" ca="1" si="9"/>
        <v/>
      </c>
      <c r="AC141" s="417" t="str">
        <f t="shared" ca="1" si="10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6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6"/>
        <v/>
      </c>
      <c r="Z142" s="417" t="str">
        <f t="shared" ca="1" si="7"/>
        <v/>
      </c>
      <c r="AA142" s="416" t="str">
        <f t="shared" ca="1" si="8"/>
        <v/>
      </c>
      <c r="AB142" s="418" t="str">
        <f t="shared" ca="1" si="9"/>
        <v/>
      </c>
      <c r="AC142" s="417" t="str">
        <f t="shared" ca="1" si="10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6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6"/>
        <v/>
      </c>
      <c r="Z143" s="417" t="str">
        <f t="shared" ca="1" si="7"/>
        <v/>
      </c>
      <c r="AA143" s="416" t="str">
        <f t="shared" ca="1" si="8"/>
        <v/>
      </c>
      <c r="AB143" s="418" t="str">
        <f t="shared" ca="1" si="9"/>
        <v/>
      </c>
      <c r="AC143" s="417" t="str">
        <f t="shared" ca="1" si="10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6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2">IF($U$12,IF(T144="","",$U$13*D168/$C$18),"")</f>
        <v/>
      </c>
      <c r="Z144" s="417" t="str">
        <f t="shared" ref="Z144:Z207" ca="1" si="13">IF($U$12,IF(Y144="","",Y144*($Z$10-W144)*X144),"")</f>
        <v/>
      </c>
      <c r="AA144" s="416" t="str">
        <f t="shared" ref="AA144:AA207" ca="1" si="14">IF($U$12,IF(OR(T144="",L144=""),"",L144/($C$20-$C$19)),"")</f>
        <v/>
      </c>
      <c r="AB144" s="418" t="str">
        <f t="shared" ref="AB144:AB207" ca="1" si="15">IF($U$12,IF(W144="","",W144*$AC$10),"")</f>
        <v/>
      </c>
      <c r="AC144" s="417" t="str">
        <f t="shared" ref="AC144:AC207" ca="1" si="16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6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2"/>
        <v/>
      </c>
      <c r="Z145" s="417" t="str">
        <f t="shared" ca="1" si="13"/>
        <v/>
      </c>
      <c r="AA145" s="416" t="str">
        <f t="shared" ca="1" si="14"/>
        <v/>
      </c>
      <c r="AB145" s="418" t="str">
        <f t="shared" ca="1" si="15"/>
        <v/>
      </c>
      <c r="AC145" s="417" t="str">
        <f t="shared" ca="1" si="16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6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2"/>
        <v/>
      </c>
      <c r="Z146" s="417" t="str">
        <f t="shared" ca="1" si="13"/>
        <v/>
      </c>
      <c r="AA146" s="416" t="str">
        <f t="shared" ca="1" si="14"/>
        <v/>
      </c>
      <c r="AB146" s="418" t="str">
        <f t="shared" ca="1" si="15"/>
        <v/>
      </c>
      <c r="AC146" s="417" t="str">
        <f t="shared" ca="1" si="16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6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2"/>
        <v/>
      </c>
      <c r="Z147" s="417" t="str">
        <f t="shared" ca="1" si="13"/>
        <v/>
      </c>
      <c r="AA147" s="416" t="str">
        <f t="shared" ca="1" si="14"/>
        <v/>
      </c>
      <c r="AB147" s="418" t="str">
        <f t="shared" ca="1" si="15"/>
        <v/>
      </c>
      <c r="AC147" s="417" t="str">
        <f t="shared" ca="1" si="16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6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2"/>
        <v/>
      </c>
      <c r="Z148" s="417" t="str">
        <f t="shared" ca="1" si="13"/>
        <v/>
      </c>
      <c r="AA148" s="416" t="str">
        <f t="shared" ca="1" si="14"/>
        <v/>
      </c>
      <c r="AB148" s="418" t="str">
        <f t="shared" ca="1" si="15"/>
        <v/>
      </c>
      <c r="AC148" s="417" t="str">
        <f t="shared" ca="1" si="16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6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2"/>
        <v/>
      </c>
      <c r="Z149" s="417" t="str">
        <f t="shared" ca="1" si="13"/>
        <v/>
      </c>
      <c r="AA149" s="416" t="str">
        <f t="shared" ca="1" si="14"/>
        <v/>
      </c>
      <c r="AB149" s="418" t="str">
        <f t="shared" ca="1" si="15"/>
        <v/>
      </c>
      <c r="AC149" s="417" t="str">
        <f t="shared" ca="1" si="16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6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2"/>
        <v/>
      </c>
      <c r="Z150" s="417" t="str">
        <f t="shared" ca="1" si="13"/>
        <v/>
      </c>
      <c r="AA150" s="416" t="str">
        <f t="shared" ca="1" si="14"/>
        <v/>
      </c>
      <c r="AB150" s="418" t="str">
        <f t="shared" ca="1" si="15"/>
        <v/>
      </c>
      <c r="AC150" s="417" t="str">
        <f t="shared" ca="1" si="16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6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2"/>
        <v/>
      </c>
      <c r="Z151" s="417" t="str">
        <f t="shared" ca="1" si="13"/>
        <v/>
      </c>
      <c r="AA151" s="416" t="str">
        <f t="shared" ca="1" si="14"/>
        <v/>
      </c>
      <c r="AB151" s="418" t="str">
        <f t="shared" ca="1" si="15"/>
        <v/>
      </c>
      <c r="AC151" s="417" t="str">
        <f t="shared" ca="1" si="16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6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2"/>
        <v/>
      </c>
      <c r="Z152" s="417" t="str">
        <f t="shared" ca="1" si="13"/>
        <v/>
      </c>
      <c r="AA152" s="416" t="str">
        <f t="shared" ca="1" si="14"/>
        <v/>
      </c>
      <c r="AB152" s="418" t="str">
        <f t="shared" ca="1" si="15"/>
        <v/>
      </c>
      <c r="AC152" s="417" t="str">
        <f t="shared" ca="1" si="16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6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2"/>
        <v/>
      </c>
      <c r="Z153" s="417" t="str">
        <f t="shared" ca="1" si="13"/>
        <v/>
      </c>
      <c r="AA153" s="416" t="str">
        <f t="shared" ca="1" si="14"/>
        <v/>
      </c>
      <c r="AB153" s="418" t="str">
        <f t="shared" ca="1" si="15"/>
        <v/>
      </c>
      <c r="AC153" s="417" t="str">
        <f t="shared" ca="1" si="16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6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2"/>
        <v/>
      </c>
      <c r="Z154" s="417" t="str">
        <f t="shared" ca="1" si="13"/>
        <v/>
      </c>
      <c r="AA154" s="416" t="str">
        <f t="shared" ca="1" si="14"/>
        <v/>
      </c>
      <c r="AB154" s="418" t="str">
        <f t="shared" ca="1" si="15"/>
        <v/>
      </c>
      <c r="AC154" s="417" t="str">
        <f t="shared" ca="1" si="16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6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2"/>
        <v/>
      </c>
      <c r="Z155" s="417" t="str">
        <f t="shared" ca="1" si="13"/>
        <v/>
      </c>
      <c r="AA155" s="416" t="str">
        <f t="shared" ca="1" si="14"/>
        <v/>
      </c>
      <c r="AB155" s="418" t="str">
        <f t="shared" ca="1" si="15"/>
        <v/>
      </c>
      <c r="AC155" s="417" t="str">
        <f t="shared" ca="1" si="16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6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2"/>
        <v/>
      </c>
      <c r="Z156" s="417" t="str">
        <f t="shared" ca="1" si="13"/>
        <v/>
      </c>
      <c r="AA156" s="416" t="str">
        <f t="shared" ca="1" si="14"/>
        <v/>
      </c>
      <c r="AB156" s="418" t="str">
        <f t="shared" ca="1" si="15"/>
        <v/>
      </c>
      <c r="AC156" s="417" t="str">
        <f t="shared" ca="1" si="16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6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2"/>
        <v/>
      </c>
      <c r="Z157" s="417" t="str">
        <f t="shared" ca="1" si="13"/>
        <v/>
      </c>
      <c r="AA157" s="416" t="str">
        <f t="shared" ca="1" si="14"/>
        <v/>
      </c>
      <c r="AB157" s="418" t="str">
        <f t="shared" ca="1" si="15"/>
        <v/>
      </c>
      <c r="AC157" s="417" t="str">
        <f t="shared" ca="1" si="16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6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2"/>
        <v/>
      </c>
      <c r="Z158" s="417" t="str">
        <f t="shared" ca="1" si="13"/>
        <v/>
      </c>
      <c r="AA158" s="416" t="str">
        <f t="shared" ca="1" si="14"/>
        <v/>
      </c>
      <c r="AB158" s="418" t="str">
        <f t="shared" ca="1" si="15"/>
        <v/>
      </c>
      <c r="AC158" s="417" t="str">
        <f t="shared" ca="1" si="16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6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2"/>
        <v/>
      </c>
      <c r="Z159" s="417" t="str">
        <f t="shared" ca="1" si="13"/>
        <v/>
      </c>
      <c r="AA159" s="416" t="str">
        <f t="shared" ca="1" si="14"/>
        <v/>
      </c>
      <c r="AB159" s="418" t="str">
        <f t="shared" ca="1" si="15"/>
        <v/>
      </c>
      <c r="AC159" s="417" t="str">
        <f t="shared" ca="1" si="16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6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2"/>
        <v/>
      </c>
      <c r="Z160" s="417" t="str">
        <f t="shared" ca="1" si="13"/>
        <v/>
      </c>
      <c r="AA160" s="416" t="str">
        <f t="shared" ca="1" si="14"/>
        <v/>
      </c>
      <c r="AB160" s="418" t="str">
        <f t="shared" ca="1" si="15"/>
        <v/>
      </c>
      <c r="AC160" s="417" t="str">
        <f t="shared" ca="1" si="16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6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2"/>
        <v/>
      </c>
      <c r="Z161" s="417" t="str">
        <f t="shared" ca="1" si="13"/>
        <v/>
      </c>
      <c r="AA161" s="416" t="str">
        <f t="shared" ca="1" si="14"/>
        <v/>
      </c>
      <c r="AB161" s="418" t="str">
        <f t="shared" ca="1" si="15"/>
        <v/>
      </c>
      <c r="AC161" s="417" t="str">
        <f t="shared" ca="1" si="16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6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2"/>
        <v/>
      </c>
      <c r="Z162" s="417" t="str">
        <f t="shared" ca="1" si="13"/>
        <v/>
      </c>
      <c r="AA162" s="416" t="str">
        <f t="shared" ca="1" si="14"/>
        <v/>
      </c>
      <c r="AB162" s="418" t="str">
        <f t="shared" ca="1" si="15"/>
        <v/>
      </c>
      <c r="AC162" s="417" t="str">
        <f t="shared" ca="1" si="16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69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2"/>
        <v/>
      </c>
      <c r="Z163" s="417" t="str">
        <f t="shared" ca="1" si="13"/>
        <v/>
      </c>
      <c r="AA163" s="416" t="str">
        <f t="shared" ca="1" si="14"/>
        <v/>
      </c>
      <c r="AB163" s="418" t="str">
        <f t="shared" ca="1" si="15"/>
        <v/>
      </c>
      <c r="AC163" s="417" t="str">
        <f t="shared" ca="1" si="16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69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2"/>
        <v/>
      </c>
      <c r="Z164" s="417" t="str">
        <f t="shared" ca="1" si="13"/>
        <v/>
      </c>
      <c r="AA164" s="416" t="str">
        <f t="shared" ca="1" si="14"/>
        <v/>
      </c>
      <c r="AB164" s="418" t="str">
        <f t="shared" ca="1" si="15"/>
        <v/>
      </c>
      <c r="AC164" s="417" t="str">
        <f t="shared" ca="1" si="16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69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2"/>
        <v/>
      </c>
      <c r="Z165" s="417" t="str">
        <f t="shared" ca="1" si="13"/>
        <v/>
      </c>
      <c r="AA165" s="416" t="str">
        <f t="shared" ca="1" si="14"/>
        <v/>
      </c>
      <c r="AB165" s="418" t="str">
        <f t="shared" ca="1" si="15"/>
        <v/>
      </c>
      <c r="AC165" s="417" t="str">
        <f t="shared" ca="1" si="16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69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2"/>
        <v/>
      </c>
      <c r="Z166" s="417" t="str">
        <f t="shared" ca="1" si="13"/>
        <v/>
      </c>
      <c r="AA166" s="416" t="str">
        <f t="shared" ca="1" si="14"/>
        <v/>
      </c>
      <c r="AB166" s="418" t="str">
        <f t="shared" ca="1" si="15"/>
        <v/>
      </c>
      <c r="AC166" s="417" t="str">
        <f t="shared" ca="1" si="16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69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2"/>
        <v/>
      </c>
      <c r="Z167" s="417" t="str">
        <f t="shared" ca="1" si="13"/>
        <v/>
      </c>
      <c r="AA167" s="416" t="str">
        <f t="shared" ca="1" si="14"/>
        <v/>
      </c>
      <c r="AB167" s="418" t="str">
        <f t="shared" ca="1" si="15"/>
        <v/>
      </c>
      <c r="AC167" s="417" t="str">
        <f t="shared" ca="1" si="16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69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2"/>
        <v/>
      </c>
      <c r="Z168" s="417" t="str">
        <f t="shared" ca="1" si="13"/>
        <v/>
      </c>
      <c r="AA168" s="416" t="str">
        <f t="shared" ca="1" si="14"/>
        <v/>
      </c>
      <c r="AB168" s="418" t="str">
        <f t="shared" ca="1" si="15"/>
        <v/>
      </c>
      <c r="AC168" s="417" t="str">
        <f t="shared" ca="1" si="16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69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2"/>
        <v/>
      </c>
      <c r="Z169" s="417" t="str">
        <f t="shared" ca="1" si="13"/>
        <v/>
      </c>
      <c r="AA169" s="416" t="str">
        <f t="shared" ca="1" si="14"/>
        <v/>
      </c>
      <c r="AB169" s="418" t="str">
        <f t="shared" ca="1" si="15"/>
        <v/>
      </c>
      <c r="AC169" s="417" t="str">
        <f t="shared" ca="1" si="16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69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2"/>
        <v/>
      </c>
      <c r="Z170" s="417" t="str">
        <f t="shared" ca="1" si="13"/>
        <v/>
      </c>
      <c r="AA170" s="416" t="str">
        <f t="shared" ca="1" si="14"/>
        <v/>
      </c>
      <c r="AB170" s="418" t="str">
        <f t="shared" ca="1" si="15"/>
        <v/>
      </c>
      <c r="AC170" s="417" t="str">
        <f t="shared" ca="1" si="16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69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2"/>
        <v/>
      </c>
      <c r="Z171" s="417" t="str">
        <f t="shared" ca="1" si="13"/>
        <v/>
      </c>
      <c r="AA171" s="416" t="str">
        <f t="shared" ca="1" si="14"/>
        <v/>
      </c>
      <c r="AB171" s="418" t="str">
        <f t="shared" ca="1" si="15"/>
        <v/>
      </c>
      <c r="AC171" s="417" t="str">
        <f t="shared" ca="1" si="16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69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2"/>
        <v/>
      </c>
      <c r="Z172" s="417" t="str">
        <f t="shared" ca="1" si="13"/>
        <v/>
      </c>
      <c r="AA172" s="416" t="str">
        <f t="shared" ca="1" si="14"/>
        <v/>
      </c>
      <c r="AB172" s="418" t="str">
        <f t="shared" ca="1" si="15"/>
        <v/>
      </c>
      <c r="AC172" s="417" t="str">
        <f t="shared" ca="1" si="16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69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2"/>
        <v/>
      </c>
      <c r="Z173" s="417" t="str">
        <f t="shared" ca="1" si="13"/>
        <v/>
      </c>
      <c r="AA173" s="416" t="str">
        <f t="shared" ca="1" si="14"/>
        <v/>
      </c>
      <c r="AB173" s="418" t="str">
        <f t="shared" ca="1" si="15"/>
        <v/>
      </c>
      <c r="AC173" s="417" t="str">
        <f t="shared" ca="1" si="16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69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2"/>
        <v/>
      </c>
      <c r="Z174" s="417" t="str">
        <f t="shared" ca="1" si="13"/>
        <v/>
      </c>
      <c r="AA174" s="416" t="str">
        <f t="shared" ca="1" si="14"/>
        <v/>
      </c>
      <c r="AB174" s="418" t="str">
        <f t="shared" ca="1" si="15"/>
        <v/>
      </c>
      <c r="AC174" s="417" t="str">
        <f t="shared" ca="1" si="16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69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2"/>
        <v/>
      </c>
      <c r="Z175" s="417" t="str">
        <f t="shared" ca="1" si="13"/>
        <v/>
      </c>
      <c r="AA175" s="416" t="str">
        <f t="shared" ca="1" si="14"/>
        <v/>
      </c>
      <c r="AB175" s="418" t="str">
        <f t="shared" ca="1" si="15"/>
        <v/>
      </c>
      <c r="AC175" s="417" t="str">
        <f t="shared" ca="1" si="16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69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2"/>
        <v/>
      </c>
      <c r="Z176" s="417" t="str">
        <f t="shared" ca="1" si="13"/>
        <v/>
      </c>
      <c r="AA176" s="416" t="str">
        <f t="shared" ca="1" si="14"/>
        <v/>
      </c>
      <c r="AB176" s="418" t="str">
        <f t="shared" ca="1" si="15"/>
        <v/>
      </c>
      <c r="AC176" s="417" t="str">
        <f t="shared" ca="1" si="16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69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2"/>
        <v/>
      </c>
      <c r="Z177" s="417" t="str">
        <f t="shared" ca="1" si="13"/>
        <v/>
      </c>
      <c r="AA177" s="416" t="str">
        <f t="shared" ca="1" si="14"/>
        <v/>
      </c>
      <c r="AB177" s="418" t="str">
        <f t="shared" ca="1" si="15"/>
        <v/>
      </c>
      <c r="AC177" s="417" t="str">
        <f t="shared" ca="1" si="16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69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2"/>
        <v/>
      </c>
      <c r="Z178" s="417" t="str">
        <f t="shared" ca="1" si="13"/>
        <v/>
      </c>
      <c r="AA178" s="416" t="str">
        <f t="shared" ca="1" si="14"/>
        <v/>
      </c>
      <c r="AB178" s="418" t="str">
        <f t="shared" ca="1" si="15"/>
        <v/>
      </c>
      <c r="AC178" s="417" t="str">
        <f t="shared" ca="1" si="16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69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2"/>
        <v/>
      </c>
      <c r="Z179" s="417" t="str">
        <f t="shared" ca="1" si="13"/>
        <v/>
      </c>
      <c r="AA179" s="416" t="str">
        <f t="shared" ca="1" si="14"/>
        <v/>
      </c>
      <c r="AB179" s="418" t="str">
        <f t="shared" ca="1" si="15"/>
        <v/>
      </c>
      <c r="AC179" s="417" t="str">
        <f t="shared" ca="1" si="16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69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2"/>
        <v/>
      </c>
      <c r="Z180" s="417" t="str">
        <f t="shared" ca="1" si="13"/>
        <v/>
      </c>
      <c r="AA180" s="416" t="str">
        <f t="shared" ca="1" si="14"/>
        <v/>
      </c>
      <c r="AB180" s="418" t="str">
        <f t="shared" ca="1" si="15"/>
        <v/>
      </c>
      <c r="AC180" s="417" t="str">
        <f t="shared" ca="1" si="16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69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2"/>
        <v/>
      </c>
      <c r="Z181" s="417" t="str">
        <f t="shared" ca="1" si="13"/>
        <v/>
      </c>
      <c r="AA181" s="416" t="str">
        <f t="shared" ca="1" si="14"/>
        <v/>
      </c>
      <c r="AB181" s="418" t="str">
        <f t="shared" ca="1" si="15"/>
        <v/>
      </c>
      <c r="AC181" s="417" t="str">
        <f t="shared" ca="1" si="16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69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2"/>
        <v/>
      </c>
      <c r="Z182" s="417" t="str">
        <f t="shared" ca="1" si="13"/>
        <v/>
      </c>
      <c r="AA182" s="416" t="str">
        <f t="shared" ca="1" si="14"/>
        <v/>
      </c>
      <c r="AB182" s="418" t="str">
        <f t="shared" ca="1" si="15"/>
        <v/>
      </c>
      <c r="AC182" s="417" t="str">
        <f t="shared" ca="1" si="16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69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2"/>
        <v/>
      </c>
      <c r="Z183" s="417" t="str">
        <f t="shared" ca="1" si="13"/>
        <v/>
      </c>
      <c r="AA183" s="416" t="str">
        <f t="shared" ca="1" si="14"/>
        <v/>
      </c>
      <c r="AB183" s="418" t="str">
        <f t="shared" ca="1" si="15"/>
        <v/>
      </c>
      <c r="AC183" s="417" t="str">
        <f t="shared" ca="1" si="16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69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2"/>
        <v/>
      </c>
      <c r="Z184" s="417" t="str">
        <f t="shared" ca="1" si="13"/>
        <v/>
      </c>
      <c r="AA184" s="416" t="str">
        <f t="shared" ca="1" si="14"/>
        <v/>
      </c>
      <c r="AB184" s="418" t="str">
        <f t="shared" ca="1" si="15"/>
        <v/>
      </c>
      <c r="AC184" s="417" t="str">
        <f t="shared" ca="1" si="16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69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2"/>
        <v/>
      </c>
      <c r="Z185" s="417" t="str">
        <f t="shared" ca="1" si="13"/>
        <v/>
      </c>
      <c r="AA185" s="416" t="str">
        <f t="shared" ca="1" si="14"/>
        <v/>
      </c>
      <c r="AB185" s="418" t="str">
        <f t="shared" ca="1" si="15"/>
        <v/>
      </c>
      <c r="AC185" s="417" t="str">
        <f t="shared" ca="1" si="16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69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2"/>
        <v/>
      </c>
      <c r="Z186" s="417" t="str">
        <f t="shared" ca="1" si="13"/>
        <v/>
      </c>
      <c r="AA186" s="416" t="str">
        <f t="shared" ca="1" si="14"/>
        <v/>
      </c>
      <c r="AB186" s="418" t="str">
        <f t="shared" ca="1" si="15"/>
        <v/>
      </c>
      <c r="AC186" s="417" t="str">
        <f t="shared" ca="1" si="16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69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2"/>
        <v/>
      </c>
      <c r="Z187" s="417" t="str">
        <f t="shared" ca="1" si="13"/>
        <v/>
      </c>
      <c r="AA187" s="416" t="str">
        <f t="shared" ca="1" si="14"/>
        <v/>
      </c>
      <c r="AB187" s="418" t="str">
        <f t="shared" ca="1" si="15"/>
        <v/>
      </c>
      <c r="AC187" s="417" t="str">
        <f t="shared" ca="1" si="16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69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2"/>
        <v/>
      </c>
      <c r="Z188" s="417" t="str">
        <f t="shared" ca="1" si="13"/>
        <v/>
      </c>
      <c r="AA188" s="416" t="str">
        <f t="shared" ca="1" si="14"/>
        <v/>
      </c>
      <c r="AB188" s="418" t="str">
        <f t="shared" ca="1" si="15"/>
        <v/>
      </c>
      <c r="AC188" s="417" t="str">
        <f t="shared" ca="1" si="16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69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2"/>
        <v/>
      </c>
      <c r="Z189" s="417" t="str">
        <f t="shared" ca="1" si="13"/>
        <v/>
      </c>
      <c r="AA189" s="416" t="str">
        <f t="shared" ca="1" si="14"/>
        <v/>
      </c>
      <c r="AB189" s="418" t="str">
        <f t="shared" ca="1" si="15"/>
        <v/>
      </c>
      <c r="AC189" s="417" t="str">
        <f t="shared" ca="1" si="16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69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2"/>
        <v/>
      </c>
      <c r="Z190" s="417" t="str">
        <f t="shared" ca="1" si="13"/>
        <v/>
      </c>
      <c r="AA190" s="416" t="str">
        <f t="shared" ca="1" si="14"/>
        <v/>
      </c>
      <c r="AB190" s="418" t="str">
        <f t="shared" ca="1" si="15"/>
        <v/>
      </c>
      <c r="AC190" s="417" t="str">
        <f t="shared" ca="1" si="16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69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2"/>
        <v/>
      </c>
      <c r="Z191" s="417" t="str">
        <f t="shared" ca="1" si="13"/>
        <v/>
      </c>
      <c r="AA191" s="416" t="str">
        <f t="shared" ca="1" si="14"/>
        <v/>
      </c>
      <c r="AB191" s="418" t="str">
        <f t="shared" ca="1" si="15"/>
        <v/>
      </c>
      <c r="AC191" s="417" t="str">
        <f t="shared" ca="1" si="16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69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2"/>
        <v/>
      </c>
      <c r="Z192" s="417" t="str">
        <f t="shared" ca="1" si="13"/>
        <v/>
      </c>
      <c r="AA192" s="416" t="str">
        <f t="shared" ca="1" si="14"/>
        <v/>
      </c>
      <c r="AB192" s="418" t="str">
        <f t="shared" ca="1" si="15"/>
        <v/>
      </c>
      <c r="AC192" s="417" t="str">
        <f t="shared" ca="1" si="16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69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2"/>
        <v/>
      </c>
      <c r="Z193" s="417" t="str">
        <f t="shared" ca="1" si="13"/>
        <v/>
      </c>
      <c r="AA193" s="416" t="str">
        <f t="shared" ca="1" si="14"/>
        <v/>
      </c>
      <c r="AB193" s="418" t="str">
        <f t="shared" ca="1" si="15"/>
        <v/>
      </c>
      <c r="AC193" s="417" t="str">
        <f t="shared" ca="1" si="16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69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2"/>
        <v/>
      </c>
      <c r="Z194" s="417" t="str">
        <f t="shared" ca="1" si="13"/>
        <v/>
      </c>
      <c r="AA194" s="416" t="str">
        <f t="shared" ca="1" si="14"/>
        <v/>
      </c>
      <c r="AB194" s="418" t="str">
        <f t="shared" ca="1" si="15"/>
        <v/>
      </c>
      <c r="AC194" s="417" t="str">
        <f t="shared" ca="1" si="16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69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2"/>
        <v/>
      </c>
      <c r="Z195" s="417" t="str">
        <f t="shared" ca="1" si="13"/>
        <v/>
      </c>
      <c r="AA195" s="416" t="str">
        <f t="shared" ca="1" si="14"/>
        <v/>
      </c>
      <c r="AB195" s="418" t="str">
        <f t="shared" ca="1" si="15"/>
        <v/>
      </c>
      <c r="AC195" s="417" t="str">
        <f t="shared" ca="1" si="16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69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2"/>
        <v/>
      </c>
      <c r="Z196" s="417" t="str">
        <f t="shared" ca="1" si="13"/>
        <v/>
      </c>
      <c r="AA196" s="416" t="str">
        <f t="shared" ca="1" si="14"/>
        <v/>
      </c>
      <c r="AB196" s="418" t="str">
        <f t="shared" ca="1" si="15"/>
        <v/>
      </c>
      <c r="AC196" s="417" t="str">
        <f t="shared" ca="1" si="16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69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2"/>
        <v/>
      </c>
      <c r="Z197" s="417" t="str">
        <f t="shared" ca="1" si="13"/>
        <v/>
      </c>
      <c r="AA197" s="416" t="str">
        <f t="shared" ca="1" si="14"/>
        <v/>
      </c>
      <c r="AB197" s="418" t="str">
        <f t="shared" ca="1" si="15"/>
        <v/>
      </c>
      <c r="AC197" s="417" t="str">
        <f t="shared" ca="1" si="16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69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2"/>
        <v/>
      </c>
      <c r="Z198" s="417" t="str">
        <f t="shared" ca="1" si="13"/>
        <v/>
      </c>
      <c r="AA198" s="416" t="str">
        <f t="shared" ca="1" si="14"/>
        <v/>
      </c>
      <c r="AB198" s="418" t="str">
        <f t="shared" ca="1" si="15"/>
        <v/>
      </c>
      <c r="AC198" s="417" t="str">
        <f t="shared" ca="1" si="16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69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2"/>
        <v/>
      </c>
      <c r="Z199" s="417" t="str">
        <f t="shared" ca="1" si="13"/>
        <v/>
      </c>
      <c r="AA199" s="416" t="str">
        <f t="shared" ca="1" si="14"/>
        <v/>
      </c>
      <c r="AB199" s="418" t="str">
        <f t="shared" ca="1" si="15"/>
        <v/>
      </c>
      <c r="AC199" s="417" t="str">
        <f t="shared" ca="1" si="16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69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2"/>
        <v/>
      </c>
      <c r="Z200" s="417" t="str">
        <f t="shared" ca="1" si="13"/>
        <v/>
      </c>
      <c r="AA200" s="416" t="str">
        <f t="shared" ca="1" si="14"/>
        <v/>
      </c>
      <c r="AB200" s="418" t="str">
        <f t="shared" ca="1" si="15"/>
        <v/>
      </c>
      <c r="AC200" s="417" t="str">
        <f t="shared" ca="1" si="16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69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2"/>
        <v/>
      </c>
      <c r="Z201" s="417" t="str">
        <f t="shared" ca="1" si="13"/>
        <v/>
      </c>
      <c r="AA201" s="416" t="str">
        <f t="shared" ca="1" si="14"/>
        <v/>
      </c>
      <c r="AB201" s="418" t="str">
        <f t="shared" ca="1" si="15"/>
        <v/>
      </c>
      <c r="AC201" s="417" t="str">
        <f t="shared" ca="1" si="16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69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2"/>
        <v/>
      </c>
      <c r="Z202" s="417" t="str">
        <f t="shared" ca="1" si="13"/>
        <v/>
      </c>
      <c r="AA202" s="416" t="str">
        <f t="shared" ca="1" si="14"/>
        <v/>
      </c>
      <c r="AB202" s="418" t="str">
        <f t="shared" ca="1" si="15"/>
        <v/>
      </c>
      <c r="AC202" s="417" t="str">
        <f t="shared" ca="1" si="16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69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2"/>
        <v/>
      </c>
      <c r="Z203" s="417" t="str">
        <f t="shared" ca="1" si="13"/>
        <v/>
      </c>
      <c r="AA203" s="416" t="str">
        <f t="shared" ca="1" si="14"/>
        <v/>
      </c>
      <c r="AB203" s="418" t="str">
        <f t="shared" ca="1" si="15"/>
        <v/>
      </c>
      <c r="AC203" s="417" t="str">
        <f t="shared" ca="1" si="16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69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2"/>
        <v/>
      </c>
      <c r="Z204" s="417" t="str">
        <f t="shared" ca="1" si="13"/>
        <v/>
      </c>
      <c r="AA204" s="416" t="str">
        <f t="shared" ca="1" si="14"/>
        <v/>
      </c>
      <c r="AB204" s="418" t="str">
        <f t="shared" ca="1" si="15"/>
        <v/>
      </c>
      <c r="AC204" s="417" t="str">
        <f t="shared" ca="1" si="16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69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2"/>
        <v/>
      </c>
      <c r="Z205" s="417" t="str">
        <f t="shared" ca="1" si="13"/>
        <v/>
      </c>
      <c r="AA205" s="416" t="str">
        <f t="shared" ca="1" si="14"/>
        <v/>
      </c>
      <c r="AB205" s="418" t="str">
        <f t="shared" ca="1" si="15"/>
        <v/>
      </c>
      <c r="AC205" s="417" t="str">
        <f t="shared" ca="1" si="16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69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2"/>
        <v/>
      </c>
      <c r="Z206" s="417" t="str">
        <f t="shared" ca="1" si="13"/>
        <v/>
      </c>
      <c r="AA206" s="416" t="str">
        <f t="shared" ca="1" si="14"/>
        <v/>
      </c>
      <c r="AB206" s="418" t="str">
        <f t="shared" ca="1" si="15"/>
        <v/>
      </c>
      <c r="AC206" s="417" t="str">
        <f t="shared" ca="1" si="16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69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2"/>
        <v/>
      </c>
      <c r="Z207" s="417" t="str">
        <f t="shared" ca="1" si="13"/>
        <v/>
      </c>
      <c r="AA207" s="416" t="str">
        <f t="shared" ca="1" si="14"/>
        <v/>
      </c>
      <c r="AB207" s="418" t="str">
        <f t="shared" ca="1" si="15"/>
        <v/>
      </c>
      <c r="AC207" s="417" t="str">
        <f t="shared" ca="1" si="16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69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7">IF($U$12,IF(T208="","",$U$13*D232/$C$18),"")</f>
        <v/>
      </c>
      <c r="Z208" s="417" t="str">
        <f t="shared" ref="Z208:Z271" ca="1" si="18">IF($U$12,IF(Y208="","",Y208*($Z$10-W208)*X208),"")</f>
        <v/>
      </c>
      <c r="AA208" s="416" t="str">
        <f t="shared" ref="AA208:AA271" ca="1" si="19">IF($U$12,IF(OR(T208="",L208=""),"",L208/($C$20-$C$19)),"")</f>
        <v/>
      </c>
      <c r="AB208" s="418" t="str">
        <f t="shared" ref="AB208:AB271" ca="1" si="20">IF($U$12,IF(W208="","",W208*$AC$10),"")</f>
        <v/>
      </c>
      <c r="AC208" s="417" t="str">
        <f t="shared" ref="AC208:AC271" ca="1" si="21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69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7"/>
        <v/>
      </c>
      <c r="Z209" s="417" t="str">
        <f t="shared" ca="1" si="18"/>
        <v/>
      </c>
      <c r="AA209" s="416" t="str">
        <f t="shared" ca="1" si="19"/>
        <v/>
      </c>
      <c r="AB209" s="418" t="str">
        <f t="shared" ca="1" si="20"/>
        <v/>
      </c>
      <c r="AC209" s="417" t="str">
        <f t="shared" ca="1" si="21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69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7"/>
        <v/>
      </c>
      <c r="Z210" s="417" t="str">
        <f t="shared" ca="1" si="18"/>
        <v/>
      </c>
      <c r="AA210" s="416" t="str">
        <f t="shared" ca="1" si="19"/>
        <v/>
      </c>
      <c r="AB210" s="418" t="str">
        <f t="shared" ca="1" si="20"/>
        <v/>
      </c>
      <c r="AC210" s="417" t="str">
        <f t="shared" ca="1" si="21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69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7"/>
        <v/>
      </c>
      <c r="Z211" s="417" t="str">
        <f t="shared" ca="1" si="18"/>
        <v/>
      </c>
      <c r="AA211" s="416" t="str">
        <f t="shared" ca="1" si="19"/>
        <v/>
      </c>
      <c r="AB211" s="418" t="str">
        <f t="shared" ca="1" si="20"/>
        <v/>
      </c>
      <c r="AC211" s="417" t="str">
        <f t="shared" ca="1" si="21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69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7"/>
        <v/>
      </c>
      <c r="Z212" s="417" t="str">
        <f t="shared" ca="1" si="18"/>
        <v/>
      </c>
      <c r="AA212" s="416" t="str">
        <f t="shared" ca="1" si="19"/>
        <v/>
      </c>
      <c r="AB212" s="418" t="str">
        <f t="shared" ca="1" si="20"/>
        <v/>
      </c>
      <c r="AC212" s="417" t="str">
        <f t="shared" ca="1" si="21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69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7"/>
        <v/>
      </c>
      <c r="Z213" s="417" t="str">
        <f t="shared" ca="1" si="18"/>
        <v/>
      </c>
      <c r="AA213" s="416" t="str">
        <f t="shared" ca="1" si="19"/>
        <v/>
      </c>
      <c r="AB213" s="418" t="str">
        <f t="shared" ca="1" si="20"/>
        <v/>
      </c>
      <c r="AC213" s="417" t="str">
        <f t="shared" ca="1" si="21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69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7"/>
        <v/>
      </c>
      <c r="Z214" s="417" t="str">
        <f t="shared" ca="1" si="18"/>
        <v/>
      </c>
      <c r="AA214" s="416" t="str">
        <f t="shared" ca="1" si="19"/>
        <v/>
      </c>
      <c r="AB214" s="418" t="str">
        <f t="shared" ca="1" si="20"/>
        <v/>
      </c>
      <c r="AC214" s="417" t="str">
        <f t="shared" ca="1" si="21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69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7"/>
        <v/>
      </c>
      <c r="Z215" s="417" t="str">
        <f t="shared" ca="1" si="18"/>
        <v/>
      </c>
      <c r="AA215" s="416" t="str">
        <f t="shared" ca="1" si="19"/>
        <v/>
      </c>
      <c r="AB215" s="418" t="str">
        <f t="shared" ca="1" si="20"/>
        <v/>
      </c>
      <c r="AC215" s="417" t="str">
        <f t="shared" ca="1" si="21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69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7"/>
        <v/>
      </c>
      <c r="Z216" s="417" t="str">
        <f t="shared" ca="1" si="18"/>
        <v/>
      </c>
      <c r="AA216" s="416" t="str">
        <f t="shared" ca="1" si="19"/>
        <v/>
      </c>
      <c r="AB216" s="418" t="str">
        <f t="shared" ca="1" si="20"/>
        <v/>
      </c>
      <c r="AC216" s="417" t="str">
        <f t="shared" ca="1" si="21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69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7"/>
        <v/>
      </c>
      <c r="Z217" s="417" t="str">
        <f t="shared" ca="1" si="18"/>
        <v/>
      </c>
      <c r="AA217" s="416" t="str">
        <f t="shared" ca="1" si="19"/>
        <v/>
      </c>
      <c r="AB217" s="418" t="str">
        <f t="shared" ca="1" si="20"/>
        <v/>
      </c>
      <c r="AC217" s="417" t="str">
        <f t="shared" ca="1" si="21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69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7"/>
        <v/>
      </c>
      <c r="Z218" s="417" t="str">
        <f t="shared" ca="1" si="18"/>
        <v/>
      </c>
      <c r="AA218" s="416" t="str">
        <f t="shared" ca="1" si="19"/>
        <v/>
      </c>
      <c r="AB218" s="418" t="str">
        <f t="shared" ca="1" si="20"/>
        <v/>
      </c>
      <c r="AC218" s="417" t="str">
        <f t="shared" ca="1" si="21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69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7"/>
        <v/>
      </c>
      <c r="Z219" s="417" t="str">
        <f t="shared" ca="1" si="18"/>
        <v/>
      </c>
      <c r="AA219" s="416" t="str">
        <f t="shared" ca="1" si="19"/>
        <v/>
      </c>
      <c r="AB219" s="418" t="str">
        <f t="shared" ca="1" si="20"/>
        <v/>
      </c>
      <c r="AC219" s="417" t="str">
        <f t="shared" ca="1" si="21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69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7"/>
        <v/>
      </c>
      <c r="Z220" s="417" t="str">
        <f t="shared" ca="1" si="18"/>
        <v/>
      </c>
      <c r="AA220" s="416" t="str">
        <f t="shared" ca="1" si="19"/>
        <v/>
      </c>
      <c r="AB220" s="418" t="str">
        <f t="shared" ca="1" si="20"/>
        <v/>
      </c>
      <c r="AC220" s="417" t="str">
        <f t="shared" ca="1" si="21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69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7"/>
        <v/>
      </c>
      <c r="Z221" s="417" t="str">
        <f t="shared" ca="1" si="18"/>
        <v/>
      </c>
      <c r="AA221" s="416" t="str">
        <f t="shared" ca="1" si="19"/>
        <v/>
      </c>
      <c r="AB221" s="418" t="str">
        <f t="shared" ca="1" si="20"/>
        <v/>
      </c>
      <c r="AC221" s="417" t="str">
        <f t="shared" ca="1" si="21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69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7"/>
        <v/>
      </c>
      <c r="Z222" s="417" t="str">
        <f t="shared" ca="1" si="18"/>
        <v/>
      </c>
      <c r="AA222" s="416" t="str">
        <f t="shared" ca="1" si="19"/>
        <v/>
      </c>
      <c r="AB222" s="418" t="str">
        <f t="shared" ca="1" si="20"/>
        <v/>
      </c>
      <c r="AC222" s="417" t="str">
        <f t="shared" ca="1" si="21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69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7"/>
        <v/>
      </c>
      <c r="Z223" s="417" t="str">
        <f t="shared" ca="1" si="18"/>
        <v/>
      </c>
      <c r="AA223" s="416" t="str">
        <f t="shared" ca="1" si="19"/>
        <v/>
      </c>
      <c r="AB223" s="418" t="str">
        <f t="shared" ca="1" si="20"/>
        <v/>
      </c>
      <c r="AC223" s="417" t="str">
        <f t="shared" ca="1" si="21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69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7"/>
        <v/>
      </c>
      <c r="Z224" s="417" t="str">
        <f t="shared" ca="1" si="18"/>
        <v/>
      </c>
      <c r="AA224" s="416" t="str">
        <f t="shared" ca="1" si="19"/>
        <v/>
      </c>
      <c r="AB224" s="418" t="str">
        <f t="shared" ca="1" si="20"/>
        <v/>
      </c>
      <c r="AC224" s="417" t="str">
        <f t="shared" ca="1" si="21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69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7"/>
        <v/>
      </c>
      <c r="Z225" s="417" t="str">
        <f t="shared" ca="1" si="18"/>
        <v/>
      </c>
      <c r="AA225" s="416" t="str">
        <f t="shared" ca="1" si="19"/>
        <v/>
      </c>
      <c r="AB225" s="418" t="str">
        <f t="shared" ca="1" si="20"/>
        <v/>
      </c>
      <c r="AC225" s="417" t="str">
        <f t="shared" ca="1" si="21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69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7"/>
        <v/>
      </c>
      <c r="Z226" s="417" t="str">
        <f t="shared" ca="1" si="18"/>
        <v/>
      </c>
      <c r="AA226" s="416" t="str">
        <f t="shared" ca="1" si="19"/>
        <v/>
      </c>
      <c r="AB226" s="418" t="str">
        <f t="shared" ca="1" si="20"/>
        <v/>
      </c>
      <c r="AC226" s="417" t="str">
        <f t="shared" ca="1" si="21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69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7"/>
        <v/>
      </c>
      <c r="Z227" s="417" t="str">
        <f t="shared" ca="1" si="18"/>
        <v/>
      </c>
      <c r="AA227" s="416" t="str">
        <f t="shared" ca="1" si="19"/>
        <v/>
      </c>
      <c r="AB227" s="418" t="str">
        <f t="shared" ca="1" si="20"/>
        <v/>
      </c>
      <c r="AC227" s="417" t="str">
        <f t="shared" ca="1" si="21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69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7"/>
        <v/>
      </c>
      <c r="Z228" s="417" t="str">
        <f t="shared" ca="1" si="18"/>
        <v/>
      </c>
      <c r="AA228" s="416" t="str">
        <f t="shared" ca="1" si="19"/>
        <v/>
      </c>
      <c r="AB228" s="418" t="str">
        <f t="shared" ca="1" si="20"/>
        <v/>
      </c>
      <c r="AC228" s="417" t="str">
        <f t="shared" ca="1" si="21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69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7"/>
        <v/>
      </c>
      <c r="Z229" s="417" t="str">
        <f t="shared" ca="1" si="18"/>
        <v/>
      </c>
      <c r="AA229" s="416" t="str">
        <f t="shared" ca="1" si="19"/>
        <v/>
      </c>
      <c r="AB229" s="418" t="str">
        <f t="shared" ca="1" si="20"/>
        <v/>
      </c>
      <c r="AC229" s="417" t="str">
        <f t="shared" ca="1" si="21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69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7"/>
        <v/>
      </c>
      <c r="Z230" s="417" t="str">
        <f t="shared" ca="1" si="18"/>
        <v/>
      </c>
      <c r="AA230" s="416" t="str">
        <f t="shared" ca="1" si="19"/>
        <v/>
      </c>
      <c r="AB230" s="418" t="str">
        <f t="shared" ca="1" si="20"/>
        <v/>
      </c>
      <c r="AC230" s="417" t="str">
        <f t="shared" ca="1" si="21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69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7"/>
        <v/>
      </c>
      <c r="Z231" s="417" t="str">
        <f t="shared" ca="1" si="18"/>
        <v/>
      </c>
      <c r="AA231" s="416" t="str">
        <f t="shared" ca="1" si="19"/>
        <v/>
      </c>
      <c r="AB231" s="418" t="str">
        <f t="shared" ca="1" si="20"/>
        <v/>
      </c>
      <c r="AC231" s="417" t="str">
        <f t="shared" ca="1" si="21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69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7"/>
        <v/>
      </c>
      <c r="Z232" s="417" t="str">
        <f t="shared" ca="1" si="18"/>
        <v/>
      </c>
      <c r="AA232" s="416" t="str">
        <f t="shared" ca="1" si="19"/>
        <v/>
      </c>
      <c r="AB232" s="418" t="str">
        <f t="shared" ca="1" si="20"/>
        <v/>
      </c>
      <c r="AC232" s="417" t="str">
        <f t="shared" ca="1" si="21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69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7"/>
        <v/>
      </c>
      <c r="Z233" s="417" t="str">
        <f t="shared" ca="1" si="18"/>
        <v/>
      </c>
      <c r="AA233" s="416" t="str">
        <f t="shared" ca="1" si="19"/>
        <v/>
      </c>
      <c r="AB233" s="418" t="str">
        <f t="shared" ca="1" si="20"/>
        <v/>
      </c>
      <c r="AC233" s="417" t="str">
        <f t="shared" ca="1" si="21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69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7"/>
        <v/>
      </c>
      <c r="Z234" s="417" t="str">
        <f t="shared" ca="1" si="18"/>
        <v/>
      </c>
      <c r="AA234" s="416" t="str">
        <f t="shared" ca="1" si="19"/>
        <v/>
      </c>
      <c r="AB234" s="418" t="str">
        <f t="shared" ca="1" si="20"/>
        <v/>
      </c>
      <c r="AC234" s="417" t="str">
        <f t="shared" ca="1" si="21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69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7"/>
        <v/>
      </c>
      <c r="Z235" s="417" t="str">
        <f t="shared" ca="1" si="18"/>
        <v/>
      </c>
      <c r="AA235" s="416" t="str">
        <f t="shared" ca="1" si="19"/>
        <v/>
      </c>
      <c r="AB235" s="418" t="str">
        <f t="shared" ca="1" si="20"/>
        <v/>
      </c>
      <c r="AC235" s="417" t="str">
        <f t="shared" ca="1" si="21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69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7"/>
        <v/>
      </c>
      <c r="Z236" s="417" t="str">
        <f t="shared" ca="1" si="18"/>
        <v/>
      </c>
      <c r="AA236" s="416" t="str">
        <f t="shared" ca="1" si="19"/>
        <v/>
      </c>
      <c r="AB236" s="418" t="str">
        <f t="shared" ca="1" si="20"/>
        <v/>
      </c>
      <c r="AC236" s="417" t="str">
        <f t="shared" ca="1" si="21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69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7"/>
        <v/>
      </c>
      <c r="Z237" s="417" t="str">
        <f t="shared" ca="1" si="18"/>
        <v/>
      </c>
      <c r="AA237" s="416" t="str">
        <f t="shared" ca="1" si="19"/>
        <v/>
      </c>
      <c r="AB237" s="418" t="str">
        <f t="shared" ca="1" si="20"/>
        <v/>
      </c>
      <c r="AC237" s="417" t="str">
        <f t="shared" ca="1" si="21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69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7"/>
        <v/>
      </c>
      <c r="Z238" s="417" t="str">
        <f t="shared" ca="1" si="18"/>
        <v/>
      </c>
      <c r="AA238" s="416" t="str">
        <f t="shared" ca="1" si="19"/>
        <v/>
      </c>
      <c r="AB238" s="418" t="str">
        <f t="shared" ca="1" si="20"/>
        <v/>
      </c>
      <c r="AC238" s="417" t="str">
        <f t="shared" ca="1" si="21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69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7"/>
        <v/>
      </c>
      <c r="Z239" s="417" t="str">
        <f t="shared" ca="1" si="18"/>
        <v/>
      </c>
      <c r="AA239" s="416" t="str">
        <f t="shared" ca="1" si="19"/>
        <v/>
      </c>
      <c r="AB239" s="418" t="str">
        <f t="shared" ca="1" si="20"/>
        <v/>
      </c>
      <c r="AC239" s="417" t="str">
        <f t="shared" ca="1" si="21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69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7"/>
        <v/>
      </c>
      <c r="Z240" s="417" t="str">
        <f t="shared" ca="1" si="18"/>
        <v/>
      </c>
      <c r="AA240" s="416" t="str">
        <f t="shared" ca="1" si="19"/>
        <v/>
      </c>
      <c r="AB240" s="418" t="str">
        <f t="shared" ca="1" si="20"/>
        <v/>
      </c>
      <c r="AC240" s="417" t="str">
        <f t="shared" ca="1" si="21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69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7"/>
        <v/>
      </c>
      <c r="Z241" s="417" t="str">
        <f t="shared" ca="1" si="18"/>
        <v/>
      </c>
      <c r="AA241" s="416" t="str">
        <f t="shared" ca="1" si="19"/>
        <v/>
      </c>
      <c r="AB241" s="418" t="str">
        <f t="shared" ca="1" si="20"/>
        <v/>
      </c>
      <c r="AC241" s="417" t="str">
        <f t="shared" ca="1" si="21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69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7"/>
        <v/>
      </c>
      <c r="Z242" s="417" t="str">
        <f t="shared" ca="1" si="18"/>
        <v/>
      </c>
      <c r="AA242" s="416" t="str">
        <f t="shared" ca="1" si="19"/>
        <v/>
      </c>
      <c r="AB242" s="418" t="str">
        <f t="shared" ca="1" si="20"/>
        <v/>
      </c>
      <c r="AC242" s="417" t="str">
        <f t="shared" ca="1" si="21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69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7"/>
        <v/>
      </c>
      <c r="Z243" s="417" t="str">
        <f t="shared" ca="1" si="18"/>
        <v/>
      </c>
      <c r="AA243" s="416" t="str">
        <f t="shared" ca="1" si="19"/>
        <v/>
      </c>
      <c r="AB243" s="418" t="str">
        <f t="shared" ca="1" si="20"/>
        <v/>
      </c>
      <c r="AC243" s="417" t="str">
        <f t="shared" ca="1" si="21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69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7"/>
        <v/>
      </c>
      <c r="Z244" s="417" t="str">
        <f t="shared" ca="1" si="18"/>
        <v/>
      </c>
      <c r="AA244" s="416" t="str">
        <f t="shared" ca="1" si="19"/>
        <v/>
      </c>
      <c r="AB244" s="418" t="str">
        <f t="shared" ca="1" si="20"/>
        <v/>
      </c>
      <c r="AC244" s="417" t="str">
        <f t="shared" ca="1" si="21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69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7"/>
        <v/>
      </c>
      <c r="Z245" s="417" t="str">
        <f t="shared" ca="1" si="18"/>
        <v/>
      </c>
      <c r="AA245" s="416" t="str">
        <f t="shared" ca="1" si="19"/>
        <v/>
      </c>
      <c r="AB245" s="418" t="str">
        <f t="shared" ca="1" si="20"/>
        <v/>
      </c>
      <c r="AC245" s="417" t="str">
        <f t="shared" ca="1" si="21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69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7"/>
        <v/>
      </c>
      <c r="Z246" s="417" t="str">
        <f t="shared" ca="1" si="18"/>
        <v/>
      </c>
      <c r="AA246" s="416" t="str">
        <f t="shared" ca="1" si="19"/>
        <v/>
      </c>
      <c r="AB246" s="418" t="str">
        <f t="shared" ca="1" si="20"/>
        <v/>
      </c>
      <c r="AC246" s="417" t="str">
        <f t="shared" ca="1" si="21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69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7"/>
        <v/>
      </c>
      <c r="Z247" s="417" t="str">
        <f t="shared" ca="1" si="18"/>
        <v/>
      </c>
      <c r="AA247" s="416" t="str">
        <f t="shared" ca="1" si="19"/>
        <v/>
      </c>
      <c r="AB247" s="418" t="str">
        <f t="shared" ca="1" si="20"/>
        <v/>
      </c>
      <c r="AC247" s="417" t="str">
        <f t="shared" ca="1" si="21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69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7"/>
        <v/>
      </c>
      <c r="Z248" s="417" t="str">
        <f t="shared" ca="1" si="18"/>
        <v/>
      </c>
      <c r="AA248" s="416" t="str">
        <f t="shared" ca="1" si="19"/>
        <v/>
      </c>
      <c r="AB248" s="418" t="str">
        <f t="shared" ca="1" si="20"/>
        <v/>
      </c>
      <c r="AC248" s="417" t="str">
        <f t="shared" ca="1" si="21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69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7"/>
        <v/>
      </c>
      <c r="Z249" s="417" t="str">
        <f t="shared" ca="1" si="18"/>
        <v/>
      </c>
      <c r="AA249" s="416" t="str">
        <f t="shared" ca="1" si="19"/>
        <v/>
      </c>
      <c r="AB249" s="418" t="str">
        <f t="shared" ca="1" si="20"/>
        <v/>
      </c>
      <c r="AC249" s="417" t="str">
        <f t="shared" ca="1" si="21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69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7"/>
        <v/>
      </c>
      <c r="Z250" s="417" t="str">
        <f t="shared" ca="1" si="18"/>
        <v/>
      </c>
      <c r="AA250" s="416" t="str">
        <f t="shared" ca="1" si="19"/>
        <v/>
      </c>
      <c r="AB250" s="418" t="str">
        <f t="shared" ca="1" si="20"/>
        <v/>
      </c>
      <c r="AC250" s="417" t="str">
        <f t="shared" ca="1" si="21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69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7"/>
        <v/>
      </c>
      <c r="Z251" s="417" t="str">
        <f t="shared" ca="1" si="18"/>
        <v/>
      </c>
      <c r="AA251" s="416" t="str">
        <f t="shared" ca="1" si="19"/>
        <v/>
      </c>
      <c r="AB251" s="418" t="str">
        <f t="shared" ca="1" si="20"/>
        <v/>
      </c>
      <c r="AC251" s="417" t="str">
        <f t="shared" ca="1" si="21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69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7"/>
        <v/>
      </c>
      <c r="Z252" s="417" t="str">
        <f t="shared" ca="1" si="18"/>
        <v/>
      </c>
      <c r="AA252" s="416" t="str">
        <f t="shared" ca="1" si="19"/>
        <v/>
      </c>
      <c r="AB252" s="418" t="str">
        <f t="shared" ca="1" si="20"/>
        <v/>
      </c>
      <c r="AC252" s="417" t="str">
        <f t="shared" ca="1" si="21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69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7"/>
        <v/>
      </c>
      <c r="Z253" s="417" t="str">
        <f t="shared" ca="1" si="18"/>
        <v/>
      </c>
      <c r="AA253" s="416" t="str">
        <f t="shared" ca="1" si="19"/>
        <v/>
      </c>
      <c r="AB253" s="418" t="str">
        <f t="shared" ca="1" si="20"/>
        <v/>
      </c>
      <c r="AC253" s="417" t="str">
        <f t="shared" ca="1" si="21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69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7"/>
        <v/>
      </c>
      <c r="Z254" s="417" t="str">
        <f t="shared" ca="1" si="18"/>
        <v/>
      </c>
      <c r="AA254" s="416" t="str">
        <f t="shared" ca="1" si="19"/>
        <v/>
      </c>
      <c r="AB254" s="418" t="str">
        <f t="shared" ca="1" si="20"/>
        <v/>
      </c>
      <c r="AC254" s="417" t="str">
        <f t="shared" ca="1" si="21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69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7"/>
        <v/>
      </c>
      <c r="Z255" s="417" t="str">
        <f t="shared" ca="1" si="18"/>
        <v/>
      </c>
      <c r="AA255" s="416" t="str">
        <f t="shared" ca="1" si="19"/>
        <v/>
      </c>
      <c r="AB255" s="418" t="str">
        <f t="shared" ca="1" si="20"/>
        <v/>
      </c>
      <c r="AC255" s="417" t="str">
        <f t="shared" ca="1" si="21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69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7"/>
        <v/>
      </c>
      <c r="Z256" s="417" t="str">
        <f t="shared" ca="1" si="18"/>
        <v/>
      </c>
      <c r="AA256" s="416" t="str">
        <f t="shared" ca="1" si="19"/>
        <v/>
      </c>
      <c r="AB256" s="418" t="str">
        <f t="shared" ca="1" si="20"/>
        <v/>
      </c>
      <c r="AC256" s="417" t="str">
        <f t="shared" ca="1" si="21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69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7"/>
        <v/>
      </c>
      <c r="Z257" s="417" t="str">
        <f t="shared" ca="1" si="18"/>
        <v/>
      </c>
      <c r="AA257" s="416" t="str">
        <f t="shared" ca="1" si="19"/>
        <v/>
      </c>
      <c r="AB257" s="418" t="str">
        <f t="shared" ca="1" si="20"/>
        <v/>
      </c>
      <c r="AC257" s="417" t="str">
        <f t="shared" ca="1" si="21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69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7"/>
        <v/>
      </c>
      <c r="Z258" s="417" t="str">
        <f t="shared" ca="1" si="18"/>
        <v/>
      </c>
      <c r="AA258" s="416" t="str">
        <f t="shared" ca="1" si="19"/>
        <v/>
      </c>
      <c r="AB258" s="418" t="str">
        <f t="shared" ca="1" si="20"/>
        <v/>
      </c>
      <c r="AC258" s="417" t="str">
        <f t="shared" ca="1" si="21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69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7"/>
        <v/>
      </c>
      <c r="Z259" s="417" t="str">
        <f t="shared" ca="1" si="18"/>
        <v/>
      </c>
      <c r="AA259" s="416" t="str">
        <f t="shared" ca="1" si="19"/>
        <v/>
      </c>
      <c r="AB259" s="418" t="str">
        <f t="shared" ca="1" si="20"/>
        <v/>
      </c>
      <c r="AC259" s="417" t="str">
        <f t="shared" ca="1" si="21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69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7"/>
        <v/>
      </c>
      <c r="Z260" s="417" t="str">
        <f t="shared" ca="1" si="18"/>
        <v/>
      </c>
      <c r="AA260" s="416" t="str">
        <f t="shared" ca="1" si="19"/>
        <v/>
      </c>
      <c r="AB260" s="418" t="str">
        <f t="shared" ca="1" si="20"/>
        <v/>
      </c>
      <c r="AC260" s="417" t="str">
        <f t="shared" ca="1" si="21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69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7"/>
        <v/>
      </c>
      <c r="Z261" s="417" t="str">
        <f t="shared" ca="1" si="18"/>
        <v/>
      </c>
      <c r="AA261" s="416" t="str">
        <f t="shared" ca="1" si="19"/>
        <v/>
      </c>
      <c r="AB261" s="418" t="str">
        <f t="shared" ca="1" si="20"/>
        <v/>
      </c>
      <c r="AC261" s="417" t="str">
        <f t="shared" ca="1" si="21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69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7"/>
        <v/>
      </c>
      <c r="Z262" s="417" t="str">
        <f t="shared" ca="1" si="18"/>
        <v/>
      </c>
      <c r="AA262" s="416" t="str">
        <f t="shared" ca="1" si="19"/>
        <v/>
      </c>
      <c r="AB262" s="418" t="str">
        <f t="shared" ca="1" si="20"/>
        <v/>
      </c>
      <c r="AC262" s="417" t="str">
        <f t="shared" ca="1" si="21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69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7"/>
        <v/>
      </c>
      <c r="Z263" s="417" t="str">
        <f t="shared" ca="1" si="18"/>
        <v/>
      </c>
      <c r="AA263" s="416" t="str">
        <f t="shared" ca="1" si="19"/>
        <v/>
      </c>
      <c r="AB263" s="418" t="str">
        <f t="shared" ca="1" si="20"/>
        <v/>
      </c>
      <c r="AC263" s="417" t="str">
        <f t="shared" ca="1" si="21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69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7"/>
        <v/>
      </c>
      <c r="Z264" s="417" t="str">
        <f t="shared" ca="1" si="18"/>
        <v/>
      </c>
      <c r="AA264" s="416" t="str">
        <f t="shared" ca="1" si="19"/>
        <v/>
      </c>
      <c r="AB264" s="418" t="str">
        <f t="shared" ca="1" si="20"/>
        <v/>
      </c>
      <c r="AC264" s="417" t="str">
        <f t="shared" ca="1" si="21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69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7"/>
        <v/>
      </c>
      <c r="Z265" s="417" t="str">
        <f t="shared" ca="1" si="18"/>
        <v/>
      </c>
      <c r="AA265" s="416" t="str">
        <f t="shared" ca="1" si="19"/>
        <v/>
      </c>
      <c r="AB265" s="418" t="str">
        <f t="shared" ca="1" si="20"/>
        <v/>
      </c>
      <c r="AC265" s="417" t="str">
        <f t="shared" ca="1" si="21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69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7"/>
        <v/>
      </c>
      <c r="Z266" s="417" t="str">
        <f t="shared" ca="1" si="18"/>
        <v/>
      </c>
      <c r="AA266" s="416" t="str">
        <f t="shared" ca="1" si="19"/>
        <v/>
      </c>
      <c r="AB266" s="418" t="str">
        <f t="shared" ca="1" si="20"/>
        <v/>
      </c>
      <c r="AC266" s="417" t="str">
        <f t="shared" ca="1" si="21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69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7"/>
        <v/>
      </c>
      <c r="Z267" s="417" t="str">
        <f t="shared" ca="1" si="18"/>
        <v/>
      </c>
      <c r="AA267" s="416" t="str">
        <f t="shared" ca="1" si="19"/>
        <v/>
      </c>
      <c r="AB267" s="418" t="str">
        <f t="shared" ca="1" si="20"/>
        <v/>
      </c>
      <c r="AC267" s="417" t="str">
        <f t="shared" ca="1" si="21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69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7"/>
        <v/>
      </c>
      <c r="Z268" s="417" t="str">
        <f t="shared" ca="1" si="18"/>
        <v/>
      </c>
      <c r="AA268" s="416" t="str">
        <f t="shared" ca="1" si="19"/>
        <v/>
      </c>
      <c r="AB268" s="418" t="str">
        <f t="shared" ca="1" si="20"/>
        <v/>
      </c>
      <c r="AC268" s="417" t="str">
        <f t="shared" ca="1" si="21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69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7"/>
        <v/>
      </c>
      <c r="Z269" s="417" t="str">
        <f t="shared" ca="1" si="18"/>
        <v/>
      </c>
      <c r="AA269" s="416" t="str">
        <f t="shared" ca="1" si="19"/>
        <v/>
      </c>
      <c r="AB269" s="418" t="str">
        <f t="shared" ca="1" si="20"/>
        <v/>
      </c>
      <c r="AC269" s="417" t="str">
        <f t="shared" ca="1" si="21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69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7"/>
        <v/>
      </c>
      <c r="Z270" s="417" t="str">
        <f t="shared" ca="1" si="18"/>
        <v/>
      </c>
      <c r="AA270" s="416" t="str">
        <f t="shared" ca="1" si="19"/>
        <v/>
      </c>
      <c r="AB270" s="418" t="str">
        <f t="shared" ca="1" si="20"/>
        <v/>
      </c>
      <c r="AC270" s="417" t="str">
        <f t="shared" ca="1" si="21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69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7"/>
        <v/>
      </c>
      <c r="Z271" s="417" t="str">
        <f t="shared" ca="1" si="18"/>
        <v/>
      </c>
      <c r="AA271" s="416" t="str">
        <f t="shared" ca="1" si="19"/>
        <v/>
      </c>
      <c r="AB271" s="418" t="str">
        <f t="shared" ca="1" si="20"/>
        <v/>
      </c>
      <c r="AC271" s="417" t="str">
        <f t="shared" ca="1" si="21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69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2">IF($U$12,IF(T272="","",$U$13*D296/$C$18),"")</f>
        <v/>
      </c>
      <c r="Z272" s="417" t="str">
        <f t="shared" ref="Z272:Z314" ca="1" si="23">IF($U$12,IF(Y272="","",Y272*($Z$10-W272)*X272),"")</f>
        <v/>
      </c>
      <c r="AA272" s="416" t="str">
        <f t="shared" ref="AA272:AA313" ca="1" si="24">IF($U$12,IF(OR(T272="",L272=""),"",L272/($C$20-$C$19)),"")</f>
        <v/>
      </c>
      <c r="AB272" s="418" t="str">
        <f t="shared" ref="AB272:AB313" ca="1" si="25">IF($U$12,IF(W272="","",W272*$AC$10),"")</f>
        <v/>
      </c>
      <c r="AC272" s="417" t="str">
        <f t="shared" ref="AC272:AC313" ca="1" si="26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69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2"/>
        <v/>
      </c>
      <c r="Z273" s="417" t="str">
        <f t="shared" ca="1" si="23"/>
        <v/>
      </c>
      <c r="AA273" s="416" t="str">
        <f t="shared" ca="1" si="24"/>
        <v/>
      </c>
      <c r="AB273" s="418" t="str">
        <f t="shared" ca="1" si="25"/>
        <v/>
      </c>
      <c r="AC273" s="417" t="str">
        <f t="shared" ca="1" si="26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69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2"/>
        <v/>
      </c>
      <c r="Z274" s="417" t="str">
        <f t="shared" ca="1" si="23"/>
        <v/>
      </c>
      <c r="AA274" s="416" t="str">
        <f t="shared" ca="1" si="24"/>
        <v/>
      </c>
      <c r="AB274" s="418" t="str">
        <f t="shared" ca="1" si="25"/>
        <v/>
      </c>
      <c r="AC274" s="417" t="str">
        <f t="shared" ca="1" si="26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69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2"/>
        <v/>
      </c>
      <c r="Z275" s="417" t="str">
        <f t="shared" ca="1" si="23"/>
        <v/>
      </c>
      <c r="AA275" s="416" t="str">
        <f t="shared" ca="1" si="24"/>
        <v/>
      </c>
      <c r="AB275" s="418" t="str">
        <f t="shared" ca="1" si="25"/>
        <v/>
      </c>
      <c r="AC275" s="417" t="str">
        <f t="shared" ca="1" si="26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69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2"/>
        <v/>
      </c>
      <c r="Z276" s="417" t="str">
        <f t="shared" ca="1" si="23"/>
        <v/>
      </c>
      <c r="AA276" s="416" t="str">
        <f t="shared" ca="1" si="24"/>
        <v/>
      </c>
      <c r="AB276" s="418" t="str">
        <f t="shared" ca="1" si="25"/>
        <v/>
      </c>
      <c r="AC276" s="417" t="str">
        <f t="shared" ca="1" si="26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69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2"/>
        <v/>
      </c>
      <c r="Z277" s="417" t="str">
        <f t="shared" ca="1" si="23"/>
        <v/>
      </c>
      <c r="AA277" s="416" t="str">
        <f t="shared" ca="1" si="24"/>
        <v/>
      </c>
      <c r="AB277" s="418" t="str">
        <f t="shared" ca="1" si="25"/>
        <v/>
      </c>
      <c r="AC277" s="417" t="str">
        <f t="shared" ca="1" si="26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69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2"/>
        <v/>
      </c>
      <c r="Z278" s="417" t="str">
        <f t="shared" ca="1" si="23"/>
        <v/>
      </c>
      <c r="AA278" s="416" t="str">
        <f t="shared" ca="1" si="24"/>
        <v/>
      </c>
      <c r="AB278" s="418" t="str">
        <f t="shared" ca="1" si="25"/>
        <v/>
      </c>
      <c r="AC278" s="417" t="str">
        <f t="shared" ca="1" si="26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69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2"/>
        <v/>
      </c>
      <c r="Z279" s="417" t="str">
        <f t="shared" ca="1" si="23"/>
        <v/>
      </c>
      <c r="AA279" s="416" t="str">
        <f t="shared" ca="1" si="24"/>
        <v/>
      </c>
      <c r="AB279" s="418" t="str">
        <f t="shared" ca="1" si="25"/>
        <v/>
      </c>
      <c r="AC279" s="417" t="str">
        <f t="shared" ca="1" si="26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69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2"/>
        <v/>
      </c>
      <c r="Z280" s="417" t="str">
        <f t="shared" ca="1" si="23"/>
        <v/>
      </c>
      <c r="AA280" s="416" t="str">
        <f t="shared" ca="1" si="24"/>
        <v/>
      </c>
      <c r="AB280" s="418" t="str">
        <f t="shared" ca="1" si="25"/>
        <v/>
      </c>
      <c r="AC280" s="417" t="str">
        <f t="shared" ca="1" si="26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69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2"/>
        <v/>
      </c>
      <c r="Z281" s="417" t="str">
        <f t="shared" ca="1" si="23"/>
        <v/>
      </c>
      <c r="AA281" s="416" t="str">
        <f t="shared" ca="1" si="24"/>
        <v/>
      </c>
      <c r="AB281" s="418" t="str">
        <f t="shared" ca="1" si="25"/>
        <v/>
      </c>
      <c r="AC281" s="417" t="str">
        <f t="shared" ca="1" si="26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69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2"/>
        <v/>
      </c>
      <c r="Z282" s="417" t="str">
        <f t="shared" ca="1" si="23"/>
        <v/>
      </c>
      <c r="AA282" s="416" t="str">
        <f t="shared" ca="1" si="24"/>
        <v/>
      </c>
      <c r="AB282" s="418" t="str">
        <f t="shared" ca="1" si="25"/>
        <v/>
      </c>
      <c r="AC282" s="417" t="str">
        <f t="shared" ca="1" si="26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69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2"/>
        <v/>
      </c>
      <c r="Z283" s="417" t="str">
        <f t="shared" ca="1" si="23"/>
        <v/>
      </c>
      <c r="AA283" s="416" t="str">
        <f t="shared" ca="1" si="24"/>
        <v/>
      </c>
      <c r="AB283" s="418" t="str">
        <f t="shared" ca="1" si="25"/>
        <v/>
      </c>
      <c r="AC283" s="417" t="str">
        <f t="shared" ca="1" si="26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69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2"/>
        <v/>
      </c>
      <c r="Z284" s="417" t="str">
        <f t="shared" ca="1" si="23"/>
        <v/>
      </c>
      <c r="AA284" s="416" t="str">
        <f t="shared" ca="1" si="24"/>
        <v/>
      </c>
      <c r="AB284" s="418" t="str">
        <f t="shared" ca="1" si="25"/>
        <v/>
      </c>
      <c r="AC284" s="417" t="str">
        <f t="shared" ca="1" si="26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69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2"/>
        <v/>
      </c>
      <c r="Z285" s="417" t="str">
        <f t="shared" ca="1" si="23"/>
        <v/>
      </c>
      <c r="AA285" s="416" t="str">
        <f t="shared" ca="1" si="24"/>
        <v/>
      </c>
      <c r="AB285" s="418" t="str">
        <f t="shared" ca="1" si="25"/>
        <v/>
      </c>
      <c r="AC285" s="417" t="str">
        <f t="shared" ca="1" si="26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69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2"/>
        <v/>
      </c>
      <c r="Z286" s="417" t="str">
        <f t="shared" ca="1" si="23"/>
        <v/>
      </c>
      <c r="AA286" s="416" t="str">
        <f t="shared" ca="1" si="24"/>
        <v/>
      </c>
      <c r="AB286" s="418" t="str">
        <f t="shared" ca="1" si="25"/>
        <v/>
      </c>
      <c r="AC286" s="417" t="str">
        <f t="shared" ca="1" si="26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69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2"/>
        <v/>
      </c>
      <c r="Z287" s="417" t="str">
        <f t="shared" ca="1" si="23"/>
        <v/>
      </c>
      <c r="AA287" s="416" t="str">
        <f t="shared" ca="1" si="24"/>
        <v/>
      </c>
      <c r="AB287" s="418" t="str">
        <f t="shared" ca="1" si="25"/>
        <v/>
      </c>
      <c r="AC287" s="417" t="str">
        <f t="shared" ca="1" si="26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69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2"/>
        <v/>
      </c>
      <c r="Z288" s="417" t="str">
        <f t="shared" ca="1" si="23"/>
        <v/>
      </c>
      <c r="AA288" s="416" t="str">
        <f t="shared" ca="1" si="24"/>
        <v/>
      </c>
      <c r="AB288" s="418" t="str">
        <f t="shared" ca="1" si="25"/>
        <v/>
      </c>
      <c r="AC288" s="417" t="str">
        <f t="shared" ca="1" si="26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69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2"/>
        <v/>
      </c>
      <c r="Z289" s="417" t="str">
        <f t="shared" ca="1" si="23"/>
        <v/>
      </c>
      <c r="AA289" s="416" t="str">
        <f t="shared" ca="1" si="24"/>
        <v/>
      </c>
      <c r="AB289" s="418" t="str">
        <f t="shared" ca="1" si="25"/>
        <v/>
      </c>
      <c r="AC289" s="417" t="str">
        <f t="shared" ca="1" si="26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69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2"/>
        <v/>
      </c>
      <c r="Z290" s="417" t="str">
        <f t="shared" ca="1" si="23"/>
        <v/>
      </c>
      <c r="AA290" s="416" t="str">
        <f t="shared" ca="1" si="24"/>
        <v/>
      </c>
      <c r="AB290" s="418" t="str">
        <f t="shared" ca="1" si="25"/>
        <v/>
      </c>
      <c r="AC290" s="417" t="str">
        <f t="shared" ca="1" si="26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69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2"/>
        <v/>
      </c>
      <c r="Z291" s="417" t="str">
        <f t="shared" ca="1" si="23"/>
        <v/>
      </c>
      <c r="AA291" s="416" t="str">
        <f t="shared" ca="1" si="24"/>
        <v/>
      </c>
      <c r="AB291" s="418" t="str">
        <f t="shared" ca="1" si="25"/>
        <v/>
      </c>
      <c r="AC291" s="417" t="str">
        <f t="shared" ca="1" si="26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69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2"/>
        <v/>
      </c>
      <c r="Z292" s="417" t="str">
        <f t="shared" ca="1" si="23"/>
        <v/>
      </c>
      <c r="AA292" s="416" t="str">
        <f t="shared" ca="1" si="24"/>
        <v/>
      </c>
      <c r="AB292" s="418" t="str">
        <f t="shared" ca="1" si="25"/>
        <v/>
      </c>
      <c r="AC292" s="417" t="str">
        <f t="shared" ca="1" si="26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69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2"/>
        <v/>
      </c>
      <c r="Z293" s="417" t="str">
        <f t="shared" ca="1" si="23"/>
        <v/>
      </c>
      <c r="AA293" s="416" t="str">
        <f t="shared" ca="1" si="24"/>
        <v/>
      </c>
      <c r="AB293" s="418" t="str">
        <f t="shared" ca="1" si="25"/>
        <v/>
      </c>
      <c r="AC293" s="417" t="str">
        <f t="shared" ca="1" si="26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69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2"/>
        <v/>
      </c>
      <c r="Z294" s="417" t="str">
        <f t="shared" ca="1" si="23"/>
        <v/>
      </c>
      <c r="AA294" s="416" t="str">
        <f t="shared" ca="1" si="24"/>
        <v/>
      </c>
      <c r="AB294" s="418" t="str">
        <f t="shared" ca="1" si="25"/>
        <v/>
      </c>
      <c r="AC294" s="417" t="str">
        <f t="shared" ca="1" si="26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69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2"/>
        <v/>
      </c>
      <c r="Z295" s="417" t="str">
        <f t="shared" ca="1" si="23"/>
        <v/>
      </c>
      <c r="AA295" s="416" t="str">
        <f t="shared" ca="1" si="24"/>
        <v/>
      </c>
      <c r="AB295" s="418" t="str">
        <f t="shared" ca="1" si="25"/>
        <v/>
      </c>
      <c r="AC295" s="417" t="str">
        <f t="shared" ca="1" si="26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69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2"/>
        <v/>
      </c>
      <c r="Z296" s="417" t="str">
        <f t="shared" ca="1" si="23"/>
        <v/>
      </c>
      <c r="AA296" s="416" t="str">
        <f t="shared" ca="1" si="24"/>
        <v/>
      </c>
      <c r="AB296" s="418" t="str">
        <f t="shared" ca="1" si="25"/>
        <v/>
      </c>
      <c r="AC296" s="417" t="str">
        <f t="shared" ca="1" si="26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69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2"/>
        <v/>
      </c>
      <c r="Z297" s="417" t="str">
        <f t="shared" ca="1" si="23"/>
        <v/>
      </c>
      <c r="AA297" s="416" t="str">
        <f t="shared" ca="1" si="24"/>
        <v/>
      </c>
      <c r="AB297" s="418" t="str">
        <f t="shared" ca="1" si="25"/>
        <v/>
      </c>
      <c r="AC297" s="417" t="str">
        <f t="shared" ca="1" si="26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69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2"/>
        <v/>
      </c>
      <c r="Z298" s="417" t="str">
        <f t="shared" ca="1" si="23"/>
        <v/>
      </c>
      <c r="AA298" s="416" t="str">
        <f t="shared" ca="1" si="24"/>
        <v/>
      </c>
      <c r="AB298" s="418" t="str">
        <f t="shared" ca="1" si="25"/>
        <v/>
      </c>
      <c r="AC298" s="417" t="str">
        <f t="shared" ca="1" si="26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69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2"/>
        <v/>
      </c>
      <c r="Z299" s="417" t="str">
        <f t="shared" ca="1" si="23"/>
        <v/>
      </c>
      <c r="AA299" s="416" t="str">
        <f t="shared" ca="1" si="24"/>
        <v/>
      </c>
      <c r="AB299" s="418" t="str">
        <f t="shared" ca="1" si="25"/>
        <v/>
      </c>
      <c r="AC299" s="417" t="str">
        <f t="shared" ca="1" si="26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69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2"/>
        <v/>
      </c>
      <c r="Z300" s="417" t="str">
        <f t="shared" ca="1" si="23"/>
        <v/>
      </c>
      <c r="AA300" s="416" t="str">
        <f t="shared" ca="1" si="24"/>
        <v/>
      </c>
      <c r="AB300" s="418" t="str">
        <f t="shared" ca="1" si="25"/>
        <v/>
      </c>
      <c r="AC300" s="417" t="str">
        <f t="shared" ca="1" si="26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69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2"/>
        <v/>
      </c>
      <c r="Z301" s="417" t="str">
        <f t="shared" ca="1" si="23"/>
        <v/>
      </c>
      <c r="AA301" s="416" t="str">
        <f t="shared" ca="1" si="24"/>
        <v/>
      </c>
      <c r="AB301" s="418" t="str">
        <f t="shared" ca="1" si="25"/>
        <v/>
      </c>
      <c r="AC301" s="417" t="str">
        <f t="shared" ca="1" si="26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69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2"/>
        <v/>
      </c>
      <c r="Z302" s="417" t="str">
        <f t="shared" ca="1" si="23"/>
        <v/>
      </c>
      <c r="AA302" s="416" t="str">
        <f t="shared" ca="1" si="24"/>
        <v/>
      </c>
      <c r="AB302" s="418" t="str">
        <f t="shared" ca="1" si="25"/>
        <v/>
      </c>
      <c r="AC302" s="417" t="str">
        <f t="shared" ca="1" si="26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69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2"/>
        <v/>
      </c>
      <c r="Z303" s="417" t="str">
        <f t="shared" ca="1" si="23"/>
        <v/>
      </c>
      <c r="AA303" s="416" t="str">
        <f t="shared" ca="1" si="24"/>
        <v/>
      </c>
      <c r="AB303" s="418" t="str">
        <f t="shared" ca="1" si="25"/>
        <v/>
      </c>
      <c r="AC303" s="417" t="str">
        <f t="shared" ca="1" si="26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69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2"/>
        <v/>
      </c>
      <c r="Z304" s="417" t="str">
        <f t="shared" ca="1" si="23"/>
        <v/>
      </c>
      <c r="AA304" s="416" t="str">
        <f t="shared" ca="1" si="24"/>
        <v/>
      </c>
      <c r="AB304" s="418" t="str">
        <f t="shared" ca="1" si="25"/>
        <v/>
      </c>
      <c r="AC304" s="417" t="str">
        <f t="shared" ca="1" si="26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69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2"/>
        <v/>
      </c>
      <c r="Z305" s="417" t="str">
        <f t="shared" ca="1" si="23"/>
        <v/>
      </c>
      <c r="AA305" s="416" t="str">
        <f t="shared" ca="1" si="24"/>
        <v/>
      </c>
      <c r="AB305" s="418" t="str">
        <f t="shared" ca="1" si="25"/>
        <v/>
      </c>
      <c r="AC305" s="417" t="str">
        <f t="shared" ca="1" si="26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69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2"/>
        <v/>
      </c>
      <c r="Z306" s="417" t="str">
        <f t="shared" ca="1" si="23"/>
        <v/>
      </c>
      <c r="AA306" s="416" t="str">
        <f t="shared" ca="1" si="24"/>
        <v/>
      </c>
      <c r="AB306" s="418" t="str">
        <f t="shared" ca="1" si="25"/>
        <v/>
      </c>
      <c r="AC306" s="417" t="str">
        <f t="shared" ca="1" si="26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69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2"/>
        <v/>
      </c>
      <c r="Z307" s="417" t="str">
        <f t="shared" ca="1" si="23"/>
        <v/>
      </c>
      <c r="AA307" s="416" t="str">
        <f t="shared" ca="1" si="24"/>
        <v/>
      </c>
      <c r="AB307" s="418" t="str">
        <f t="shared" ca="1" si="25"/>
        <v/>
      </c>
      <c r="AC307" s="417" t="str">
        <f t="shared" ca="1" si="26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69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2"/>
        <v/>
      </c>
      <c r="Z308" s="417" t="str">
        <f t="shared" ca="1" si="23"/>
        <v/>
      </c>
      <c r="AA308" s="416" t="str">
        <f t="shared" ca="1" si="24"/>
        <v/>
      </c>
      <c r="AB308" s="418" t="str">
        <f t="shared" ca="1" si="25"/>
        <v/>
      </c>
      <c r="AC308" s="417" t="str">
        <f t="shared" ca="1" si="26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69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2"/>
        <v/>
      </c>
      <c r="Z309" s="417" t="str">
        <f t="shared" ca="1" si="23"/>
        <v/>
      </c>
      <c r="AA309" s="416" t="str">
        <f t="shared" ca="1" si="24"/>
        <v/>
      </c>
      <c r="AB309" s="418" t="str">
        <f t="shared" ca="1" si="25"/>
        <v/>
      </c>
      <c r="AC309" s="417" t="str">
        <f t="shared" ca="1" si="26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69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2"/>
        <v/>
      </c>
      <c r="Z310" s="417" t="str">
        <f t="shared" ca="1" si="23"/>
        <v/>
      </c>
      <c r="AA310" s="416" t="str">
        <f t="shared" ca="1" si="24"/>
        <v/>
      </c>
      <c r="AB310" s="418" t="str">
        <f t="shared" ca="1" si="25"/>
        <v/>
      </c>
      <c r="AC310" s="417" t="str">
        <f t="shared" ca="1" si="26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69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2"/>
        <v/>
      </c>
      <c r="Z311" s="417" t="str">
        <f t="shared" ca="1" si="23"/>
        <v/>
      </c>
      <c r="AA311" s="416" t="str">
        <f t="shared" ca="1" si="24"/>
        <v/>
      </c>
      <c r="AB311" s="418" t="str">
        <f t="shared" ca="1" si="25"/>
        <v/>
      </c>
      <c r="AC311" s="417" t="str">
        <f t="shared" ca="1" si="26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69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2"/>
        <v/>
      </c>
      <c r="Z312" s="417" t="str">
        <f t="shared" ca="1" si="23"/>
        <v/>
      </c>
      <c r="AA312" s="416" t="str">
        <f t="shared" ca="1" si="24"/>
        <v/>
      </c>
      <c r="AB312" s="418" t="str">
        <f t="shared" ca="1" si="25"/>
        <v/>
      </c>
      <c r="AC312" s="417" t="str">
        <f t="shared" ca="1" si="26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69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2"/>
        <v/>
      </c>
      <c r="Z313" s="417" t="str">
        <f t="shared" ca="1" si="23"/>
        <v/>
      </c>
      <c r="AA313" s="416" t="str">
        <f t="shared" ca="1" si="24"/>
        <v/>
      </c>
      <c r="AB313" s="418" t="str">
        <f t="shared" ca="1" si="25"/>
        <v/>
      </c>
      <c r="AC313" s="417" t="str">
        <f t="shared" ca="1" si="26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644" t="str">
        <f t="shared" ca="1" si="22"/>
        <v/>
      </c>
      <c r="Z314" s="645" t="str">
        <f t="shared" ca="1" si="23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S808"/>
  <sheetViews>
    <sheetView tabSelected="1" topLeftCell="AL3" zoomScale="131" zoomScaleNormal="160" workbookViewId="0">
      <selection activeCell="AX5" sqref="AX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11.7265625" style="273" bestFit="1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30" width="9" style="79" customWidth="1"/>
    <col min="31" max="31" width="16.7265625" style="272" customWidth="1"/>
    <col min="32" max="36" width="7.7265625" style="272" customWidth="1"/>
    <col min="37" max="37" width="9" style="272" bestFit="1" customWidth="1"/>
    <col min="38" max="49" width="7.7265625" style="272" customWidth="1"/>
    <col min="50" max="52" width="9.1796875" style="272"/>
    <col min="53" max="53" width="7.1796875" style="272" bestFit="1" customWidth="1"/>
    <col min="54" max="56" width="9.1796875" style="272"/>
    <col min="57" max="57" width="9.7265625" style="272" bestFit="1" customWidth="1"/>
    <col min="58" max="59" width="9.1796875" style="272"/>
    <col min="60" max="60" width="9.7265625" style="272" bestFit="1" customWidth="1"/>
    <col min="61" max="61" width="9.1796875" style="272"/>
    <col min="62" max="62" width="7.36328125" style="272" bestFit="1" customWidth="1"/>
    <col min="63" max="16384" width="9.1796875" style="272"/>
  </cols>
  <sheetData>
    <row r="1" spans="1:227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</row>
    <row r="2" spans="1:227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</row>
    <row r="3" spans="1:227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80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</row>
    <row r="4" spans="1:227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</row>
    <row r="5" spans="1:227">
      <c r="D5" s="272"/>
      <c r="E5" s="272"/>
      <c r="F5" s="272"/>
      <c r="G5" s="272"/>
      <c r="H5" s="604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U5" s="579"/>
      <c r="AV5" s="579"/>
      <c r="AW5" s="579"/>
      <c r="AX5" s="579"/>
      <c r="AY5" s="579"/>
    </row>
    <row r="6" spans="1:227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U6" s="579"/>
      <c r="AV6" s="579"/>
      <c r="AW6" s="579"/>
      <c r="AX6" s="579"/>
      <c r="AY6" s="579"/>
    </row>
    <row r="7" spans="1:227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577"/>
      <c r="AH7" s="79"/>
      <c r="AP7" s="579"/>
      <c r="AU7" s="579"/>
      <c r="AV7" s="579"/>
      <c r="AX7" s="579"/>
      <c r="AY7" s="579"/>
    </row>
    <row r="8" spans="1:227" ht="11" thickBot="1">
      <c r="B8" s="468" t="s">
        <v>625</v>
      </c>
      <c r="C8" s="476" t="s">
        <v>626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705</v>
      </c>
      <c r="T8" s="468" t="s">
        <v>664</v>
      </c>
      <c r="U8" s="476" t="s">
        <v>653</v>
      </c>
      <c r="V8" s="468" t="s">
        <v>606</v>
      </c>
      <c r="W8" s="144" t="b">
        <v>1</v>
      </c>
      <c r="X8" s="272"/>
      <c r="Y8" s="272"/>
      <c r="Z8" s="272"/>
      <c r="AA8" s="272"/>
      <c r="AB8" s="272"/>
      <c r="AC8" s="272"/>
      <c r="AD8" s="272"/>
      <c r="AK8" s="476" t="s">
        <v>710</v>
      </c>
      <c r="AL8" s="646">
        <f ca="1">AK14-AQ14+MAX(AT14-AW14,AT15-AW15,AT16-AW16)+BJ14+AA10</f>
        <v>2.0890093468284889</v>
      </c>
      <c r="AM8" s="579"/>
      <c r="AN8" s="579"/>
      <c r="AO8" s="579"/>
      <c r="AP8" s="579"/>
    </row>
    <row r="9" spans="1:227" ht="10.5" thickBot="1">
      <c r="B9" s="468" t="s">
        <v>627</v>
      </c>
      <c r="C9" s="523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6" cm="1">
        <f t="array" aca="1" ref="S9" ca="1">rw(T9:T103)</f>
        <v>0.06</v>
      </c>
      <c r="T9" s="574" cm="1">
        <f t="array" aca="1" ref="T9:U133" ca="1">riskWeight(E25:E399)</f>
        <v>0.03</v>
      </c>
      <c r="U9" s="571">
        <f ca="1"/>
        <v>1</v>
      </c>
      <c r="V9" s="465" t="s">
        <v>709</v>
      </c>
      <c r="W9" s="481"/>
      <c r="X9" s="272"/>
      <c r="Y9" s="272"/>
      <c r="Z9" s="465" t="s">
        <v>601</v>
      </c>
      <c r="AA9" s="483"/>
      <c r="AB9" s="272"/>
      <c r="AC9" s="272"/>
      <c r="AD9" s="272"/>
      <c r="AL9" s="579"/>
      <c r="AM9" s="579"/>
      <c r="AN9" s="579"/>
      <c r="AO9" s="579"/>
      <c r="AP9" s="579"/>
      <c r="AR9" s="476" t="s">
        <v>701</v>
      </c>
      <c r="AS9" s="476"/>
      <c r="AT9" s="633" t="s">
        <v>702</v>
      </c>
      <c r="AU9" s="476" t="s">
        <v>701</v>
      </c>
      <c r="AV9" s="476"/>
      <c r="AW9" s="633" t="s">
        <v>703</v>
      </c>
    </row>
    <row r="10" spans="1:227" ht="10.5" thickBot="1">
      <c r="B10" s="468" t="s">
        <v>628</v>
      </c>
      <c r="C10" s="468" t="s">
        <v>82</v>
      </c>
      <c r="D10" s="468" t="s">
        <v>432</v>
      </c>
      <c r="E10" s="468" t="s">
        <v>629</v>
      </c>
      <c r="F10" s="468" t="s">
        <v>630</v>
      </c>
      <c r="G10" s="468" t="s">
        <v>631</v>
      </c>
      <c r="H10" s="468" t="s">
        <v>632</v>
      </c>
      <c r="I10" s="468" t="s">
        <v>633</v>
      </c>
      <c r="J10" s="468" t="s">
        <v>634</v>
      </c>
      <c r="K10" s="476" t="s">
        <v>485</v>
      </c>
      <c r="L10" s="272"/>
      <c r="M10" s="468" t="s">
        <v>673</v>
      </c>
      <c r="N10" s="468" t="s">
        <v>687</v>
      </c>
      <c r="P10" s="273"/>
      <c r="R10" s="273"/>
      <c r="T10" s="575">
        <f ca="1"/>
        <v>0.03</v>
      </c>
      <c r="U10" s="572">
        <f ca="1"/>
        <v>2</v>
      </c>
      <c r="V10" s="466" t="s">
        <v>603</v>
      </c>
      <c r="W10" s="492">
        <f ca="1">MAX(MAX(W11,0)+0.5*MIN(W11,0),0)</f>
        <v>0.18460964066721178</v>
      </c>
      <c r="X10" s="272"/>
      <c r="Y10" s="272"/>
      <c r="Z10" s="466" t="s">
        <v>603</v>
      </c>
      <c r="AA10" s="492">
        <f ca="1">MAX(MAX(AA11,0)+0.5*MIN(AA11,0),0)</f>
        <v>2.0389211264237681E-2</v>
      </c>
      <c r="AB10" s="272"/>
      <c r="AC10" s="272"/>
      <c r="AD10" s="272"/>
      <c r="AE10" s="79"/>
      <c r="AF10" s="476" t="s">
        <v>693</v>
      </c>
      <c r="AG10" s="624"/>
      <c r="AH10" s="624"/>
      <c r="AI10" s="624"/>
      <c r="AJ10" s="624"/>
      <c r="AK10" s="623"/>
      <c r="AL10" s="622"/>
      <c r="AM10" s="622"/>
      <c r="AN10" s="622"/>
      <c r="AO10" s="622"/>
      <c r="AP10" s="622"/>
      <c r="AQ10" s="194"/>
      <c r="AR10" s="476" t="s">
        <v>700</v>
      </c>
      <c r="AS10" s="476"/>
      <c r="AT10" s="634" t="s">
        <v>704</v>
      </c>
      <c r="AU10" s="476" t="s">
        <v>700</v>
      </c>
      <c r="AV10" s="476"/>
      <c r="AW10" s="634" t="s">
        <v>704</v>
      </c>
    </row>
    <row r="11" spans="1:227" ht="10.5" thickBot="1">
      <c r="B11" s="528" t="s">
        <v>635</v>
      </c>
      <c r="C11" s="529" t="s">
        <v>66</v>
      </c>
      <c r="D11" s="529" t="s">
        <v>55</v>
      </c>
      <c r="E11" s="529">
        <v>0.12</v>
      </c>
      <c r="F11" s="529">
        <v>1</v>
      </c>
      <c r="G11" s="529" t="s">
        <v>434</v>
      </c>
      <c r="H11" s="529">
        <v>100</v>
      </c>
      <c r="I11" s="529">
        <v>9.4748000000000001</v>
      </c>
      <c r="J11" s="543">
        <v>46376</v>
      </c>
      <c r="K11" s="605"/>
      <c r="L11" s="272"/>
      <c r="M11" s="586" t="s">
        <v>674</v>
      </c>
      <c r="N11" s="588">
        <v>1</v>
      </c>
      <c r="P11" s="273"/>
      <c r="Q11" s="273"/>
      <c r="R11" s="273"/>
      <c r="S11" s="273"/>
      <c r="T11" s="575">
        <f ca="1"/>
        <v>0.06</v>
      </c>
      <c r="U11" s="572">
        <f ca="1"/>
        <v>3</v>
      </c>
      <c r="V11" s="466" t="s">
        <v>602</v>
      </c>
      <c r="W11" s="492">
        <f ca="1">(S9*SUM(X14:X313))/('CDO Bespoke'!C20-'CDO Bespoke'!C19)</f>
        <v>0.18460964066721178</v>
      </c>
      <c r="X11" s="272"/>
      <c r="Y11" s="272"/>
      <c r="Z11" s="466" t="s">
        <v>602</v>
      </c>
      <c r="AA11" s="492">
        <f ca="1">(S9*SUM(AB14:AB313)-S9*AA12*SUM(AC14:AC313))/('CDO Bespoke'!C20-'CDO Bespoke'!C19)</f>
        <v>2.0389211264237681E-2</v>
      </c>
      <c r="AB11" s="272"/>
      <c r="AC11" s="272"/>
      <c r="AD11" s="272"/>
      <c r="AF11" s="502" cm="1">
        <f t="array" aca="1" ref="AF11:AK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G11" s="503">
        <f ca="1"/>
        <v>-2.4480857698794267E-2</v>
      </c>
      <c r="AH11" s="503">
        <f ca="1"/>
        <v>-5.4004857998890543E-2</v>
      </c>
      <c r="AI11" s="503">
        <f ca="1"/>
        <v>-0.13567459050012332</v>
      </c>
      <c r="AJ11" s="504">
        <f ca="1"/>
        <v>0</v>
      </c>
      <c r="AK11" s="620">
        <f ca="1"/>
        <v>1.0164712145070576E-2</v>
      </c>
      <c r="AL11" s="194"/>
      <c r="AM11" s="194"/>
      <c r="AN11" s="194"/>
      <c r="AO11" s="194"/>
      <c r="AP11" s="194"/>
      <c r="AQ11" s="194"/>
      <c r="AR11" s="476" t="s">
        <v>699</v>
      </c>
      <c r="AS11" s="476"/>
      <c r="AT11" s="632">
        <v>1E-4</v>
      </c>
      <c r="AU11" s="476" t="s">
        <v>699</v>
      </c>
      <c r="AV11" s="476"/>
      <c r="AW11" s="632">
        <v>1E-4</v>
      </c>
    </row>
    <row r="12" spans="1:227" ht="10.5" thickBot="1">
      <c r="B12" s="516" t="s">
        <v>635</v>
      </c>
      <c r="C12" s="517" t="s">
        <v>66</v>
      </c>
      <c r="D12" s="517" t="s">
        <v>57</v>
      </c>
      <c r="E12" s="517">
        <v>0.12</v>
      </c>
      <c r="F12" s="517">
        <v>1</v>
      </c>
      <c r="G12" s="517" t="s">
        <v>434</v>
      </c>
      <c r="H12" s="517">
        <v>100</v>
      </c>
      <c r="I12" s="517">
        <v>22.439800000000002</v>
      </c>
      <c r="J12" s="522">
        <v>47107</v>
      </c>
      <c r="K12" s="606"/>
      <c r="L12" s="272"/>
      <c r="M12" s="596" t="s">
        <v>675</v>
      </c>
      <c r="N12" s="597">
        <v>1</v>
      </c>
      <c r="P12" s="273"/>
      <c r="Q12" s="273"/>
      <c r="R12" s="273"/>
      <c r="S12" s="273"/>
      <c r="T12" s="575">
        <f ca="1"/>
        <v>0.06</v>
      </c>
      <c r="U12" s="572">
        <f ca="1"/>
        <v>4</v>
      </c>
      <c r="V12" s="466" t="s">
        <v>600</v>
      </c>
      <c r="W12" s="492">
        <f ca="1">SUM(X14:X313)/(SUM(X14:X313)+SUM(Y14:Y313))</f>
        <v>1</v>
      </c>
      <c r="X12" s="272"/>
      <c r="Y12" s="272"/>
      <c r="Z12" s="466" t="s">
        <v>600</v>
      </c>
      <c r="AA12" s="492">
        <f ca="1">SUM(AB14:AB313)/(SUM(AB14:AB313)+SUM(AC14:AC313))</f>
        <v>1</v>
      </c>
      <c r="AB12" s="272"/>
      <c r="AC12" s="272"/>
      <c r="AD12" s="272"/>
      <c r="AF12" s="476" t="s">
        <v>690</v>
      </c>
      <c r="AG12" s="621"/>
      <c r="AH12" s="621"/>
      <c r="AI12" s="621"/>
      <c r="AJ12" s="621"/>
      <c r="AK12" s="625"/>
      <c r="AL12" s="476" t="s">
        <v>692</v>
      </c>
      <c r="AM12" s="621"/>
      <c r="AN12" s="621"/>
      <c r="AO12" s="621"/>
      <c r="AP12" s="621"/>
      <c r="AQ12" s="619"/>
      <c r="AR12" s="476" t="s">
        <v>697</v>
      </c>
      <c r="AS12" s="476"/>
      <c r="AT12" s="476"/>
      <c r="AU12" s="476" t="s">
        <v>698</v>
      </c>
      <c r="AV12" s="476"/>
      <c r="AW12" s="476"/>
      <c r="AX12" s="579"/>
      <c r="AY12" s="579"/>
      <c r="BB12" s="546"/>
    </row>
    <row r="13" spans="1:227" ht="10.5" thickBot="1">
      <c r="B13" s="533" t="s">
        <v>635</v>
      </c>
      <c r="C13" s="534" t="s">
        <v>66</v>
      </c>
      <c r="D13" s="534" t="s">
        <v>59</v>
      </c>
      <c r="E13" s="534">
        <v>0.12</v>
      </c>
      <c r="F13" s="534">
        <v>1</v>
      </c>
      <c r="G13" s="534" t="s">
        <v>434</v>
      </c>
      <c r="H13" s="534">
        <v>100</v>
      </c>
      <c r="I13" s="534">
        <v>37.011200000000002</v>
      </c>
      <c r="J13" s="544">
        <v>47837</v>
      </c>
      <c r="K13" s="607"/>
      <c r="L13" s="272"/>
      <c r="M13" s="594" t="s">
        <v>676</v>
      </c>
      <c r="N13" s="595">
        <v>2</v>
      </c>
      <c r="P13" s="273"/>
      <c r="Q13" s="273"/>
      <c r="R13" s="273"/>
      <c r="S13" s="273"/>
      <c r="T13" s="575">
        <f ca="1"/>
        <v>0.06</v>
      </c>
      <c r="U13" s="572">
        <f ca="1"/>
        <v>5</v>
      </c>
      <c r="V13" s="468" t="s">
        <v>598</v>
      </c>
      <c r="W13" s="476" t="s">
        <v>599</v>
      </c>
      <c r="X13" s="482" t="s">
        <v>604</v>
      </c>
      <c r="Y13" s="476" t="s">
        <v>605</v>
      </c>
      <c r="Z13" s="482" t="s">
        <v>598</v>
      </c>
      <c r="AA13" s="476" t="s">
        <v>599</v>
      </c>
      <c r="AB13" s="482" t="s">
        <v>604</v>
      </c>
      <c r="AC13" s="476" t="s">
        <v>605</v>
      </c>
      <c r="AD13" s="272"/>
      <c r="AE13" s="476" t="s">
        <v>80</v>
      </c>
      <c r="AF13" s="474" t="s">
        <v>84</v>
      </c>
      <c r="AG13" s="474" t="s">
        <v>53</v>
      </c>
      <c r="AH13" s="474" t="s">
        <v>55</v>
      </c>
      <c r="AI13" s="474" t="s">
        <v>57</v>
      </c>
      <c r="AJ13" s="474" t="s">
        <v>62</v>
      </c>
      <c r="AK13" s="474" t="s">
        <v>691</v>
      </c>
      <c r="AL13" s="474" t="s">
        <v>84</v>
      </c>
      <c r="AM13" s="474" t="s">
        <v>53</v>
      </c>
      <c r="AN13" s="474" t="s">
        <v>55</v>
      </c>
      <c r="AO13" s="474" t="s">
        <v>57</v>
      </c>
      <c r="AP13" s="474" t="s">
        <v>62</v>
      </c>
      <c r="AQ13" s="474" t="s">
        <v>691</v>
      </c>
      <c r="AR13" s="476" t="s">
        <v>695</v>
      </c>
      <c r="AS13" s="476" t="s">
        <v>694</v>
      </c>
      <c r="AT13" s="476" t="s">
        <v>696</v>
      </c>
      <c r="AU13" s="476" t="s">
        <v>695</v>
      </c>
      <c r="AV13" s="476" t="s">
        <v>694</v>
      </c>
      <c r="AW13" s="638" t="s">
        <v>696</v>
      </c>
      <c r="AX13" s="476" t="s">
        <v>708</v>
      </c>
      <c r="AZ13" s="330" t="s">
        <v>83</v>
      </c>
      <c r="BA13" s="500" t="s">
        <v>84</v>
      </c>
      <c r="BB13" s="500" t="s">
        <v>53</v>
      </c>
      <c r="BC13" s="500" t="s">
        <v>54</v>
      </c>
      <c r="BD13" s="500" t="s">
        <v>55</v>
      </c>
      <c r="BE13" s="500" t="s">
        <v>57</v>
      </c>
      <c r="BF13" s="500" t="s">
        <v>62</v>
      </c>
      <c r="BG13" s="500" t="s">
        <v>63</v>
      </c>
      <c r="BH13" s="500" t="s">
        <v>64</v>
      </c>
      <c r="BI13" s="500" t="s">
        <v>607</v>
      </c>
      <c r="BJ13" s="580" t="s">
        <v>499</v>
      </c>
      <c r="BK13" s="476" t="s">
        <v>665</v>
      </c>
    </row>
    <row r="14" spans="1:227" ht="10.5" thickBot="1">
      <c r="B14" s="538" t="s">
        <v>636</v>
      </c>
      <c r="C14" s="539" t="s">
        <v>66</v>
      </c>
      <c r="D14" s="539" t="s">
        <v>55</v>
      </c>
      <c r="E14" s="539">
        <v>0.06</v>
      </c>
      <c r="F14" s="539">
        <v>0.12</v>
      </c>
      <c r="G14" s="539" t="s">
        <v>434</v>
      </c>
      <c r="H14" s="539">
        <v>100</v>
      </c>
      <c r="I14" s="539">
        <v>35.963500000000003</v>
      </c>
      <c r="J14" s="545">
        <v>46376</v>
      </c>
      <c r="K14" s="608"/>
      <c r="L14" s="272"/>
      <c r="M14" s="585" t="s">
        <v>677</v>
      </c>
      <c r="N14" s="589">
        <v>2</v>
      </c>
      <c r="P14" s="273"/>
      <c r="Q14" s="273"/>
      <c r="R14" s="273"/>
      <c r="S14" s="273"/>
      <c r="T14" s="575">
        <f ca="1"/>
        <v>0.06</v>
      </c>
      <c r="U14" s="572">
        <f ca="1"/>
        <v>6</v>
      </c>
      <c r="V14" s="485">
        <f ca="1">IF('CDO Bespoke'!O15&lt;&gt;"",'CDO Bespoke'!O15,"")</f>
        <v>9.7585317520127196E-2</v>
      </c>
      <c r="W14" s="486">
        <f ca="1">IF(V14&lt;&gt;"",0,"")</f>
        <v>0</v>
      </c>
      <c r="X14" s="486">
        <f t="shared" ref="X14:X77" ca="1" si="0">IF(V14&lt;&gt;"",IF($W$8,MAX(V14-W14,0),V14),"")</f>
        <v>9.7585317520127196E-2</v>
      </c>
      <c r="Y14" s="487">
        <f ca="1">IF(V14&lt;&gt;"",IF($W$8,0,W14),"")</f>
        <v>0</v>
      </c>
      <c r="Z14" s="485">
        <f ca="1">IF('CDO Bespoke'!O15&lt;&gt;"",'CDO Bespoke'!O15,"")</f>
        <v>9.7585317520127196E-2</v>
      </c>
      <c r="AA14" s="486">
        <f ca="1">IF(Z14&lt;&gt;"",ABS(MIN(-0.6*'CDO Bespoke'!K15+'CDO Bespoke'!T15*'CDO Bespoke'!K15,0)),"")</f>
        <v>8.9153934769689691E-2</v>
      </c>
      <c r="AB14" s="486">
        <f ca="1">IF(Z14&lt;&gt;"",IF($W$8,MAX(Z14-AA14,0),Z14),"")</f>
        <v>8.431382750437505E-3</v>
      </c>
      <c r="AC14" s="487">
        <f ca="1">IF(Z14&lt;&gt;"",IF($W$8,0,AA14),"")</f>
        <v>0</v>
      </c>
      <c r="AD14" s="272"/>
      <c r="AE14" s="471" t="str">
        <f ca="1">IF('CDO Bespoke'!C39&lt;&gt;"",'CDO Bespoke'!C39,"")</f>
        <v>Airbus SE</v>
      </c>
      <c r="AF14" s="502" cm="1">
        <f t="array" aca="1" ref="AF14:AK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-6.0761121023489295E-4</v>
      </c>
      <c r="AG14" s="503">
        <f ca="1"/>
        <v>-7.9207959025051622E-4</v>
      </c>
      <c r="AH14" s="503">
        <f ca="1"/>
        <v>7.5829881984734726E-4</v>
      </c>
      <c r="AI14" s="503">
        <f ca="1"/>
        <v>0.70556073289984589</v>
      </c>
      <c r="AJ14" s="504">
        <f ca="1"/>
        <v>0</v>
      </c>
      <c r="AK14" s="617">
        <f ca="1"/>
        <v>2.1120812605784152</v>
      </c>
      <c r="AL14" s="502" cm="1">
        <f t="array" aca="1" ref="AL14:AQ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3.2327749220194962E-4</v>
      </c>
      <c r="AM14" s="503">
        <f ca="1"/>
        <v>1.5825142258034039E-3</v>
      </c>
      <c r="AN14" s="503">
        <f ca="1"/>
        <v>6.8729881074012372E-3</v>
      </c>
      <c r="AO14" s="503">
        <f ca="1"/>
        <v>0.67088409272250071</v>
      </c>
      <c r="AP14" s="504">
        <f ca="1"/>
        <v>0</v>
      </c>
      <c r="AQ14" s="626">
        <f ca="1"/>
        <v>0.56073969560454584</v>
      </c>
      <c r="AR14" s="502" cm="1">
        <f t="array" aca="1" ref="AR14:AT108" ca="1">GetCurvatureCSR(AT11,AT9,AF14:AJ108,B25:B309,E25:E309,J25:J309,'CDO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Bespoke'!F39:F133,AT10,'CDO Bespoke'!C24,'CDO Bespoke'!C25,'CDO Bespoke'!L6)</f>
        <v>-1.1529371581998626E-2</v>
      </c>
      <c r="AS14" s="504">
        <f ca="1"/>
        <v>-3.3104189064825373E-2</v>
      </c>
      <c r="AT14" s="639">
        <f ca="1"/>
        <v>0.44615721409660136</v>
      </c>
      <c r="AU14" s="502" cm="1">
        <f t="array" aca="1" ref="AU14:AW108" ca="1">GetCurvatureCSR(AW11,AW9,AL14:AP108,B25:B309,E25:E309,J25:J309,'CDO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Bespoke'!F39:F133,AW10,'CDO Bespoke'!C24,'CDO Bespoke'!C25,'CDO Bespoke'!L6)</f>
        <v>-0.11327747702872276</v>
      </c>
      <c r="AV14" s="504">
        <f ca="1"/>
        <v>2.4777731515074827E-3</v>
      </c>
      <c r="AW14" s="639">
        <f ca="1"/>
        <v>0.36130818997079073</v>
      </c>
      <c r="AX14" s="476" t="s">
        <v>706</v>
      </c>
      <c r="AZ14" s="505" cm="1">
        <f t="array" aca="1" ref="AZ14:BJ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BA14" s="579">
        <f ca="1"/>
        <v>2.3125734704085716E-5</v>
      </c>
      <c r="BB14" s="579">
        <f ca="1"/>
        <v>7.0069605666855017E-5</v>
      </c>
      <c r="BC14" s="579">
        <f ca="1"/>
        <v>1.7115420693668509E-4</v>
      </c>
      <c r="BD14" s="579">
        <f ca="1"/>
        <v>2.9051250439674441E-4</v>
      </c>
      <c r="BE14" s="579">
        <f ca="1"/>
        <v>2.2567819521597523E-3</v>
      </c>
      <c r="BF14" s="579">
        <f ca="1"/>
        <v>0</v>
      </c>
      <c r="BG14" s="579">
        <f ca="1"/>
        <v>0</v>
      </c>
      <c r="BH14" s="579">
        <f ca="1"/>
        <v>0</v>
      </c>
      <c r="BI14" s="579">
        <f ca="1"/>
        <v>0</v>
      </c>
      <c r="BJ14" s="637">
        <f ca="1"/>
        <v>3.1177916747623665E-5</v>
      </c>
      <c r="BK14" s="475" t="str">
        <f ca="1">IF('IRS Strip'!F21="","",'IRS Strip'!F21)</f>
        <v>6-month EURIBOR Swaps</v>
      </c>
      <c r="BL14" s="475" t="str">
        <f ca="1">IF('IRS Strip'!B21="","",'IRS Strip'!B21)</f>
        <v>EUR</v>
      </c>
    </row>
    <row r="15" spans="1:227" ht="10.5" thickBot="1">
      <c r="B15" s="516" t="s">
        <v>636</v>
      </c>
      <c r="C15" s="517" t="s">
        <v>66</v>
      </c>
      <c r="D15" s="517" t="s">
        <v>57</v>
      </c>
      <c r="E15" s="517">
        <v>0.06</v>
      </c>
      <c r="F15" s="517">
        <v>0.12</v>
      </c>
      <c r="G15" s="517" t="s">
        <v>434</v>
      </c>
      <c r="H15" s="517">
        <v>100</v>
      </c>
      <c r="I15" s="517">
        <v>92.850899999999996</v>
      </c>
      <c r="J15" s="522">
        <v>47107</v>
      </c>
      <c r="K15" s="606"/>
      <c r="L15" s="272"/>
      <c r="M15" s="585" t="s">
        <v>678</v>
      </c>
      <c r="N15" s="589">
        <v>2</v>
      </c>
      <c r="P15" s="273"/>
      <c r="Q15" s="273"/>
      <c r="R15" s="273"/>
      <c r="S15" s="273"/>
      <c r="T15" s="575">
        <f ca="1"/>
        <v>0.03</v>
      </c>
      <c r="U15" s="572">
        <f ca="1"/>
        <v>7</v>
      </c>
      <c r="V15" s="484">
        <f ca="1">IF('CDO Bespoke'!O16&lt;&gt;"",'CDO Bespoke'!O16,"")</f>
        <v>9.7684037027718204E-2</v>
      </c>
      <c r="W15" s="641">
        <f ca="1">IF(V15&lt;&gt;"",0,"")</f>
        <v>0</v>
      </c>
      <c r="X15" s="641">
        <f t="shared" ca="1" si="0"/>
        <v>9.7684037027718204E-2</v>
      </c>
      <c r="Y15" s="488">
        <f ca="1">IF(V15&lt;&gt;"",IF($W$8,0,W15),"")</f>
        <v>0</v>
      </c>
      <c r="Z15" s="484">
        <f ca="1">IF('CDO Bespoke'!O16&lt;&gt;"",'CDO Bespoke'!O16,"")</f>
        <v>9.7684037027718204E-2</v>
      </c>
      <c r="AA15" s="641">
        <f ca="1">IF(Z15&lt;&gt;"",ABS(MIN(-0.6*'CDO Bespoke'!K16+'CDO Bespoke'!T16*'CDO Bespoke'!K16,0)),"")</f>
        <v>8.8285311496931321E-2</v>
      </c>
      <c r="AB15" s="641">
        <f ca="1">IF(Z15&lt;&gt;"",IF($W$8,MAX(Z15-AA15,0),Z15),"")</f>
        <v>9.3987255307868833E-3</v>
      </c>
      <c r="AC15" s="488">
        <f ca="1">IF(Z15&lt;&gt;"",IF($W$8,0,AA15),"")</f>
        <v>0</v>
      </c>
      <c r="AD15" s="272"/>
      <c r="AE15" s="493" t="str">
        <f ca="1">IF('CDO Bespoke'!C40&lt;&gt;"",'CDO Bespoke'!C40,"")</f>
        <v>Aktiebolaget Volvo</v>
      </c>
      <c r="AF15" s="495">
        <f ca="1"/>
        <v>-6.9637570987435282E-4</v>
      </c>
      <c r="AG15" s="583">
        <f ca="1"/>
        <v>-1.1806201799524629E-3</v>
      </c>
      <c r="AH15" s="583">
        <f ca="1"/>
        <v>-8.2896259023801377E-4</v>
      </c>
      <c r="AI15" s="583">
        <f ca="1"/>
        <v>0.73123051894996571</v>
      </c>
      <c r="AJ15" s="496">
        <f ca="1"/>
        <v>0</v>
      </c>
      <c r="AK15" s="618">
        <f ca="1"/>
        <v>0</v>
      </c>
      <c r="AL15" s="495">
        <f ca="1"/>
        <v>3.1182547510257008E-4</v>
      </c>
      <c r="AM15" s="583">
        <f ca="1"/>
        <v>1.5295214481026928E-3</v>
      </c>
      <c r="AN15" s="583">
        <f ca="1"/>
        <v>6.5727957169027865E-3</v>
      </c>
      <c r="AO15" s="583">
        <f ca="1"/>
        <v>0.69060665470050286</v>
      </c>
      <c r="AP15" s="496">
        <f ca="1"/>
        <v>0</v>
      </c>
      <c r="AQ15" s="618">
        <f ca="1"/>
        <v>0</v>
      </c>
      <c r="AR15" s="495">
        <f ca="1"/>
        <v>-1.0454181569364951E-2</v>
      </c>
      <c r="AS15" s="496">
        <f ca="1"/>
        <v>-3.4026560584159038E-2</v>
      </c>
      <c r="AT15" s="639">
        <f ca="1"/>
        <v>0.59487140067503375</v>
      </c>
      <c r="AU15" s="495">
        <f ca="1"/>
        <v>-0.11246552435570277</v>
      </c>
      <c r="AV15" s="496">
        <f ca="1"/>
        <v>3.662974411313271E-3</v>
      </c>
      <c r="AW15" s="639">
        <f ca="1"/>
        <v>0.73180147732429324</v>
      </c>
      <c r="AX15" s="476" t="s">
        <v>704</v>
      </c>
      <c r="AZ15" s="505">
        <f ca="1"/>
        <v>6.0301985869028847E-6</v>
      </c>
      <c r="BA15" s="579">
        <f ca="1"/>
        <v>2.3125734704085716E-5</v>
      </c>
      <c r="BB15" s="579">
        <f ca="1"/>
        <v>7.0069605666855017E-5</v>
      </c>
      <c r="BC15" s="579">
        <f ca="1"/>
        <v>1.7115420693668509E-4</v>
      </c>
      <c r="BD15" s="579">
        <f ca="1"/>
        <v>2.9051250439674441E-4</v>
      </c>
      <c r="BE15" s="579">
        <f ca="1"/>
        <v>2.2567819521597523E-3</v>
      </c>
      <c r="BF15" s="579">
        <f ca="1"/>
        <v>0</v>
      </c>
      <c r="BG15" s="579">
        <f ca="1"/>
        <v>0</v>
      </c>
      <c r="BH15" s="579">
        <f ca="1"/>
        <v>0</v>
      </c>
      <c r="BI15" s="579">
        <f ca="1"/>
        <v>0</v>
      </c>
      <c r="BJ15" s="581">
        <f ca="1"/>
        <v>0</v>
      </c>
      <c r="BK15" s="475" t="str">
        <f ca="1">IF('IRS Strip'!F22="","",'IRS Strip'!F22)</f>
        <v>3-month EURIBOR Swaps</v>
      </c>
      <c r="BL15" s="475" t="str">
        <f ca="1">IF('IRS Strip'!B22="","",'IRS Strip'!B22)</f>
        <v>EUR</v>
      </c>
    </row>
    <row r="16" spans="1:227" ht="10.5" thickBot="1">
      <c r="B16" s="533" t="s">
        <v>636</v>
      </c>
      <c r="C16" s="534" t="s">
        <v>66</v>
      </c>
      <c r="D16" s="534" t="s">
        <v>59</v>
      </c>
      <c r="E16" s="534">
        <v>0.06</v>
      </c>
      <c r="F16" s="534">
        <v>0.12</v>
      </c>
      <c r="G16" s="534" t="s">
        <v>434</v>
      </c>
      <c r="H16" s="534">
        <v>100</v>
      </c>
      <c r="I16" s="534">
        <v>155.51650000000001</v>
      </c>
      <c r="J16" s="544">
        <v>47837</v>
      </c>
      <c r="K16" s="607"/>
      <c r="L16" s="272"/>
      <c r="M16" s="596" t="s">
        <v>679</v>
      </c>
      <c r="N16" s="597">
        <v>2</v>
      </c>
      <c r="P16" s="273"/>
      <c r="Q16" s="273"/>
      <c r="R16" s="273"/>
      <c r="S16" s="273"/>
      <c r="T16" s="575">
        <f ca="1"/>
        <v>0.06</v>
      </c>
      <c r="U16" s="572">
        <f ca="1"/>
        <v>8</v>
      </c>
      <c r="V16" s="484">
        <f ca="1">IF('CDO Bespoke'!O17&lt;&gt;"",'CDO Bespoke'!O17,"")</f>
        <v>9.76181215737532E-2</v>
      </c>
      <c r="W16" s="641">
        <f t="shared" ref="W16:W79" ca="1" si="1">IF(V16&lt;&gt;"",0,"")</f>
        <v>0</v>
      </c>
      <c r="X16" s="641">
        <f t="shared" ca="1" si="0"/>
        <v>9.76181215737532E-2</v>
      </c>
      <c r="Y16" s="488">
        <f t="shared" ref="Y16:Y79" ca="1" si="2">IF(V16&lt;&gt;"",IF($W$8,0,W16),"")</f>
        <v>0</v>
      </c>
      <c r="Z16" s="484">
        <f ca="1">IF('CDO Bespoke'!O17&lt;&gt;"",'CDO Bespoke'!O17,"")</f>
        <v>9.76181215737532E-2</v>
      </c>
      <c r="AA16" s="641">
        <f ca="1">IF(Z16&lt;&gt;"",ABS(MIN(-0.6*'CDO Bespoke'!K17+'CDO Bespoke'!T17*'CDO Bespoke'!K17,0)),"")</f>
        <v>8.8873917002045916E-2</v>
      </c>
      <c r="AB16" s="641">
        <f t="shared" ref="AB16:AB79" ca="1" si="3">IF(Z16&lt;&gt;"",IF($W$8,MAX(Z16-AA16,0),Z16),"")</f>
        <v>8.7442045717072842E-3</v>
      </c>
      <c r="AC16" s="488">
        <f t="shared" ref="AC16:AC79" ca="1" si="4">IF(Z16&lt;&gt;"",IF($W$8,0,AA16),"")</f>
        <v>0</v>
      </c>
      <c r="AD16" s="272"/>
      <c r="AE16" s="493" t="str">
        <f ca="1">IF('CDO Bespoke'!C41&lt;&gt;"",'CDO Bespoke'!C41,"")</f>
        <v>Akzo Nobel N.V.</v>
      </c>
      <c r="AF16" s="495">
        <f ca="1"/>
        <v>-7.3868916983244048E-4</v>
      </c>
      <c r="AG16" s="583">
        <f ca="1"/>
        <v>-1.3426630302015852E-3</v>
      </c>
      <c r="AH16" s="583">
        <f ca="1"/>
        <v>-1.430020810100352E-3</v>
      </c>
      <c r="AI16" s="583">
        <f ca="1"/>
        <v>0.7443242978100173</v>
      </c>
      <c r="AJ16" s="496">
        <f ca="1"/>
        <v>0</v>
      </c>
      <c r="AK16" s="618">
        <f ca="1"/>
        <v>0</v>
      </c>
      <c r="AL16" s="495">
        <f ca="1"/>
        <v>3.0384072460289124E-4</v>
      </c>
      <c r="AM16" s="583">
        <f ca="1"/>
        <v>1.4927927767006965E-3</v>
      </c>
      <c r="AN16" s="583">
        <f ca="1"/>
        <v>6.3792213717038873E-3</v>
      </c>
      <c r="AO16" s="583">
        <f ca="1"/>
        <v>0.70066295882000029</v>
      </c>
      <c r="AP16" s="496">
        <f ca="1"/>
        <v>0</v>
      </c>
      <c r="AQ16" s="618">
        <f ca="1"/>
        <v>0</v>
      </c>
      <c r="AR16" s="495">
        <f ca="1"/>
        <v>-9.8682204318878419E-3</v>
      </c>
      <c r="AS16" s="496">
        <f ca="1"/>
        <v>-3.4489177129568116E-2</v>
      </c>
      <c r="AT16" s="640">
        <f ca="1"/>
        <v>0.74358642462856328</v>
      </c>
      <c r="AU16" s="495">
        <f ca="1"/>
        <v>-0.11197613687525657</v>
      </c>
      <c r="AV16" s="496">
        <f ca="1"/>
        <v>4.3958850089226703E-3</v>
      </c>
      <c r="AW16" s="640">
        <f ca="1"/>
        <v>0.98091220401521961</v>
      </c>
      <c r="AX16" s="476" t="s">
        <v>707</v>
      </c>
      <c r="AZ16" s="505">
        <f ca="1"/>
        <v>0</v>
      </c>
      <c r="BA16" s="579">
        <f ca="1"/>
        <v>0</v>
      </c>
      <c r="BB16" s="579">
        <f ca="1"/>
        <v>0</v>
      </c>
      <c r="BC16" s="579">
        <f ca="1"/>
        <v>0</v>
      </c>
      <c r="BD16" s="579">
        <f ca="1"/>
        <v>0</v>
      </c>
      <c r="BE16" s="579">
        <f ca="1"/>
        <v>0</v>
      </c>
      <c r="BF16" s="579">
        <f ca="1"/>
        <v>0</v>
      </c>
      <c r="BG16" s="579">
        <f ca="1"/>
        <v>0</v>
      </c>
      <c r="BH16" s="579">
        <f ca="1"/>
        <v>0</v>
      </c>
      <c r="BI16" s="579">
        <f ca="1"/>
        <v>0</v>
      </c>
      <c r="BJ16" s="581">
        <f ca="1"/>
        <v>0</v>
      </c>
      <c r="BK16" s="475" t="str">
        <f ca="1">IF('IRS Strip'!F23="","",'IRS Strip'!F23)</f>
        <v>1-month Term SOFR Swaps</v>
      </c>
      <c r="BL16" s="475" t="str">
        <f ca="1">IF('IRS Strip'!B23="","",'IRS Strip'!B23)</f>
        <v>USD</v>
      </c>
    </row>
    <row r="17" spans="2:64" ht="10.5" thickBot="1">
      <c r="B17" s="538" t="s">
        <v>637</v>
      </c>
      <c r="C17" s="539" t="s">
        <v>66</v>
      </c>
      <c r="D17" s="539" t="s">
        <v>55</v>
      </c>
      <c r="E17" s="539">
        <v>0.03</v>
      </c>
      <c r="F17" s="539">
        <v>0.06</v>
      </c>
      <c r="G17" s="539" t="s">
        <v>638</v>
      </c>
      <c r="H17" s="539">
        <v>100</v>
      </c>
      <c r="I17" s="540">
        <v>-6.1151900000000004E-3</v>
      </c>
      <c r="J17" s="545">
        <v>46376</v>
      </c>
      <c r="K17" s="608"/>
      <c r="L17" s="272"/>
      <c r="M17" s="598" t="s">
        <v>671</v>
      </c>
      <c r="N17" s="599">
        <v>3</v>
      </c>
      <c r="P17" s="273"/>
      <c r="Q17" s="273"/>
      <c r="R17" s="273"/>
      <c r="S17" s="273"/>
      <c r="T17" s="575">
        <f ca="1"/>
        <v>0.03</v>
      </c>
      <c r="U17" s="572">
        <f ca="1"/>
        <v>9</v>
      </c>
      <c r="V17" s="484">
        <f ca="1">IF('CDO Bespoke'!O18&lt;&gt;"",'CDO Bespoke'!O18,"")</f>
        <v>9.2555763673191196E-2</v>
      </c>
      <c r="W17" s="641">
        <f t="shared" ca="1" si="1"/>
        <v>0</v>
      </c>
      <c r="X17" s="641">
        <f t="shared" ca="1" si="0"/>
        <v>9.2555763673191196E-2</v>
      </c>
      <c r="Y17" s="488">
        <f t="shared" ca="1" si="2"/>
        <v>0</v>
      </c>
      <c r="Z17" s="484">
        <f ca="1">IF('CDO Bespoke'!O18&lt;&gt;"",'CDO Bespoke'!O18,"")</f>
        <v>9.2555763673191196E-2</v>
      </c>
      <c r="AA17" s="641">
        <f ca="1">IF(Z17&lt;&gt;"",ABS(MIN(-0.6*'CDO Bespoke'!K18+'CDO Bespoke'!T18*'CDO Bespoke'!K18,0)),"")</f>
        <v>9.811006068447603E-2</v>
      </c>
      <c r="AB17" s="641">
        <f t="shared" ca="1" si="3"/>
        <v>0</v>
      </c>
      <c r="AC17" s="488">
        <f t="shared" ca="1" si="4"/>
        <v>0</v>
      </c>
      <c r="AD17" s="272"/>
      <c r="AE17" s="493" t="str">
        <f ca="1">IF('CDO Bespoke'!C42&lt;&gt;"",'CDO Bespoke'!C42,"")</f>
        <v>ALSTOM</v>
      </c>
      <c r="AF17" s="495">
        <f ca="1"/>
        <v>-2.3895844603050165E-3</v>
      </c>
      <c r="AG17" s="583">
        <f ca="1"/>
        <v>-8.2308539400832714E-3</v>
      </c>
      <c r="AH17" s="583">
        <f ca="1"/>
        <v>-2.9153568339990166E-2</v>
      </c>
      <c r="AI17" s="583">
        <f ca="1"/>
        <v>1.0461912851000843</v>
      </c>
      <c r="AJ17" s="496">
        <f ca="1"/>
        <v>0</v>
      </c>
      <c r="AK17" s="618">
        <f ca="1"/>
        <v>0</v>
      </c>
      <c r="AL17" s="495">
        <f ca="1"/>
        <v>-3.3910275659514155E-4</v>
      </c>
      <c r="AM17" s="583">
        <f ca="1"/>
        <v>-1.5498390473940582E-3</v>
      </c>
      <c r="AN17" s="583">
        <f ca="1"/>
        <v>-8.2419686007941667E-3</v>
      </c>
      <c r="AO17" s="583">
        <f ca="1"/>
        <v>0.89353378170230713</v>
      </c>
      <c r="AP17" s="496">
        <f ca="1"/>
        <v>0</v>
      </c>
      <c r="AQ17" s="618">
        <f ca="1"/>
        <v>0</v>
      </c>
      <c r="AR17" s="495">
        <f ca="1"/>
        <v>4.7357137890722822E-3</v>
      </c>
      <c r="AS17" s="496">
        <f ca="1"/>
        <v>-3.9053540583463275E-2</v>
      </c>
      <c r="AT17" s="618">
        <f ca="1"/>
        <v>0</v>
      </c>
      <c r="AU17" s="495">
        <f ca="1"/>
        <v>-9.7357256580723195E-2</v>
      </c>
      <c r="AV17" s="496">
        <f ca="1"/>
        <v>4.5071193194682085E-2</v>
      </c>
      <c r="AW17" s="618">
        <f ca="1"/>
        <v>0</v>
      </c>
      <c r="AZ17" s="505"/>
      <c r="BA17" s="579"/>
      <c r="BB17" s="579"/>
      <c r="BC17" s="579"/>
      <c r="BD17" s="579"/>
      <c r="BE17" s="579"/>
      <c r="BF17" s="578"/>
      <c r="BG17" s="578"/>
      <c r="BH17" s="578"/>
      <c r="BI17" s="546"/>
      <c r="BK17" s="475" t="str">
        <f ca="1">IF('IRS Strip'!F24="","",'IRS Strip'!F24)</f>
        <v/>
      </c>
      <c r="BL17" s="475" t="str">
        <f ca="1">IF('IRS Strip'!B24="","",'IRS Strip'!B24)</f>
        <v/>
      </c>
    </row>
    <row r="18" spans="2:64" ht="10.5" thickBot="1">
      <c r="B18" s="516" t="s">
        <v>637</v>
      </c>
      <c r="C18" s="517" t="s">
        <v>66</v>
      </c>
      <c r="D18" s="517" t="s">
        <v>57</v>
      </c>
      <c r="E18" s="517">
        <v>0.03</v>
      </c>
      <c r="F18" s="517">
        <v>0.06</v>
      </c>
      <c r="G18" s="517" t="s">
        <v>638</v>
      </c>
      <c r="H18" s="517">
        <v>100</v>
      </c>
      <c r="I18" s="524">
        <v>3.497422E-2</v>
      </c>
      <c r="J18" s="522">
        <v>47107</v>
      </c>
      <c r="K18" s="606"/>
      <c r="L18" s="272"/>
      <c r="M18" s="594" t="s">
        <v>670</v>
      </c>
      <c r="N18" s="595">
        <v>4</v>
      </c>
      <c r="P18" s="273"/>
      <c r="Q18" s="273"/>
      <c r="R18" s="273"/>
      <c r="S18" s="273"/>
      <c r="T18" s="575">
        <f ca="1"/>
        <v>0.06</v>
      </c>
      <c r="U18" s="572">
        <f ca="1"/>
        <v>10</v>
      </c>
      <c r="V18" s="484">
        <f ca="1">IF('CDO Bespoke'!O19&lt;&gt;"",'CDO Bespoke'!O19,"")</f>
        <v>9.6406569561976199E-2</v>
      </c>
      <c r="W18" s="641">
        <f t="shared" ca="1" si="1"/>
        <v>0</v>
      </c>
      <c r="X18" s="641">
        <f t="shared" ca="1" si="0"/>
        <v>9.6406569561976199E-2</v>
      </c>
      <c r="Y18" s="488">
        <f t="shared" ca="1" si="2"/>
        <v>0</v>
      </c>
      <c r="Z18" s="484">
        <f ca="1">IF('CDO Bespoke'!O19&lt;&gt;"",'CDO Bespoke'!O19,"")</f>
        <v>9.6406569561976199E-2</v>
      </c>
      <c r="AA18" s="641">
        <f ca="1">IF(Z18&lt;&gt;"",ABS(MIN(-0.6*'CDO Bespoke'!K19+'CDO Bespoke'!T19*'CDO Bespoke'!K19,0)),"")</f>
        <v>9.5473634016306541E-2</v>
      </c>
      <c r="AB18" s="641">
        <f t="shared" ca="1" si="3"/>
        <v>9.3293554566965808E-4</v>
      </c>
      <c r="AC18" s="488">
        <f t="shared" ca="1" si="4"/>
        <v>0</v>
      </c>
      <c r="AD18" s="272"/>
      <c r="AE18" s="493" t="str">
        <f ca="1">IF('CDO Bespoke'!C43&lt;&gt;"",'CDO Bespoke'!C43,"")</f>
        <v>Anglo American plc</v>
      </c>
      <c r="AF18" s="495">
        <f ca="1"/>
        <v>-1.6703581701138503E-3</v>
      </c>
      <c r="AG18" s="583">
        <f ca="1"/>
        <v>-5.1593589300846787E-3</v>
      </c>
      <c r="AH18" s="583">
        <f ca="1"/>
        <v>-1.6420635219893676E-2</v>
      </c>
      <c r="AI18" s="583">
        <f ca="1"/>
        <v>0.95946618944020567</v>
      </c>
      <c r="AJ18" s="496">
        <f ca="1"/>
        <v>0</v>
      </c>
      <c r="AK18" s="618">
        <f ca="1"/>
        <v>0</v>
      </c>
      <c r="AL18" s="495">
        <f ca="1"/>
        <v>9.0411409901704903E-6</v>
      </c>
      <c r="AM18" s="583">
        <f ca="1"/>
        <v>1.1047682250031783E-4</v>
      </c>
      <c r="AN18" s="583">
        <f ca="1"/>
        <v>-2.223073020997E-4</v>
      </c>
      <c r="AO18" s="583">
        <f ca="1"/>
        <v>0.8511589255789096</v>
      </c>
      <c r="AP18" s="496">
        <f ca="1"/>
        <v>0</v>
      </c>
      <c r="AQ18" s="618">
        <f ca="1"/>
        <v>0</v>
      </c>
      <c r="AR18" s="495">
        <f ca="1"/>
        <v>-1.0675923153130595E-4</v>
      </c>
      <c r="AS18" s="496">
        <f ca="1"/>
        <v>-4.0029404046039663E-2</v>
      </c>
      <c r="AT18" s="618">
        <f ca="1"/>
        <v>0</v>
      </c>
      <c r="AU18" s="495">
        <f ca="1"/>
        <v>-0.10335303992263828</v>
      </c>
      <c r="AV18" s="496">
        <f ca="1"/>
        <v>2.4192458283186391E-2</v>
      </c>
      <c r="AW18" s="618">
        <f ca="1"/>
        <v>0</v>
      </c>
      <c r="AZ18" s="505"/>
      <c r="BA18" s="579"/>
      <c r="BB18" s="579"/>
      <c r="BC18" s="579"/>
      <c r="BD18" s="579"/>
      <c r="BE18" s="579"/>
      <c r="BF18" s="578"/>
      <c r="BG18" s="578"/>
      <c r="BH18" s="578"/>
      <c r="BI18" s="546"/>
      <c r="BK18" s="475" t="str">
        <f ca="1">IF('IRS Strip'!F25="","",'IRS Strip'!F25)</f>
        <v/>
      </c>
      <c r="BL18" s="475" t="str">
        <f ca="1">IF('IRS Strip'!B25="","",'IRS Strip'!B25)</f>
        <v/>
      </c>
    </row>
    <row r="19" spans="2:64" ht="10.5" thickBot="1">
      <c r="B19" s="533" t="s">
        <v>637</v>
      </c>
      <c r="C19" s="534" t="s">
        <v>66</v>
      </c>
      <c r="D19" s="534" t="s">
        <v>59</v>
      </c>
      <c r="E19" s="534">
        <v>0.03</v>
      </c>
      <c r="F19" s="534">
        <v>0.06</v>
      </c>
      <c r="G19" s="534" t="s">
        <v>638</v>
      </c>
      <c r="H19" s="534">
        <v>100</v>
      </c>
      <c r="I19" s="535">
        <v>0.10563547</v>
      </c>
      <c r="J19" s="544">
        <v>47837</v>
      </c>
      <c r="K19" s="607"/>
      <c r="L19" s="272"/>
      <c r="M19" s="585" t="s">
        <v>650</v>
      </c>
      <c r="N19" s="589">
        <v>4</v>
      </c>
      <c r="P19" s="273"/>
      <c r="Q19" s="273"/>
      <c r="R19" s="273"/>
      <c r="S19" s="273"/>
      <c r="T19" s="575">
        <f ca="1"/>
        <v>0.03</v>
      </c>
      <c r="U19" s="572">
        <f ca="1"/>
        <v>11</v>
      </c>
      <c r="V19" s="484">
        <f ca="1">IF('CDO Bespoke'!O20&lt;&gt;"",'CDO Bespoke'!O20,"")</f>
        <v>9.4869345967270202E-2</v>
      </c>
      <c r="W19" s="641">
        <f t="shared" ca="1" si="1"/>
        <v>0</v>
      </c>
      <c r="X19" s="641">
        <f t="shared" ca="1" si="0"/>
        <v>9.4869345967270202E-2</v>
      </c>
      <c r="Y19" s="488">
        <f t="shared" ca="1" si="2"/>
        <v>0</v>
      </c>
      <c r="Z19" s="484">
        <f ca="1">IF('CDO Bespoke'!O20&lt;&gt;"",'CDO Bespoke'!O20,"")</f>
        <v>9.4869345967270202E-2</v>
      </c>
      <c r="AA19" s="641">
        <f ca="1">IF(Z19&lt;&gt;"",ABS(MIN(-0.6*'CDO Bespoke'!K20+'CDO Bespoke'!T20*'CDO Bespoke'!K20,0)),"")</f>
        <v>9.827464462963087E-2</v>
      </c>
      <c r="AB19" s="641">
        <f t="shared" ca="1" si="3"/>
        <v>0</v>
      </c>
      <c r="AC19" s="488">
        <f t="shared" ca="1" si="4"/>
        <v>0</v>
      </c>
      <c r="AD19" s="272"/>
      <c r="AE19" s="493" t="str">
        <f ca="1">IF('CDO Bespoke'!C44&lt;&gt;"",'CDO Bespoke'!C44,"")</f>
        <v>ArcelorMittal</v>
      </c>
      <c r="AF19" s="495">
        <f ca="1"/>
        <v>-2.2998290499787188E-3</v>
      </c>
      <c r="AG19" s="583">
        <f ca="1"/>
        <v>-7.8601387998311623E-3</v>
      </c>
      <c r="AH19" s="583">
        <f ca="1"/>
        <v>-2.7787100880249938E-2</v>
      </c>
      <c r="AI19" s="583">
        <f ca="1"/>
        <v>1.0459580013899572</v>
      </c>
      <c r="AJ19" s="496">
        <f ca="1"/>
        <v>0</v>
      </c>
      <c r="AK19" s="618">
        <f ca="1"/>
        <v>0</v>
      </c>
      <c r="AL19" s="495">
        <f ca="1"/>
        <v>-2.8880427120105134E-4</v>
      </c>
      <c r="AM19" s="583">
        <f ca="1"/>
        <v>-1.3031202773967909E-3</v>
      </c>
      <c r="AN19" s="583">
        <f ca="1"/>
        <v>-7.0002589035948054E-3</v>
      </c>
      <c r="AO19" s="583">
        <f ca="1"/>
        <v>0.89751710543740049</v>
      </c>
      <c r="AP19" s="496">
        <f ca="1"/>
        <v>0</v>
      </c>
      <c r="AQ19" s="618">
        <f ca="1"/>
        <v>0</v>
      </c>
      <c r="AR19" s="495">
        <f ca="1"/>
        <v>4.3074876962078679E-3</v>
      </c>
      <c r="AS19" s="496">
        <f ca="1"/>
        <v>-3.9774471406747891E-2</v>
      </c>
      <c r="AT19" s="618">
        <f ca="1"/>
        <v>0</v>
      </c>
      <c r="AU19" s="495">
        <f ca="1"/>
        <v>-9.864266089620416E-2</v>
      </c>
      <c r="AV19" s="496">
        <f ca="1"/>
        <v>4.158346028749807E-2</v>
      </c>
      <c r="AW19" s="618">
        <f ca="1"/>
        <v>0</v>
      </c>
      <c r="AZ19" s="505"/>
      <c r="BA19" s="579"/>
      <c r="BB19" s="579"/>
      <c r="BC19" s="579"/>
      <c r="BD19" s="579"/>
      <c r="BE19" s="579"/>
      <c r="BF19" s="578"/>
      <c r="BG19" s="578"/>
      <c r="BH19" s="578"/>
      <c r="BI19" s="546"/>
      <c r="BK19" s="475" t="str">
        <f ca="1">IF('IRS Strip'!F26="","",'IRS Strip'!F26)</f>
        <v/>
      </c>
      <c r="BL19" s="475" t="str">
        <f ca="1">IF('IRS Strip'!B26="","",'IRS Strip'!B26)</f>
        <v/>
      </c>
    </row>
    <row r="20" spans="2:64" ht="10.5" thickBot="1">
      <c r="B20" s="516" t="s">
        <v>639</v>
      </c>
      <c r="C20" s="517" t="s">
        <v>66</v>
      </c>
      <c r="D20" s="517" t="s">
        <v>55</v>
      </c>
      <c r="E20" s="517">
        <v>0</v>
      </c>
      <c r="F20" s="517">
        <v>0.03</v>
      </c>
      <c r="G20" s="517" t="s">
        <v>638</v>
      </c>
      <c r="H20" s="517">
        <v>100</v>
      </c>
      <c r="I20" s="602">
        <v>0.1057844</v>
      </c>
      <c r="J20" s="522">
        <v>46376</v>
      </c>
      <c r="K20" s="606"/>
      <c r="L20" s="272"/>
      <c r="M20" s="585" t="s">
        <v>646</v>
      </c>
      <c r="N20" s="589">
        <v>4</v>
      </c>
      <c r="P20" s="273"/>
      <c r="Q20" s="273"/>
      <c r="R20" s="273"/>
      <c r="S20" s="273"/>
      <c r="T20" s="575">
        <f ca="1"/>
        <v>0.03</v>
      </c>
      <c r="U20" s="572">
        <f ca="1"/>
        <v>12</v>
      </c>
      <c r="V20" s="484">
        <f ca="1">IF('CDO Bespoke'!O21&lt;&gt;"",'CDO Bespoke'!O21,"")</f>
        <v>9.8162803020379205E-2</v>
      </c>
      <c r="W20" s="641">
        <f t="shared" ca="1" si="1"/>
        <v>0</v>
      </c>
      <c r="X20" s="641">
        <f t="shared" ca="1" si="0"/>
        <v>9.8162803020379205E-2</v>
      </c>
      <c r="Y20" s="488">
        <f t="shared" ca="1" si="2"/>
        <v>0</v>
      </c>
      <c r="Z20" s="484">
        <f ca="1">IF('CDO Bespoke'!O21&lt;&gt;"",'CDO Bespoke'!O21,"")</f>
        <v>9.8162803020379205E-2</v>
      </c>
      <c r="AA20" s="641">
        <f ca="1">IF(Z20&lt;&gt;"",ABS(MIN(-0.6*'CDO Bespoke'!K21+'CDO Bespoke'!T21*'CDO Bespoke'!K21,0)),"")</f>
        <v>8.2636063946548002E-2</v>
      </c>
      <c r="AB20" s="641">
        <f t="shared" ca="1" si="3"/>
        <v>1.5526739073831203E-2</v>
      </c>
      <c r="AC20" s="488">
        <f t="shared" ca="1" si="4"/>
        <v>0</v>
      </c>
      <c r="AD20" s="272"/>
      <c r="AE20" s="493" t="str">
        <f ca="1">IF('CDO Bespoke'!C45&lt;&gt;"",'CDO Bespoke'!C45,"")</f>
        <v>ASTRAZENECA PLC</v>
      </c>
      <c r="AF20" s="495">
        <f ca="1"/>
        <v>-2.896143502795212E-4</v>
      </c>
      <c r="AG20" s="583">
        <f ca="1"/>
        <v>3.5553224975171105E-4</v>
      </c>
      <c r="AH20" s="583">
        <f ca="1"/>
        <v>4.6564925998415774E-3</v>
      </c>
      <c r="AI20" s="583">
        <f ca="1"/>
        <v>0.58801342673997503</v>
      </c>
      <c r="AJ20" s="496">
        <f ca="1"/>
        <v>0</v>
      </c>
      <c r="AK20" s="618">
        <f ca="1"/>
        <v>0</v>
      </c>
      <c r="AL20" s="495">
        <f ca="1"/>
        <v>3.5156556859716054E-4</v>
      </c>
      <c r="AM20" s="583">
        <f ca="1"/>
        <v>1.7062526398974737E-3</v>
      </c>
      <c r="AN20" s="583">
        <f ca="1"/>
        <v>7.594607433400978E-3</v>
      </c>
      <c r="AO20" s="583">
        <f ca="1"/>
        <v>0.57565350603160093</v>
      </c>
      <c r="AP20" s="496">
        <f ca="1"/>
        <v>0</v>
      </c>
      <c r="AQ20" s="618">
        <f ca="1"/>
        <v>0</v>
      </c>
      <c r="AR20" s="495">
        <f ca="1"/>
        <v>-1.681518100092555E-2</v>
      </c>
      <c r="AS20" s="496">
        <f ca="1"/>
        <v>-2.8455234783159422E-2</v>
      </c>
      <c r="AT20" s="618">
        <f ca="1"/>
        <v>0</v>
      </c>
      <c r="AU20" s="495">
        <f ca="1"/>
        <v>-6.2940630429365249E-2</v>
      </c>
      <c r="AV20" s="496">
        <f ca="1"/>
        <v>6.6545506510693533E-3</v>
      </c>
      <c r="AW20" s="618">
        <f ca="1"/>
        <v>0</v>
      </c>
      <c r="AZ20" s="505"/>
      <c r="BA20" s="579"/>
      <c r="BB20" s="579"/>
      <c r="BC20" s="579"/>
      <c r="BD20" s="579"/>
      <c r="BE20" s="579"/>
      <c r="BF20" s="578"/>
      <c r="BG20" s="578"/>
      <c r="BH20" s="578"/>
      <c r="BI20" s="546"/>
      <c r="BK20" s="475" t="str">
        <f ca="1">IF('IRS Strip'!F27="","",'IRS Strip'!F27)</f>
        <v/>
      </c>
      <c r="BL20" s="475" t="str">
        <f ca="1">IF('IRS Strip'!B27="","",'IRS Strip'!B27)</f>
        <v/>
      </c>
    </row>
    <row r="21" spans="2:64" ht="10.5" thickBot="1">
      <c r="B21" s="516" t="s">
        <v>639</v>
      </c>
      <c r="C21" s="517" t="s">
        <v>66</v>
      </c>
      <c r="D21" s="517" t="s">
        <v>57</v>
      </c>
      <c r="E21" s="517">
        <v>0</v>
      </c>
      <c r="F21" s="517">
        <v>0.03</v>
      </c>
      <c r="G21" s="517" t="s">
        <v>638</v>
      </c>
      <c r="H21" s="517">
        <v>100</v>
      </c>
      <c r="I21" s="524">
        <v>0.25752876000000002</v>
      </c>
      <c r="J21" s="522">
        <v>47107</v>
      </c>
      <c r="K21" s="606" t="s">
        <v>75</v>
      </c>
      <c r="L21" s="564"/>
      <c r="M21" s="585" t="s">
        <v>680</v>
      </c>
      <c r="N21" s="589">
        <v>4</v>
      </c>
      <c r="P21" s="273"/>
      <c r="Q21" s="273"/>
      <c r="R21" s="273"/>
      <c r="S21" s="273"/>
      <c r="T21" s="575">
        <f ca="1"/>
        <v>0.06</v>
      </c>
      <c r="U21" s="572">
        <f ca="1"/>
        <v>13</v>
      </c>
      <c r="V21" s="484">
        <f ca="1">IF('CDO Bespoke'!O22&lt;&gt;"",'CDO Bespoke'!O22,"")</f>
        <v>9.82727263407982E-2</v>
      </c>
      <c r="W21" s="641">
        <f t="shared" ca="1" si="1"/>
        <v>0</v>
      </c>
      <c r="X21" s="641">
        <f t="shared" ca="1" si="0"/>
        <v>9.82727263407982E-2</v>
      </c>
      <c r="Y21" s="488">
        <f t="shared" ca="1" si="2"/>
        <v>0</v>
      </c>
      <c r="Z21" s="484">
        <f ca="1">IF('CDO Bespoke'!O22&lt;&gt;"",'CDO Bespoke'!O22,"")</f>
        <v>9.82727263407982E-2</v>
      </c>
      <c r="AA21" s="641">
        <f ca="1">IF(Z21&lt;&gt;"",ABS(MIN(-0.6*'CDO Bespoke'!K22+'CDO Bespoke'!T22*'CDO Bespoke'!K22,0)),"")</f>
        <v>8.085848551732748E-2</v>
      </c>
      <c r="AB21" s="641">
        <f t="shared" ca="1" si="3"/>
        <v>1.741424082347072E-2</v>
      </c>
      <c r="AC21" s="488">
        <f t="shared" ca="1" si="4"/>
        <v>0</v>
      </c>
      <c r="AD21" s="272"/>
      <c r="AE21" s="493" t="str">
        <f ca="1">IF('CDO Bespoke'!C46&lt;&gt;"",'CDO Bespoke'!C46,"")</f>
        <v>BAE SYSTEMS PLC</v>
      </c>
      <c r="AF21" s="495">
        <f ca="1"/>
        <v>-3.8217024989073423E-4</v>
      </c>
      <c r="AG21" s="583">
        <f ca="1"/>
        <v>-5.7590749946712094E-5</v>
      </c>
      <c r="AH21" s="583">
        <f ca="1"/>
        <v>3.0325870498115748E-3</v>
      </c>
      <c r="AI21" s="583">
        <f ca="1"/>
        <v>0.6167940168999575</v>
      </c>
      <c r="AJ21" s="496">
        <f ca="1"/>
        <v>0</v>
      </c>
      <c r="AK21" s="618">
        <f ca="1"/>
        <v>0</v>
      </c>
      <c r="AL21" s="495">
        <f ca="1"/>
        <v>3.5085971140155076E-4</v>
      </c>
      <c r="AM21" s="583">
        <f ca="1"/>
        <v>1.7042046021988402E-3</v>
      </c>
      <c r="AN21" s="583">
        <f ca="1"/>
        <v>7.5408537455979793E-3</v>
      </c>
      <c r="AO21" s="583">
        <f ca="1"/>
        <v>0.59900188200249971</v>
      </c>
      <c r="AP21" s="496">
        <f ca="1"/>
        <v>0</v>
      </c>
      <c r="AQ21" s="618">
        <f ca="1"/>
        <v>0</v>
      </c>
      <c r="AR21" s="495">
        <f ca="1"/>
        <v>-1.5618919602365389E-2</v>
      </c>
      <c r="AS21" s="496">
        <f ca="1"/>
        <v>-2.9609434799551582E-2</v>
      </c>
      <c r="AT21" s="618">
        <f ca="1"/>
        <v>0</v>
      </c>
      <c r="AU21" s="495">
        <f ca="1"/>
        <v>-0.11670404956053215</v>
      </c>
      <c r="AV21" s="496">
        <f ca="1"/>
        <v>-1.3505334571133377E-3</v>
      </c>
      <c r="AW21" s="618">
        <f ca="1"/>
        <v>0</v>
      </c>
      <c r="AZ21" s="505"/>
      <c r="BA21" s="579"/>
      <c r="BB21" s="579"/>
      <c r="BC21" s="579"/>
      <c r="BD21" s="579"/>
      <c r="BE21" s="579"/>
      <c r="BF21" s="578"/>
      <c r="BG21" s="578"/>
      <c r="BH21" s="578"/>
      <c r="BI21" s="546"/>
      <c r="BK21" s="475" t="str">
        <f ca="1">IF('IRS Strip'!F28="","",'IRS Strip'!F28)</f>
        <v/>
      </c>
      <c r="BL21" s="475" t="str">
        <f ca="1">IF('IRS Strip'!B28="","",'IRS Strip'!B28)</f>
        <v/>
      </c>
    </row>
    <row r="22" spans="2:64" ht="10.5" thickBot="1">
      <c r="B22" s="519" t="s">
        <v>639</v>
      </c>
      <c r="C22" s="520" t="s">
        <v>66</v>
      </c>
      <c r="D22" s="520" t="s">
        <v>59</v>
      </c>
      <c r="E22" s="520">
        <v>0</v>
      </c>
      <c r="F22" s="520">
        <v>0.03</v>
      </c>
      <c r="G22" s="520" t="s">
        <v>638</v>
      </c>
      <c r="H22" s="520">
        <v>100</v>
      </c>
      <c r="I22" s="525">
        <v>0.38828527000000002</v>
      </c>
      <c r="J22" s="523">
        <v>47837</v>
      </c>
      <c r="K22" s="609"/>
      <c r="L22" s="564"/>
      <c r="M22" s="585" t="s">
        <v>681</v>
      </c>
      <c r="N22" s="589">
        <v>4</v>
      </c>
      <c r="P22" s="273"/>
      <c r="Q22" s="273"/>
      <c r="R22" s="273"/>
      <c r="S22" s="273"/>
      <c r="T22" s="575">
        <f ca="1"/>
        <v>0.06</v>
      </c>
      <c r="U22" s="572">
        <f ca="1"/>
        <v>14</v>
      </c>
      <c r="V22" s="484">
        <f ca="1">IF('CDO Bespoke'!O23&lt;&gt;"",'CDO Bespoke'!O23,"")</f>
        <v>9.8146723110131201E-2</v>
      </c>
      <c r="W22" s="641">
        <f t="shared" ca="1" si="1"/>
        <v>0</v>
      </c>
      <c r="X22" s="641">
        <f t="shared" ca="1" si="0"/>
        <v>9.8146723110131201E-2</v>
      </c>
      <c r="Y22" s="488">
        <f t="shared" ca="1" si="2"/>
        <v>0</v>
      </c>
      <c r="Z22" s="484">
        <f ca="1">IF('CDO Bespoke'!O23&lt;&gt;"",'CDO Bespoke'!O23,"")</f>
        <v>9.8146723110131201E-2</v>
      </c>
      <c r="AA22" s="641">
        <f ca="1">IF(Z22&lt;&gt;"",ABS(MIN(-0.6*'CDO Bespoke'!K23+'CDO Bespoke'!T23*'CDO Bespoke'!K23,0)),"")</f>
        <v>8.2876875482198284E-2</v>
      </c>
      <c r="AB22" s="641">
        <f t="shared" ca="1" si="3"/>
        <v>1.5269847627932917E-2</v>
      </c>
      <c r="AC22" s="488">
        <f t="shared" ca="1" si="4"/>
        <v>0</v>
      </c>
      <c r="AD22" s="272"/>
      <c r="AE22" s="493" t="str">
        <f ca="1">IF('CDO Bespoke'!C47&lt;&gt;"",'CDO Bespoke'!C47,"")</f>
        <v>BASF SE</v>
      </c>
      <c r="AF22" s="495">
        <f ca="1"/>
        <v>-5.7523577012830174E-4</v>
      </c>
      <c r="AG22" s="583">
        <f ca="1"/>
        <v>-8.0217356979161991E-4</v>
      </c>
      <c r="AH22" s="583">
        <f ca="1"/>
        <v>3.4166993012618718E-4</v>
      </c>
      <c r="AI22" s="583">
        <f ca="1"/>
        <v>0.6853198379896952</v>
      </c>
      <c r="AJ22" s="496">
        <f ca="1"/>
        <v>0</v>
      </c>
      <c r="AK22" s="618">
        <f ca="1"/>
        <v>0</v>
      </c>
      <c r="AL22" s="495">
        <f ca="1"/>
        <v>3.3559915480277369E-4</v>
      </c>
      <c r="AM22" s="583">
        <f ca="1"/>
        <v>1.6370122113027949E-3</v>
      </c>
      <c r="AN22" s="583">
        <f ca="1"/>
        <v>7.1308247949009376E-3</v>
      </c>
      <c r="AO22" s="583">
        <f ca="1"/>
        <v>0.65424973184850099</v>
      </c>
      <c r="AP22" s="496">
        <f ca="1"/>
        <v>0</v>
      </c>
      <c r="AQ22" s="618">
        <f ca="1"/>
        <v>0</v>
      </c>
      <c r="AR22" s="495">
        <f ca="1"/>
        <v>-1.2603675356442912E-2</v>
      </c>
      <c r="AS22" s="496">
        <f ca="1"/>
        <v>-3.2306078757425083E-2</v>
      </c>
      <c r="AT22" s="618">
        <f ca="1"/>
        <v>0</v>
      </c>
      <c r="AU22" s="495">
        <f ca="1"/>
        <v>-0.11432623834113666</v>
      </c>
      <c r="AV22" s="496">
        <f ca="1"/>
        <v>1.2235204482125769E-3</v>
      </c>
      <c r="AW22" s="618">
        <f ca="1"/>
        <v>0</v>
      </c>
      <c r="AZ22" s="505"/>
      <c r="BA22" s="579"/>
      <c r="BB22" s="579"/>
      <c r="BC22" s="579"/>
      <c r="BD22" s="579"/>
      <c r="BE22" s="579"/>
      <c r="BF22" s="578"/>
      <c r="BG22" s="578"/>
      <c r="BH22" s="578"/>
      <c r="BI22" s="546"/>
      <c r="BK22" s="475" t="str">
        <f ca="1">IF('IRS Strip'!F29="","",'IRS Strip'!F29)</f>
        <v/>
      </c>
      <c r="BL22" s="475" t="str">
        <f ca="1">IF('IRS Strip'!B29="","",'IRS Strip'!B29)</f>
        <v/>
      </c>
    </row>
    <row r="23" spans="2:64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6" t="s">
        <v>682</v>
      </c>
      <c r="N23" s="597">
        <v>4</v>
      </c>
      <c r="P23" s="273"/>
      <c r="Q23" s="273"/>
      <c r="R23" s="273"/>
      <c r="S23" s="273"/>
      <c r="T23" s="575">
        <f ca="1"/>
        <v>0.06</v>
      </c>
      <c r="U23" s="572">
        <f ca="1"/>
        <v>15</v>
      </c>
      <c r="V23" s="484">
        <f ca="1">IF('CDO Bespoke'!O24&lt;&gt;"",'CDO Bespoke'!O24,"")</f>
        <v>9.4249253053478199E-2</v>
      </c>
      <c r="W23" s="641">
        <f t="shared" ca="1" si="1"/>
        <v>0</v>
      </c>
      <c r="X23" s="641">
        <f t="shared" ca="1" si="0"/>
        <v>9.4249253053478199E-2</v>
      </c>
      <c r="Y23" s="488">
        <f t="shared" ca="1" si="2"/>
        <v>0</v>
      </c>
      <c r="Z23" s="484">
        <f ca="1">IF('CDO Bespoke'!O24&lt;&gt;"",'CDO Bespoke'!O24,"")</f>
        <v>9.4249253053478199E-2</v>
      </c>
      <c r="AA23" s="641">
        <f ca="1">IF(Z23&lt;&gt;"",ABS(MIN(-0.6*'CDO Bespoke'!K24+'CDO Bespoke'!T24*'CDO Bespoke'!K24,0)),"")</f>
        <v>9.8601311801273558E-2</v>
      </c>
      <c r="AB23" s="641">
        <f t="shared" ca="1" si="3"/>
        <v>0</v>
      </c>
      <c r="AC23" s="488">
        <f t="shared" ca="1" si="4"/>
        <v>0</v>
      </c>
      <c r="AD23" s="272"/>
      <c r="AE23" s="493" t="str">
        <f ca="1">IF('CDO Bespoke'!C48&lt;&gt;"",'CDO Bespoke'!C48,"")</f>
        <v>Bayer Aktiengesellschaft</v>
      </c>
      <c r="AF23" s="495">
        <f ca="1"/>
        <v>-1.8749777003224111E-3</v>
      </c>
      <c r="AG23" s="583">
        <f ca="1"/>
        <v>-5.9469780300247521E-3</v>
      </c>
      <c r="AH23" s="583">
        <f ca="1"/>
        <v>-1.9325293220129325E-2</v>
      </c>
      <c r="AI23" s="583">
        <f ca="1"/>
        <v>0.985426287770097</v>
      </c>
      <c r="AJ23" s="496">
        <f ca="1"/>
        <v>0</v>
      </c>
      <c r="AK23" s="618">
        <f ca="1"/>
        <v>0</v>
      </c>
      <c r="AL23" s="495">
        <f ca="1"/>
        <v>-9.0315586901562606E-5</v>
      </c>
      <c r="AM23" s="583">
        <f ca="1"/>
        <v>-3.610230382006252E-4</v>
      </c>
      <c r="AN23" s="583">
        <f ca="1"/>
        <v>-2.499430838301224E-3</v>
      </c>
      <c r="AO23" s="583">
        <f ca="1"/>
        <v>0.86451824813760014</v>
      </c>
      <c r="AP23" s="496">
        <f ca="1"/>
        <v>0</v>
      </c>
      <c r="AQ23" s="618">
        <f ca="1"/>
        <v>0</v>
      </c>
      <c r="AR23" s="495">
        <f ca="1"/>
        <v>1.4993191711030196E-3</v>
      </c>
      <c r="AS23" s="496">
        <f ca="1"/>
        <v>-3.9894310132306043E-2</v>
      </c>
      <c r="AT23" s="618">
        <f ca="1"/>
        <v>0</v>
      </c>
      <c r="AU23" s="495">
        <f ca="1"/>
        <v>-5.4462550412571351E-2</v>
      </c>
      <c r="AV23" s="496">
        <f ca="1"/>
        <v>4.3278307963469154E-2</v>
      </c>
      <c r="AW23" s="618">
        <f ca="1"/>
        <v>0</v>
      </c>
      <c r="AZ23" s="506"/>
      <c r="BA23" s="507"/>
      <c r="BB23" s="507"/>
      <c r="BC23" s="507"/>
      <c r="BD23" s="507"/>
      <c r="BE23" s="507"/>
      <c r="BF23" s="582"/>
      <c r="BG23" s="582"/>
      <c r="BH23" s="582"/>
      <c r="BI23" s="584"/>
      <c r="BJ23" s="348"/>
      <c r="BK23" s="474" t="str">
        <f ca="1">IF('IRS Strip'!F30="","",'IRS Strip'!F30)</f>
        <v/>
      </c>
      <c r="BL23" s="474" t="str">
        <f ca="1">IF('IRS Strip'!B30="","",'IRS Strip'!B30)</f>
        <v/>
      </c>
    </row>
    <row r="24" spans="2:64" ht="10.5" thickBot="1">
      <c r="B24" s="468" t="s">
        <v>640</v>
      </c>
      <c r="C24" s="468" t="s">
        <v>82</v>
      </c>
      <c r="D24" s="468" t="s">
        <v>432</v>
      </c>
      <c r="E24" s="468" t="s">
        <v>641</v>
      </c>
      <c r="F24" s="468" t="s">
        <v>642</v>
      </c>
      <c r="G24" s="468" t="s">
        <v>643</v>
      </c>
      <c r="H24" s="468" t="s">
        <v>644</v>
      </c>
      <c r="I24" s="468" t="s">
        <v>85</v>
      </c>
      <c r="J24" s="468" t="s">
        <v>689</v>
      </c>
      <c r="K24" s="476" t="s">
        <v>653</v>
      </c>
      <c r="L24" s="272"/>
      <c r="M24" s="594" t="s">
        <v>668</v>
      </c>
      <c r="N24" s="595">
        <v>5</v>
      </c>
      <c r="P24" s="273"/>
      <c r="Q24" s="273"/>
      <c r="R24" s="273"/>
      <c r="S24" s="273"/>
      <c r="T24" s="575">
        <f ca="1"/>
        <v>0.06</v>
      </c>
      <c r="U24" s="572">
        <f ca="1"/>
        <v>16</v>
      </c>
      <c r="V24" s="484">
        <f ca="1">IF('CDO Bespoke'!O25&lt;&gt;"",'CDO Bespoke'!O25,"")</f>
        <v>9.7754055400969195E-2</v>
      </c>
      <c r="W24" s="641">
        <f t="shared" ca="1" si="1"/>
        <v>0</v>
      </c>
      <c r="X24" s="641">
        <f t="shared" ca="1" si="0"/>
        <v>9.7754055400969195E-2</v>
      </c>
      <c r="Y24" s="488">
        <f t="shared" ca="1" si="2"/>
        <v>0</v>
      </c>
      <c r="Z24" s="484">
        <f ca="1">IF('CDO Bespoke'!O25&lt;&gt;"",'CDO Bespoke'!O25,"")</f>
        <v>9.7754055400969195E-2</v>
      </c>
      <c r="AA24" s="641">
        <f ca="1">IF(Z24&lt;&gt;"",ABS(MIN(-0.6*'CDO Bespoke'!K25+'CDO Bespoke'!T25*'CDO Bespoke'!K25,0)),"")</f>
        <v>8.7619287859779973E-2</v>
      </c>
      <c r="AB24" s="641">
        <f t="shared" ca="1" si="3"/>
        <v>1.0134767541189221E-2</v>
      </c>
      <c r="AC24" s="488">
        <f t="shared" ca="1" si="4"/>
        <v>0</v>
      </c>
      <c r="AD24" s="272"/>
      <c r="AE24" s="493" t="str">
        <f ca="1">IF('CDO Bespoke'!C49&lt;&gt;"",'CDO Bespoke'!C49,"")</f>
        <v>Bayerische Motoren Werke Aktiengesellschaft</v>
      </c>
      <c r="AF24" s="495">
        <f ca="1"/>
        <v>-7.176653499252339E-4</v>
      </c>
      <c r="AG24" s="583">
        <f ca="1"/>
        <v>-1.2846867197824352E-3</v>
      </c>
      <c r="AH24" s="583">
        <f ca="1"/>
        <v>-1.2800340798424514E-3</v>
      </c>
      <c r="AI24" s="583">
        <f ca="1"/>
        <v>0.73661288796988966</v>
      </c>
      <c r="AJ24" s="496">
        <f ca="1"/>
        <v>0</v>
      </c>
      <c r="AK24" s="618">
        <f ca="1"/>
        <v>0</v>
      </c>
      <c r="AL24" s="495">
        <f ca="1"/>
        <v>3.095200013999988E-4</v>
      </c>
      <c r="AM24" s="583">
        <f ca="1"/>
        <v>1.5186505247007792E-3</v>
      </c>
      <c r="AN24" s="583">
        <f ca="1"/>
        <v>6.5078552423034064E-3</v>
      </c>
      <c r="AO24" s="583">
        <f ca="1"/>
        <v>0.69465408897380254</v>
      </c>
      <c r="AP24" s="496">
        <f ca="1"/>
        <v>0</v>
      </c>
      <c r="AQ24" s="618">
        <f ca="1"/>
        <v>0</v>
      </c>
      <c r="AR24" s="495">
        <f ca="1"/>
        <v>-1.0245009369197033E-2</v>
      </c>
      <c r="AS24" s="496">
        <f ca="1"/>
        <v>-3.4213492955352975E-2</v>
      </c>
      <c r="AT24" s="618">
        <f ca="1"/>
        <v>0</v>
      </c>
      <c r="AU24" s="495">
        <f ca="1"/>
        <v>-0.11232552253158561</v>
      </c>
      <c r="AV24" s="496">
        <f ca="1"/>
        <v>3.8940566746476987E-3</v>
      </c>
      <c r="AW24" s="618">
        <f ca="1"/>
        <v>0</v>
      </c>
      <c r="AX24" s="579"/>
      <c r="AY24" s="579"/>
      <c r="AZ24" s="578"/>
      <c r="BA24" s="578"/>
      <c r="BB24" s="578"/>
    </row>
    <row r="25" spans="2:64">
      <c r="B25" s="528" t="s">
        <v>510</v>
      </c>
      <c r="C25" s="529" t="s">
        <v>66</v>
      </c>
      <c r="D25" s="529" t="s">
        <v>55</v>
      </c>
      <c r="E25" s="529" t="s">
        <v>645</v>
      </c>
      <c r="F25" s="529" t="s">
        <v>646</v>
      </c>
      <c r="G25" s="530">
        <v>0.01</v>
      </c>
      <c r="H25" s="530">
        <v>3.0899999999999999E-3</v>
      </c>
      <c r="I25" s="531">
        <v>0.4</v>
      </c>
      <c r="J25" s="591">
        <v>4</v>
      </c>
      <c r="K25" s="532">
        <v>1</v>
      </c>
      <c r="L25" s="272"/>
      <c r="M25" s="585" t="s">
        <v>684</v>
      </c>
      <c r="N25" s="589">
        <v>5</v>
      </c>
      <c r="P25" s="273"/>
      <c r="Q25" s="273"/>
      <c r="R25" s="273"/>
      <c r="S25" s="273"/>
      <c r="T25" s="575">
        <f ca="1"/>
        <v>0.03</v>
      </c>
      <c r="U25" s="572">
        <f ca="1"/>
        <v>17</v>
      </c>
      <c r="V25" s="484">
        <f ca="1">IF('CDO Bespoke'!O26&lt;&gt;"",'CDO Bespoke'!O26,"")</f>
        <v>9.8158478667914204E-2</v>
      </c>
      <c r="W25" s="641">
        <f t="shared" ca="1" si="1"/>
        <v>0</v>
      </c>
      <c r="X25" s="641">
        <f t="shared" ca="1" si="0"/>
        <v>9.8158478667914204E-2</v>
      </c>
      <c r="Y25" s="488">
        <f t="shared" ca="1" si="2"/>
        <v>0</v>
      </c>
      <c r="Z25" s="484">
        <f ca="1">IF('CDO Bespoke'!O26&lt;&gt;"",'CDO Bespoke'!O26,"")</f>
        <v>9.8158478667914204E-2</v>
      </c>
      <c r="AA25" s="641">
        <f ca="1">IF(Z25&lt;&gt;"",ABS(MIN(-0.6*'CDO Bespoke'!K26+'CDO Bespoke'!T26*'CDO Bespoke'!K26,0)),"")</f>
        <v>8.2701273062085093E-2</v>
      </c>
      <c r="AB25" s="641">
        <f t="shared" ca="1" si="3"/>
        <v>1.5457205605829111E-2</v>
      </c>
      <c r="AC25" s="488">
        <f t="shared" ca="1" si="4"/>
        <v>0</v>
      </c>
      <c r="AD25" s="272"/>
      <c r="AE25" s="493" t="str">
        <f ca="1">IF('CDO Bespoke'!C50&lt;&gt;"",'CDO Bespoke'!C50,"")</f>
        <v>BOUYGUES</v>
      </c>
      <c r="AF25" s="495">
        <f ca="1"/>
        <v>-3.5409215004555961E-4</v>
      </c>
      <c r="AG25" s="583">
        <f ca="1"/>
        <v>9.6388970138860941E-5</v>
      </c>
      <c r="AH25" s="583">
        <f ca="1"/>
        <v>3.7052172097151725E-3</v>
      </c>
      <c r="AI25" s="583">
        <f ca="1"/>
        <v>0.61110782818007969</v>
      </c>
      <c r="AJ25" s="496">
        <f ca="1"/>
        <v>0</v>
      </c>
      <c r="AK25" s="618">
        <f ca="1"/>
        <v>0</v>
      </c>
      <c r="AL25" s="495">
        <f ca="1"/>
        <v>3.5058291159885402E-4</v>
      </c>
      <c r="AM25" s="583">
        <f ca="1"/>
        <v>1.7031141783972401E-3</v>
      </c>
      <c r="AN25" s="583">
        <f ca="1"/>
        <v>7.5501354394012787E-3</v>
      </c>
      <c r="AO25" s="583">
        <f ca="1"/>
        <v>0.5946470950291991</v>
      </c>
      <c r="AP25" s="496">
        <f ca="1"/>
        <v>0</v>
      </c>
      <c r="AQ25" s="618">
        <f ca="1"/>
        <v>0</v>
      </c>
      <c r="AR25" s="495">
        <f ca="1"/>
        <v>-1.5814006893643595E-2</v>
      </c>
      <c r="AS25" s="496">
        <f ca="1"/>
        <v>-2.9398602251406392E-2</v>
      </c>
      <c r="AT25" s="618">
        <f ca="1"/>
        <v>0</v>
      </c>
      <c r="AU25" s="495">
        <f ca="1"/>
        <v>-0.116810722251454</v>
      </c>
      <c r="AV25" s="496">
        <f ca="1"/>
        <v>-1.4586031633200928E-3</v>
      </c>
      <c r="AW25" s="618">
        <f ca="1"/>
        <v>0</v>
      </c>
      <c r="AX25" s="579"/>
      <c r="AY25" s="579"/>
      <c r="AZ25" s="578"/>
      <c r="BA25" s="578"/>
      <c r="BB25" s="578"/>
    </row>
    <row r="26" spans="2:64">
      <c r="B26" s="516" t="s">
        <v>510</v>
      </c>
      <c r="C26" s="517" t="s">
        <v>66</v>
      </c>
      <c r="D26" s="517" t="s">
        <v>57</v>
      </c>
      <c r="E26" s="517" t="s">
        <v>645</v>
      </c>
      <c r="F26" s="517" t="s">
        <v>646</v>
      </c>
      <c r="G26" s="524">
        <v>0.01</v>
      </c>
      <c r="H26" s="524">
        <v>4.5950000000000001E-3</v>
      </c>
      <c r="I26" s="526">
        <v>0.4</v>
      </c>
      <c r="J26" s="592">
        <v>4</v>
      </c>
      <c r="K26" s="518">
        <v>1</v>
      </c>
      <c r="L26" s="272"/>
      <c r="M26" s="596" t="s">
        <v>683</v>
      </c>
      <c r="N26" s="597">
        <v>5</v>
      </c>
      <c r="P26" s="273"/>
      <c r="Q26" s="273"/>
      <c r="R26" s="273"/>
      <c r="S26" s="273"/>
      <c r="T26" s="575">
        <f ca="1"/>
        <v>0.06</v>
      </c>
      <c r="U26" s="572">
        <f ca="1"/>
        <v>18</v>
      </c>
      <c r="V26" s="484">
        <f ca="1">IF('CDO Bespoke'!O27&lt;&gt;"",'CDO Bespoke'!O27,"")</f>
        <v>9.5954296935692199E-2</v>
      </c>
      <c r="W26" s="641">
        <f t="shared" ca="1" si="1"/>
        <v>0</v>
      </c>
      <c r="X26" s="641">
        <f t="shared" ca="1" si="0"/>
        <v>9.5954296935692199E-2</v>
      </c>
      <c r="Y26" s="488">
        <f t="shared" ca="1" si="2"/>
        <v>0</v>
      </c>
      <c r="Z26" s="484">
        <f ca="1">IF('CDO Bespoke'!O27&lt;&gt;"",'CDO Bespoke'!O27,"")</f>
        <v>9.5954296935692199E-2</v>
      </c>
      <c r="AA26" s="641">
        <f ca="1">IF(Z26&lt;&gt;"",ABS(MIN(-0.6*'CDO Bespoke'!K27+'CDO Bespoke'!T27*'CDO Bespoke'!K27,0)),"")</f>
        <v>9.6708277757939484E-2</v>
      </c>
      <c r="AB26" s="641">
        <f t="shared" ca="1" si="3"/>
        <v>0</v>
      </c>
      <c r="AC26" s="488">
        <f t="shared" ca="1" si="4"/>
        <v>0</v>
      </c>
      <c r="AD26" s="272"/>
      <c r="AE26" s="493" t="str">
        <f ca="1">IF('CDO Bespoke'!C51&lt;&gt;"",'CDO Bespoke'!C51,"")</f>
        <v>CNH Industrial N.V</v>
      </c>
      <c r="AF26" s="495">
        <f ca="1"/>
        <v>-1.4330722702959875E-3</v>
      </c>
      <c r="AG26" s="583">
        <f ca="1"/>
        <v>-4.0887989399829294E-3</v>
      </c>
      <c r="AH26" s="583">
        <f ca="1"/>
        <v>-1.2134150860210191E-2</v>
      </c>
      <c r="AI26" s="583">
        <f ca="1"/>
        <v>0.91464592763990105</v>
      </c>
      <c r="AJ26" s="496">
        <f ca="1"/>
        <v>0</v>
      </c>
      <c r="AK26" s="618">
        <f ca="1"/>
        <v>0</v>
      </c>
      <c r="AL26" s="495">
        <f ca="1"/>
        <v>9.5341214199776494E-5</v>
      </c>
      <c r="AM26" s="583">
        <f ca="1"/>
        <v>5.1823835809945012E-4</v>
      </c>
      <c r="AN26" s="583">
        <f ca="1"/>
        <v>1.4364359688994952E-3</v>
      </c>
      <c r="AO26" s="583">
        <f ca="1"/>
        <v>0.82160170106459041</v>
      </c>
      <c r="AP26" s="496">
        <f ca="1"/>
        <v>0</v>
      </c>
      <c r="AQ26" s="618">
        <f ca="1"/>
        <v>0</v>
      </c>
      <c r="AR26" s="495">
        <f ca="1"/>
        <v>-2.0397075385473751E-3</v>
      </c>
      <c r="AS26" s="496">
        <f ca="1"/>
        <v>-3.924194816574661E-2</v>
      </c>
      <c r="AT26" s="618">
        <f ca="1"/>
        <v>0</v>
      </c>
      <c r="AU26" s="495">
        <f ca="1"/>
        <v>-0.10491433238807733</v>
      </c>
      <c r="AV26" s="496">
        <f ca="1"/>
        <v>1.9049627551355027E-2</v>
      </c>
      <c r="AW26" s="618">
        <f ca="1"/>
        <v>0</v>
      </c>
    </row>
    <row r="27" spans="2:64">
      <c r="B27" s="533" t="s">
        <v>510</v>
      </c>
      <c r="C27" s="534" t="s">
        <v>66</v>
      </c>
      <c r="D27" s="534" t="s">
        <v>59</v>
      </c>
      <c r="E27" s="534" t="s">
        <v>645</v>
      </c>
      <c r="F27" s="534" t="s">
        <v>646</v>
      </c>
      <c r="G27" s="535">
        <v>0.01</v>
      </c>
      <c r="H27" s="535">
        <v>6.3160000000000004E-3</v>
      </c>
      <c r="I27" s="536">
        <v>0.4</v>
      </c>
      <c r="J27" s="593">
        <v>4</v>
      </c>
      <c r="K27" s="537">
        <v>1</v>
      </c>
      <c r="L27" s="272"/>
      <c r="M27" s="594" t="s">
        <v>652</v>
      </c>
      <c r="N27" s="595">
        <v>6</v>
      </c>
      <c r="P27" s="273"/>
      <c r="Q27" s="273"/>
      <c r="R27" s="273"/>
      <c r="S27" s="273"/>
      <c r="T27" s="575">
        <f ca="1"/>
        <v>0.06</v>
      </c>
      <c r="U27" s="572">
        <f ca="1"/>
        <v>19</v>
      </c>
      <c r="V27" s="484">
        <f ca="1">IF('CDO Bespoke'!O28&lt;&gt;"",'CDO Bespoke'!O28,"")</f>
        <v>9.7708544273725204E-2</v>
      </c>
      <c r="W27" s="641">
        <f t="shared" ca="1" si="1"/>
        <v>0</v>
      </c>
      <c r="X27" s="641">
        <f t="shared" ca="1" si="0"/>
        <v>9.7708544273725204E-2</v>
      </c>
      <c r="Y27" s="488">
        <f t="shared" ca="1" si="2"/>
        <v>0</v>
      </c>
      <c r="Z27" s="484">
        <f ca="1">IF('CDO Bespoke'!O28&lt;&gt;"",'CDO Bespoke'!O28,"")</f>
        <v>9.7708544273725204E-2</v>
      </c>
      <c r="AA27" s="641">
        <f ca="1">IF(Z27&lt;&gt;"",ABS(MIN(-0.6*'CDO Bespoke'!K28+'CDO Bespoke'!T28*'CDO Bespoke'!K28,0)),"")</f>
        <v>8.805716255254524E-2</v>
      </c>
      <c r="AB27" s="641">
        <f t="shared" ca="1" si="3"/>
        <v>9.6513817211799635E-3</v>
      </c>
      <c r="AC27" s="488">
        <f t="shared" ca="1" si="4"/>
        <v>0</v>
      </c>
      <c r="AD27" s="272"/>
      <c r="AE27" s="493" t="str">
        <f ca="1">IF('CDO Bespoke'!C52&lt;&gt;"",'CDO Bespoke'!C52,"")</f>
        <v>COMPAGNIE DE SAINT-GOBAIN</v>
      </c>
      <c r="AF27" s="495">
        <f ca="1"/>
        <v>-5.6634706002700597E-3</v>
      </c>
      <c r="AG27" s="583">
        <f ca="1"/>
        <v>-2.3878521470122038E-2</v>
      </c>
      <c r="AH27" s="583">
        <f ca="1"/>
        <v>-9.6450366670053356E-2</v>
      </c>
      <c r="AI27" s="583">
        <f ca="1"/>
        <v>0.99924367175985296</v>
      </c>
      <c r="AJ27" s="496">
        <f ca="1"/>
        <v>0</v>
      </c>
      <c r="AK27" s="618">
        <f ca="1"/>
        <v>0</v>
      </c>
      <c r="AL27" s="495">
        <f ca="1"/>
        <v>-2.4215933679821999E-3</v>
      </c>
      <c r="AM27" s="583">
        <f ca="1"/>
        <v>-1.1401919696001073E-2</v>
      </c>
      <c r="AN27" s="583">
        <f ca="1"/>
        <v>-5.1410538702972852E-2</v>
      </c>
      <c r="AO27" s="583">
        <f ca="1"/>
        <v>0.70807563752602742</v>
      </c>
      <c r="AP27" s="496">
        <f ca="1"/>
        <v>0</v>
      </c>
      <c r="AQ27" s="618">
        <f ca="1"/>
        <v>0</v>
      </c>
      <c r="AR27" s="495">
        <f ca="1"/>
        <v>1.2437532018699404E-2</v>
      </c>
      <c r="AS27" s="496">
        <f ca="1"/>
        <v>2.7335214695776155E-3</v>
      </c>
      <c r="AT27" s="618">
        <f ca="1"/>
        <v>0</v>
      </c>
      <c r="AU27" s="495">
        <f ca="1"/>
        <v>-8.2975868461193869E-2</v>
      </c>
      <c r="AV27" s="496">
        <f ca="1"/>
        <v>0.11584197960207468</v>
      </c>
      <c r="AW27" s="618">
        <f ca="1"/>
        <v>0</v>
      </c>
    </row>
    <row r="28" spans="2:64">
      <c r="B28" s="538" t="s">
        <v>511</v>
      </c>
      <c r="C28" s="539" t="s">
        <v>66</v>
      </c>
      <c r="D28" s="539" t="s">
        <v>55</v>
      </c>
      <c r="E28" s="539" t="s">
        <v>645</v>
      </c>
      <c r="F28" s="539" t="s">
        <v>646</v>
      </c>
      <c r="G28" s="540">
        <v>0.01</v>
      </c>
      <c r="H28" s="540">
        <v>2.9420000000000002E-3</v>
      </c>
      <c r="I28" s="541">
        <v>0.4</v>
      </c>
      <c r="J28" s="600">
        <v>4</v>
      </c>
      <c r="K28" s="542">
        <v>2</v>
      </c>
      <c r="L28" s="272"/>
      <c r="M28" s="596" t="s">
        <v>672</v>
      </c>
      <c r="N28" s="597">
        <v>6</v>
      </c>
      <c r="P28" s="273"/>
      <c r="Q28" s="273"/>
      <c r="R28" s="273"/>
      <c r="S28" s="273"/>
      <c r="T28" s="575">
        <f ca="1"/>
        <v>5.0000000000000001E-3</v>
      </c>
      <c r="U28" s="572">
        <f ca="1"/>
        <v>20</v>
      </c>
      <c r="V28" s="484">
        <f ca="1">IF('CDO Bespoke'!O29&lt;&gt;"",'CDO Bespoke'!O29,"")</f>
        <v>9.6120689647122198E-2</v>
      </c>
      <c r="W28" s="641">
        <f t="shared" ca="1" si="1"/>
        <v>0</v>
      </c>
      <c r="X28" s="641">
        <f t="shared" ca="1" si="0"/>
        <v>9.6120689647122198E-2</v>
      </c>
      <c r="Y28" s="488">
        <f t="shared" ca="1" si="2"/>
        <v>0</v>
      </c>
      <c r="Z28" s="484">
        <f ca="1">IF('CDO Bespoke'!O29&lt;&gt;"",'CDO Bespoke'!O29,"")</f>
        <v>9.6120689647122198E-2</v>
      </c>
      <c r="AA28" s="641">
        <f ca="1">IF(Z28&lt;&gt;"",ABS(MIN(-0.6*'CDO Bespoke'!K29+'CDO Bespoke'!T29*'CDO Bespoke'!K29,0)),"")</f>
        <v>9.6304755248042467E-2</v>
      </c>
      <c r="AB28" s="641">
        <f t="shared" ca="1" si="3"/>
        <v>0</v>
      </c>
      <c r="AC28" s="488">
        <f t="shared" ca="1" si="4"/>
        <v>0</v>
      </c>
      <c r="AD28" s="272"/>
      <c r="AE28" s="493" t="str">
        <f ca="1">IF('CDO Bespoke'!C53&lt;&gt;"",'CDO Bespoke'!C53,"")</f>
        <v>Continental Aktiengesellschaft</v>
      </c>
      <c r="AF28" s="495">
        <f ca="1"/>
        <v>-1.6071587599642001E-3</v>
      </c>
      <c r="AG28" s="583">
        <f ca="1"/>
        <v>-4.8590206502829858E-3</v>
      </c>
      <c r="AH28" s="583">
        <f ca="1"/>
        <v>-1.5080644780174346E-2</v>
      </c>
      <c r="AI28" s="583">
        <f ca="1"/>
        <v>0.94759325306004172</v>
      </c>
      <c r="AJ28" s="496">
        <f ca="1"/>
        <v>0</v>
      </c>
      <c r="AK28" s="618">
        <f ca="1"/>
        <v>0</v>
      </c>
      <c r="AL28" s="495">
        <f ca="1"/>
        <v>3.1393415399812857E-5</v>
      </c>
      <c r="AM28" s="583">
        <f ca="1"/>
        <v>2.1615378599997926E-4</v>
      </c>
      <c r="AN28" s="583">
        <f ca="1"/>
        <v>2.8790654071003197E-4</v>
      </c>
      <c r="AO28" s="583">
        <f ca="1"/>
        <v>0.84353352197819986</v>
      </c>
      <c r="AP28" s="496">
        <f ca="1"/>
        <v>0</v>
      </c>
      <c r="AQ28" s="618">
        <f ca="1"/>
        <v>0</v>
      </c>
      <c r="AR28" s="495">
        <f ca="1"/>
        <v>-5.8451759918598523E-4</v>
      </c>
      <c r="AS28" s="496">
        <f ca="1"/>
        <v>-3.9827519266000977E-2</v>
      </c>
      <c r="AT28" s="618">
        <f ca="1"/>
        <v>0</v>
      </c>
      <c r="AU28" s="495">
        <f ca="1"/>
        <v>-0.10367522856946609</v>
      </c>
      <c r="AV28" s="496">
        <f ca="1"/>
        <v>2.2904064279144012E-2</v>
      </c>
      <c r="AW28" s="618">
        <f ca="1"/>
        <v>0</v>
      </c>
      <c r="BC28" s="577"/>
    </row>
    <row r="29" spans="2:64">
      <c r="B29" s="516" t="s">
        <v>511</v>
      </c>
      <c r="C29" s="517" t="s">
        <v>66</v>
      </c>
      <c r="D29" s="517" t="s">
        <v>57</v>
      </c>
      <c r="E29" s="517" t="s">
        <v>645</v>
      </c>
      <c r="F29" s="517" t="s">
        <v>646</v>
      </c>
      <c r="G29" s="524">
        <v>0.01</v>
      </c>
      <c r="H29" s="524">
        <v>4.9529999999999999E-3</v>
      </c>
      <c r="I29" s="526">
        <v>0.4</v>
      </c>
      <c r="J29" s="592">
        <v>4</v>
      </c>
      <c r="K29" s="518">
        <v>2</v>
      </c>
      <c r="L29" s="272"/>
      <c r="M29" s="594" t="s">
        <v>669</v>
      </c>
      <c r="N29" s="595">
        <v>7</v>
      </c>
      <c r="P29" s="273"/>
      <c r="Q29" s="273"/>
      <c r="R29" s="273"/>
      <c r="S29" s="273"/>
      <c r="T29" s="575">
        <f ca="1"/>
        <v>0.03</v>
      </c>
      <c r="U29" s="572">
        <f ca="1"/>
        <v>21</v>
      </c>
      <c r="V29" s="484">
        <f ca="1">IF('CDO Bespoke'!O30&lt;&gt;"",'CDO Bespoke'!O30,"")</f>
        <v>9.6148690913948204E-2</v>
      </c>
      <c r="W29" s="641">
        <f t="shared" ca="1" si="1"/>
        <v>0</v>
      </c>
      <c r="X29" s="641">
        <f t="shared" ca="1" si="0"/>
        <v>9.6148690913948204E-2</v>
      </c>
      <c r="Y29" s="488">
        <f t="shared" ca="1" si="2"/>
        <v>0</v>
      </c>
      <c r="Z29" s="484">
        <f ca="1">IF('CDO Bespoke'!O30&lt;&gt;"",'CDO Bespoke'!O30,"")</f>
        <v>9.6148690913948204E-2</v>
      </c>
      <c r="AA29" s="641">
        <f ca="1">IF(Z29&lt;&gt;"",ABS(MIN(-0.6*'CDO Bespoke'!K30+'CDO Bespoke'!T30*'CDO Bespoke'!K30,0)),"")</f>
        <v>9.6231382316633501E-2</v>
      </c>
      <c r="AB29" s="641">
        <f t="shared" ca="1" si="3"/>
        <v>0</v>
      </c>
      <c r="AC29" s="488">
        <f t="shared" ca="1" si="4"/>
        <v>0</v>
      </c>
      <c r="AD29" s="272"/>
      <c r="AE29" s="493" t="str">
        <f ca="1">IF('CDO Bespoke'!C54&lt;&gt;"",'CDO Bespoke'!C54,"")</f>
        <v>Glencore International AG</v>
      </c>
      <c r="AF29" s="495">
        <f ca="1"/>
        <v>-1.8038957699806346E-3</v>
      </c>
      <c r="AG29" s="583">
        <f ca="1"/>
        <v>-5.7237454598180193E-3</v>
      </c>
      <c r="AH29" s="583">
        <f ca="1"/>
        <v>-1.8759794550016196E-2</v>
      </c>
      <c r="AI29" s="583">
        <f ca="1"/>
        <v>0.98136361114997683</v>
      </c>
      <c r="AJ29" s="496">
        <f ca="1"/>
        <v>0</v>
      </c>
      <c r="AK29" s="618">
        <f ca="1"/>
        <v>0</v>
      </c>
      <c r="AL29" s="495">
        <f ca="1"/>
        <v>-4.9061195099998206E-5</v>
      </c>
      <c r="AM29" s="583">
        <f ca="1"/>
        <v>-1.6420835590152255E-4</v>
      </c>
      <c r="AN29" s="583">
        <f ca="1"/>
        <v>-1.5423849237020636E-3</v>
      </c>
      <c r="AO29" s="583">
        <f ca="1"/>
        <v>0.8642333315045988</v>
      </c>
      <c r="AP29" s="496">
        <f ca="1"/>
        <v>0</v>
      </c>
      <c r="AQ29" s="618">
        <f ca="1"/>
        <v>0</v>
      </c>
      <c r="AR29" s="495">
        <f ca="1"/>
        <v>9.5295692324409709E-4</v>
      </c>
      <c r="AS29" s="496">
        <f ca="1"/>
        <v>-4.021951287818909E-2</v>
      </c>
      <c r="AT29" s="618">
        <f ca="1"/>
        <v>0</v>
      </c>
      <c r="AU29" s="495">
        <f ca="1"/>
        <v>-0.10230132142767516</v>
      </c>
      <c r="AV29" s="496">
        <f ca="1"/>
        <v>2.7629018432864843E-2</v>
      </c>
      <c r="AW29" s="618">
        <f ca="1"/>
        <v>0</v>
      </c>
    </row>
    <row r="30" spans="2:64">
      <c r="B30" s="533" t="s">
        <v>511</v>
      </c>
      <c r="C30" s="534" t="s">
        <v>66</v>
      </c>
      <c r="D30" s="534" t="s">
        <v>59</v>
      </c>
      <c r="E30" s="534" t="s">
        <v>645</v>
      </c>
      <c r="F30" s="534" t="s">
        <v>646</v>
      </c>
      <c r="G30" s="535">
        <v>0.01</v>
      </c>
      <c r="H30" s="535">
        <v>7.0489999999999997E-3</v>
      </c>
      <c r="I30" s="536">
        <v>0.4</v>
      </c>
      <c r="J30" s="593">
        <v>4</v>
      </c>
      <c r="K30" s="537">
        <v>2</v>
      </c>
      <c r="L30" s="272"/>
      <c r="M30" s="585" t="s">
        <v>651</v>
      </c>
      <c r="N30" s="589">
        <v>7</v>
      </c>
      <c r="P30" s="273"/>
      <c r="Q30" s="273"/>
      <c r="R30" s="273"/>
      <c r="S30" s="273"/>
      <c r="T30" s="575">
        <f ca="1"/>
        <v>0.06</v>
      </c>
      <c r="U30" s="572">
        <f ca="1"/>
        <v>22</v>
      </c>
      <c r="V30" s="484">
        <f ca="1">IF('CDO Bespoke'!O31&lt;&gt;"",'CDO Bespoke'!O31,"")</f>
        <v>9.8557263932573205E-2</v>
      </c>
      <c r="W30" s="641">
        <f t="shared" ca="1" si="1"/>
        <v>0</v>
      </c>
      <c r="X30" s="641">
        <f t="shared" ca="1" si="0"/>
        <v>9.8557263932573205E-2</v>
      </c>
      <c r="Y30" s="488">
        <f t="shared" ca="1" si="2"/>
        <v>0</v>
      </c>
      <c r="Z30" s="484">
        <f ca="1">IF('CDO Bespoke'!O31&lt;&gt;"",'CDO Bespoke'!O31,"")</f>
        <v>9.8557263932573205E-2</v>
      </c>
      <c r="AA30" s="641">
        <f ca="1">IF(Z30&lt;&gt;"",ABS(MIN(-0.6*'CDO Bespoke'!K31+'CDO Bespoke'!T31*'CDO Bespoke'!K31,0)),"")</f>
        <v>7.4812520087066889E-2</v>
      </c>
      <c r="AB30" s="641">
        <f t="shared" ca="1" si="3"/>
        <v>2.3744743845506316E-2</v>
      </c>
      <c r="AC30" s="488">
        <f t="shared" ca="1" si="4"/>
        <v>0</v>
      </c>
      <c r="AD30" s="272"/>
      <c r="AE30" s="493" t="str">
        <f ca="1">IF('CDO Bespoke'!C55&lt;&gt;"",'CDO Bespoke'!C55,"")</f>
        <v>GSK PLC</v>
      </c>
      <c r="AF30" s="495">
        <f ca="1"/>
        <v>-1.8147845004534702E-4</v>
      </c>
      <c r="AG30" s="583">
        <f ca="1"/>
        <v>6.2241246989724885E-4</v>
      </c>
      <c r="AH30" s="583">
        <f ca="1"/>
        <v>5.1722438998424991E-3</v>
      </c>
      <c r="AI30" s="583">
        <f ca="1"/>
        <v>0.52693488737987071</v>
      </c>
      <c r="AJ30" s="496">
        <f ca="1"/>
        <v>0</v>
      </c>
      <c r="AK30" s="618">
        <f ca="1"/>
        <v>0</v>
      </c>
      <c r="AL30" s="495">
        <f ca="1"/>
        <v>3.4863217470045005E-4</v>
      </c>
      <c r="AM30" s="583">
        <f ca="1"/>
        <v>1.6863168086998087E-3</v>
      </c>
      <c r="AN30" s="583">
        <f ca="1"/>
        <v>7.5500503763986301E-3</v>
      </c>
      <c r="AO30" s="583">
        <f ca="1"/>
        <v>0.5230713123647972</v>
      </c>
      <c r="AP30" s="496">
        <f ca="1"/>
        <v>0</v>
      </c>
      <c r="AQ30" s="618">
        <f ca="1"/>
        <v>0</v>
      </c>
      <c r="AR30" s="495">
        <f ca="1"/>
        <v>-1.9668005682900724E-2</v>
      </c>
      <c r="AS30" s="496">
        <f ca="1"/>
        <v>-2.5797275414914222E-2</v>
      </c>
      <c r="AT30" s="618">
        <f ca="1"/>
        <v>0</v>
      </c>
      <c r="AU30" s="495">
        <f ca="1"/>
        <v>-6.4117675958613951E-2</v>
      </c>
      <c r="AV30" s="496">
        <f ca="1"/>
        <v>4.2403775956172604E-3</v>
      </c>
      <c r="AW30" s="618">
        <f ca="1"/>
        <v>0</v>
      </c>
    </row>
    <row r="31" spans="2:64">
      <c r="B31" s="538" t="s">
        <v>529</v>
      </c>
      <c r="C31" s="539" t="s">
        <v>66</v>
      </c>
      <c r="D31" s="539" t="s">
        <v>55</v>
      </c>
      <c r="E31" s="539" t="s">
        <v>647</v>
      </c>
      <c r="F31" s="539" t="s">
        <v>670</v>
      </c>
      <c r="G31" s="540">
        <v>0.01</v>
      </c>
      <c r="H31" s="540">
        <v>3.0409999999999999E-3</v>
      </c>
      <c r="I31" s="541">
        <v>0.4</v>
      </c>
      <c r="J31" s="600">
        <v>4</v>
      </c>
      <c r="K31" s="542">
        <v>3</v>
      </c>
      <c r="L31" s="272"/>
      <c r="M31" s="596" t="s">
        <v>685</v>
      </c>
      <c r="N31" s="597">
        <v>7</v>
      </c>
      <c r="P31" s="273"/>
      <c r="Q31" s="273"/>
      <c r="R31" s="273"/>
      <c r="S31" s="273"/>
      <c r="T31" s="575">
        <f ca="1"/>
        <v>0.06</v>
      </c>
      <c r="U31" s="572">
        <f ca="1"/>
        <v>23</v>
      </c>
      <c r="V31" s="484">
        <f ca="1">IF('CDO Bespoke'!O32&lt;&gt;"",'CDO Bespoke'!O32,"")</f>
        <v>9.6181075585619197E-2</v>
      </c>
      <c r="W31" s="641">
        <f t="shared" ca="1" si="1"/>
        <v>0</v>
      </c>
      <c r="X31" s="641">
        <f t="shared" ca="1" si="0"/>
        <v>9.6181075585619197E-2</v>
      </c>
      <c r="Y31" s="488">
        <f t="shared" ca="1" si="2"/>
        <v>0</v>
      </c>
      <c r="Z31" s="484">
        <f ca="1">IF('CDO Bespoke'!O32&lt;&gt;"",'CDO Bespoke'!O32,"")</f>
        <v>9.6181075585619197E-2</v>
      </c>
      <c r="AA31" s="641">
        <f ca="1">IF(Z31&lt;&gt;"",ABS(MIN(-0.6*'CDO Bespoke'!K32+'CDO Bespoke'!T32*'CDO Bespoke'!K32,0)),"")</f>
        <v>9.6144459158568465E-2</v>
      </c>
      <c r="AB31" s="641">
        <f t="shared" ca="1" si="3"/>
        <v>3.6616427050731315E-5</v>
      </c>
      <c r="AC31" s="488">
        <f t="shared" ca="1" si="4"/>
        <v>0</v>
      </c>
      <c r="AD31" s="272"/>
      <c r="AE31" s="493" t="str">
        <f ca="1">IF('CDO Bespoke'!C56&lt;&gt;"",'CDO Bespoke'!C56,"")</f>
        <v>Heidelberg Materials AG</v>
      </c>
      <c r="AF31" s="495">
        <f ca="1"/>
        <v>-1.4394244701732006E-3</v>
      </c>
      <c r="AG31" s="583">
        <f ca="1"/>
        <v>-4.1338955197867122E-3</v>
      </c>
      <c r="AH31" s="583">
        <f ca="1"/>
        <v>-1.240609213026822E-2</v>
      </c>
      <c r="AI31" s="583">
        <f ca="1"/>
        <v>0.91654142725994259</v>
      </c>
      <c r="AJ31" s="496">
        <f ca="1"/>
        <v>0</v>
      </c>
      <c r="AK31" s="618">
        <f ca="1"/>
        <v>0</v>
      </c>
      <c r="AL31" s="495">
        <f ca="1"/>
        <v>9.4902942200788751E-5</v>
      </c>
      <c r="AM31" s="583">
        <f ca="1"/>
        <v>5.1600102631043157E-4</v>
      </c>
      <c r="AN31" s="583">
        <f ca="1"/>
        <v>1.410814196810533E-3</v>
      </c>
      <c r="AO31" s="583">
        <f ca="1"/>
        <v>0.82297256146370013</v>
      </c>
      <c r="AP31" s="496">
        <f ca="1"/>
        <v>0</v>
      </c>
      <c r="AQ31" s="618">
        <f ca="1"/>
        <v>0</v>
      </c>
      <c r="AR31" s="495">
        <f ca="1"/>
        <v>-2.0027129030402713E-3</v>
      </c>
      <c r="AS31" s="496">
        <f ca="1"/>
        <v>-3.9304967542145741E-2</v>
      </c>
      <c r="AT31" s="618">
        <f ca="1"/>
        <v>0</v>
      </c>
      <c r="AU31" s="495">
        <f ca="1"/>
        <v>-0.10496445358435763</v>
      </c>
      <c r="AV31" s="496">
        <f ca="1"/>
        <v>1.9053900442141745E-2</v>
      </c>
      <c r="AW31" s="618">
        <f ca="1"/>
        <v>0</v>
      </c>
    </row>
    <row r="32" spans="2:64">
      <c r="B32" s="516" t="s">
        <v>529</v>
      </c>
      <c r="C32" s="517" t="s">
        <v>66</v>
      </c>
      <c r="D32" s="517" t="s">
        <v>57</v>
      </c>
      <c r="E32" s="517" t="s">
        <v>647</v>
      </c>
      <c r="F32" s="517" t="s">
        <v>670</v>
      </c>
      <c r="G32" s="524">
        <v>0.01</v>
      </c>
      <c r="H32" s="524">
        <v>5.1590000000000004E-3</v>
      </c>
      <c r="I32" s="526">
        <v>0.4</v>
      </c>
      <c r="J32" s="592">
        <v>4</v>
      </c>
      <c r="K32" s="518">
        <v>3</v>
      </c>
      <c r="L32" s="272"/>
      <c r="M32" s="598" t="s">
        <v>686</v>
      </c>
      <c r="N32" s="599">
        <v>8</v>
      </c>
      <c r="P32" s="273"/>
      <c r="Q32" s="273"/>
      <c r="R32" s="273"/>
      <c r="S32" s="273"/>
      <c r="T32" s="575">
        <f ca="1"/>
        <v>0.03</v>
      </c>
      <c r="U32" s="572">
        <f ca="1"/>
        <v>24</v>
      </c>
      <c r="V32" s="484">
        <f ca="1">IF('CDO Bespoke'!O33&lt;&gt;"",'CDO Bespoke'!O33,"")</f>
        <v>9.6917851098553207E-2</v>
      </c>
      <c r="W32" s="641">
        <f t="shared" ca="1" si="1"/>
        <v>0</v>
      </c>
      <c r="X32" s="641">
        <f t="shared" ca="1" si="0"/>
        <v>9.6917851098553207E-2</v>
      </c>
      <c r="Y32" s="488">
        <f t="shared" ca="1" si="2"/>
        <v>0</v>
      </c>
      <c r="Z32" s="484">
        <f ca="1">IF('CDO Bespoke'!O33&lt;&gt;"",'CDO Bespoke'!O33,"")</f>
        <v>9.6917851098553207E-2</v>
      </c>
      <c r="AA32" s="641">
        <f ca="1">IF(Z32&lt;&gt;"",ABS(MIN(-0.6*'CDO Bespoke'!K33+'CDO Bespoke'!T33*'CDO Bespoke'!K33,0)),"")</f>
        <v>9.3436778595996028E-2</v>
      </c>
      <c r="AB32" s="641">
        <f t="shared" ca="1" si="3"/>
        <v>3.4810725025571781E-3</v>
      </c>
      <c r="AC32" s="488">
        <f t="shared" ca="1" si="4"/>
        <v>0</v>
      </c>
      <c r="AD32" s="272"/>
      <c r="AE32" s="493" t="str">
        <f ca="1">IF('CDO Bespoke'!C57&lt;&gt;"",'CDO Bespoke'!C57,"")</f>
        <v>Holcim AG</v>
      </c>
      <c r="AF32" s="495">
        <f ca="1"/>
        <v>-1.1331559701677207E-3</v>
      </c>
      <c r="AG32" s="583">
        <f ca="1"/>
        <v>-2.892414189825665E-3</v>
      </c>
      <c r="AH32" s="583">
        <f ca="1"/>
        <v>-7.405118609971062E-3</v>
      </c>
      <c r="AI32" s="583">
        <f ca="1"/>
        <v>0.85077434415992137</v>
      </c>
      <c r="AJ32" s="496">
        <f ca="1"/>
        <v>0</v>
      </c>
      <c r="AK32" s="618">
        <f ca="1"/>
        <v>0</v>
      </c>
      <c r="AL32" s="495">
        <f ca="1"/>
        <v>2.0212344600117893E-4</v>
      </c>
      <c r="AM32" s="583">
        <f ca="1"/>
        <v>1.0195044308010555E-3</v>
      </c>
      <c r="AN32" s="583">
        <f ca="1"/>
        <v>3.9488969872996868E-3</v>
      </c>
      <c r="AO32" s="583">
        <f ca="1"/>
        <v>0.77849729368360032</v>
      </c>
      <c r="AP32" s="496">
        <f ca="1"/>
        <v>0</v>
      </c>
      <c r="AQ32" s="618">
        <f ca="1"/>
        <v>0</v>
      </c>
      <c r="AR32" s="495">
        <f ca="1"/>
        <v>-5.0623852655941604E-3</v>
      </c>
      <c r="AS32" s="496">
        <f ca="1"/>
        <v>-3.7812334627846833E-2</v>
      </c>
      <c r="AT32" s="618">
        <f ca="1"/>
        <v>0</v>
      </c>
      <c r="AU32" s="495">
        <f ca="1"/>
        <v>-0.10782725948377793</v>
      </c>
      <c r="AV32" s="496">
        <f ca="1"/>
        <v>1.2103809023835635E-2</v>
      </c>
      <c r="AW32" s="618">
        <f ca="1"/>
        <v>0</v>
      </c>
    </row>
    <row r="33" spans="2:49" ht="10.5" thickBot="1">
      <c r="B33" s="533" t="s">
        <v>529</v>
      </c>
      <c r="C33" s="534" t="s">
        <v>66</v>
      </c>
      <c r="D33" s="534" t="s">
        <v>59</v>
      </c>
      <c r="E33" s="534" t="s">
        <v>647</v>
      </c>
      <c r="F33" s="534" t="s">
        <v>670</v>
      </c>
      <c r="G33" s="535">
        <v>0.01</v>
      </c>
      <c r="H33" s="535">
        <v>6.8450000000000004E-3</v>
      </c>
      <c r="I33" s="536">
        <v>0.4</v>
      </c>
      <c r="J33" s="593">
        <v>4</v>
      </c>
      <c r="K33" s="537">
        <v>3</v>
      </c>
      <c r="L33" s="272"/>
      <c r="M33" s="587" t="s">
        <v>688</v>
      </c>
      <c r="N33" s="590">
        <v>16</v>
      </c>
      <c r="P33" s="273"/>
      <c r="Q33" s="273"/>
      <c r="R33" s="273"/>
      <c r="S33" s="273"/>
      <c r="T33" s="575">
        <f ca="1"/>
        <v>0.06</v>
      </c>
      <c r="U33" s="572">
        <f ca="1"/>
        <v>25</v>
      </c>
      <c r="V33" s="484">
        <f ca="1">IF('CDO Bespoke'!O34&lt;&gt;"",'CDO Bespoke'!O34,"")</f>
        <v>9.8738081168498207E-2</v>
      </c>
      <c r="W33" s="641">
        <f t="shared" ca="1" si="1"/>
        <v>0</v>
      </c>
      <c r="X33" s="641">
        <f t="shared" ca="1" si="0"/>
        <v>9.8738081168498207E-2</v>
      </c>
      <c r="Y33" s="488">
        <f t="shared" ca="1" si="2"/>
        <v>0</v>
      </c>
      <c r="Z33" s="484">
        <f ca="1">IF('CDO Bespoke'!O34&lt;&gt;"",'CDO Bespoke'!O34,"")</f>
        <v>9.8738081168498207E-2</v>
      </c>
      <c r="AA33" s="641">
        <f ca="1">IF(Z33&lt;&gt;"",ABS(MIN(-0.6*'CDO Bespoke'!K34+'CDO Bespoke'!T34*'CDO Bespoke'!K34,0)),"")</f>
        <v>6.9178741480196107E-2</v>
      </c>
      <c r="AB33" s="641">
        <f t="shared" ca="1" si="3"/>
        <v>2.95593396883021E-2</v>
      </c>
      <c r="AC33" s="488">
        <f t="shared" ca="1" si="4"/>
        <v>0</v>
      </c>
      <c r="AD33" s="272"/>
      <c r="AE33" s="493" t="str">
        <f ca="1">IF('CDO Bespoke'!C58&lt;&gt;"",'CDO Bespoke'!C58,"")</f>
        <v>DSM B.V</v>
      </c>
      <c r="AF33" s="495">
        <f ca="1"/>
        <v>-5.6633889800039583E-5</v>
      </c>
      <c r="AG33" s="583">
        <f ca="1"/>
        <v>1.0042323000947206E-3</v>
      </c>
      <c r="AH33" s="583">
        <f ca="1"/>
        <v>6.2063329397954448E-3</v>
      </c>
      <c r="AI33" s="583">
        <f ca="1"/>
        <v>0.45830749784980807</v>
      </c>
      <c r="AJ33" s="496">
        <f ca="1"/>
        <v>0</v>
      </c>
      <c r="AK33" s="618">
        <f ca="1"/>
        <v>0</v>
      </c>
      <c r="AL33" s="495">
        <f ca="1"/>
        <v>3.319642866020725E-4</v>
      </c>
      <c r="AM33" s="583">
        <f ca="1"/>
        <v>1.6019686356009283E-3</v>
      </c>
      <c r="AN33" s="583">
        <f ca="1"/>
        <v>7.2138927423000612E-3</v>
      </c>
      <c r="AO33" s="583">
        <f ca="1"/>
        <v>0.4626496773494021</v>
      </c>
      <c r="AP33" s="496">
        <f ca="1"/>
        <v>0</v>
      </c>
      <c r="AQ33" s="618">
        <f ca="1"/>
        <v>0</v>
      </c>
      <c r="AR33" s="495">
        <f ca="1"/>
        <v>-2.2791873387893069E-2</v>
      </c>
      <c r="AS33" s="496">
        <f ca="1"/>
        <v>-2.2729631465761901E-2</v>
      </c>
      <c r="AT33" s="618">
        <f ca="1"/>
        <v>0</v>
      </c>
      <c r="AU33" s="495">
        <f ca="1"/>
        <v>-0.12228910593859815</v>
      </c>
      <c r="AV33" s="496">
        <f ca="1"/>
        <v>-4.8831002180476542E-3</v>
      </c>
      <c r="AW33" s="618">
        <f ca="1"/>
        <v>0</v>
      </c>
    </row>
    <row r="34" spans="2:49">
      <c r="B34" s="538" t="s">
        <v>609</v>
      </c>
      <c r="C34" s="539" t="s">
        <v>66</v>
      </c>
      <c r="D34" s="539" t="s">
        <v>55</v>
      </c>
      <c r="E34" s="539" t="s">
        <v>647</v>
      </c>
      <c r="F34" s="539" t="s">
        <v>646</v>
      </c>
      <c r="G34" s="540">
        <v>0.01</v>
      </c>
      <c r="H34" s="540">
        <v>9.8239999999999994E-3</v>
      </c>
      <c r="I34" s="541">
        <v>0.4</v>
      </c>
      <c r="J34" s="600">
        <v>4</v>
      </c>
      <c r="K34" s="542">
        <v>4</v>
      </c>
      <c r="L34" s="272"/>
      <c r="M34" s="272" t="s">
        <v>75</v>
      </c>
      <c r="P34" s="273"/>
      <c r="Q34" s="273"/>
      <c r="R34" s="273"/>
      <c r="S34" s="273"/>
      <c r="T34" s="575">
        <f ca="1"/>
        <v>0.06</v>
      </c>
      <c r="U34" s="572">
        <f ca="1"/>
        <v>26</v>
      </c>
      <c r="V34" s="484">
        <f ca="1">IF('CDO Bespoke'!O35&lt;&gt;"",'CDO Bespoke'!O35,"")</f>
        <v>9.8730833053549197E-2</v>
      </c>
      <c r="W34" s="641">
        <f t="shared" ca="1" si="1"/>
        <v>0</v>
      </c>
      <c r="X34" s="641">
        <f t="shared" ca="1" si="0"/>
        <v>9.8730833053549197E-2</v>
      </c>
      <c r="Y34" s="488">
        <f t="shared" ca="1" si="2"/>
        <v>0</v>
      </c>
      <c r="Z34" s="484">
        <f ca="1">IF('CDO Bespoke'!O35&lt;&gt;"",'CDO Bespoke'!O35,"")</f>
        <v>9.8730833053549197E-2</v>
      </c>
      <c r="AA34" s="641">
        <f ca="1">IF(Z34&lt;&gt;"",ABS(MIN(-0.6*'CDO Bespoke'!K35+'CDO Bespoke'!T35*'CDO Bespoke'!K35,0)),"")</f>
        <v>6.944640307722387E-2</v>
      </c>
      <c r="AB34" s="641">
        <f t="shared" ca="1" si="3"/>
        <v>2.9284429976325327E-2</v>
      </c>
      <c r="AC34" s="488">
        <f t="shared" ca="1" si="4"/>
        <v>0</v>
      </c>
      <c r="AD34" s="272"/>
      <c r="AE34" s="493" t="str">
        <f ca="1">IF('CDO Bespoke'!C59&lt;&gt;"",'CDO Bespoke'!C59,"")</f>
        <v>L'AIR LIQUIDE SOCIETE ANONYME POUR L'ETUDE ET L'EXPLOITATION DES PROCEDES GEORGES CLAUDE</v>
      </c>
      <c r="AF34" s="495">
        <f ca="1"/>
        <v>-7.5093870011144759E-5</v>
      </c>
      <c r="AG34" s="583">
        <f ca="1"/>
        <v>9.3680962987008343E-4</v>
      </c>
      <c r="AH34" s="583">
        <f ca="1"/>
        <v>5.9930718698808505E-3</v>
      </c>
      <c r="AI34" s="583">
        <f ca="1"/>
        <v>0.46685555663006362</v>
      </c>
      <c r="AJ34" s="496">
        <f ca="1"/>
        <v>0</v>
      </c>
      <c r="AK34" s="618">
        <f ca="1"/>
        <v>0</v>
      </c>
      <c r="AL34" s="495">
        <f ca="1"/>
        <v>3.3469677609716114E-4</v>
      </c>
      <c r="AM34" s="583">
        <f ca="1"/>
        <v>1.6154992592970485E-3</v>
      </c>
      <c r="AN34" s="583">
        <f ca="1"/>
        <v>7.269598846998751E-3</v>
      </c>
      <c r="AO34" s="583">
        <f ca="1"/>
        <v>0.47019947367229942</v>
      </c>
      <c r="AP34" s="496">
        <f ca="1"/>
        <v>0</v>
      </c>
      <c r="AQ34" s="618">
        <f ca="1"/>
        <v>0</v>
      </c>
      <c r="AR34" s="495">
        <f ca="1"/>
        <v>-2.2411487028448807E-2</v>
      </c>
      <c r="AS34" s="496">
        <f ca="1"/>
        <v>-2.3111803508267192E-2</v>
      </c>
      <c r="AT34" s="618">
        <f ca="1"/>
        <v>0</v>
      </c>
      <c r="AU34" s="495">
        <f ca="1"/>
        <v>-0.12200301913838814</v>
      </c>
      <c r="AV34" s="496">
        <f ca="1"/>
        <v>-4.778177802944367E-3</v>
      </c>
      <c r="AW34" s="618">
        <f ca="1"/>
        <v>0</v>
      </c>
    </row>
    <row r="35" spans="2:49">
      <c r="B35" s="516" t="s">
        <v>609</v>
      </c>
      <c r="C35" s="517" t="s">
        <v>66</v>
      </c>
      <c r="D35" s="517" t="s">
        <v>57</v>
      </c>
      <c r="E35" s="517" t="s">
        <v>647</v>
      </c>
      <c r="F35" s="517" t="s">
        <v>646</v>
      </c>
      <c r="G35" s="524">
        <v>0.01</v>
      </c>
      <c r="H35" s="524">
        <v>1.4659E-2</v>
      </c>
      <c r="I35" s="526">
        <v>0.4</v>
      </c>
      <c r="J35" s="592">
        <v>4</v>
      </c>
      <c r="K35" s="518">
        <v>4</v>
      </c>
      <c r="L35" s="272"/>
      <c r="M35" s="272"/>
      <c r="P35" s="273"/>
      <c r="Q35" s="273"/>
      <c r="R35" s="273"/>
      <c r="S35" s="273"/>
      <c r="T35" s="575">
        <f ca="1"/>
        <v>0.02</v>
      </c>
      <c r="U35" s="572">
        <f ca="1"/>
        <v>27</v>
      </c>
      <c r="V35" s="484">
        <f ca="1">IF('CDO Bespoke'!O36&lt;&gt;"",'CDO Bespoke'!O36,"")</f>
        <v>9.1215160684035193E-2</v>
      </c>
      <c r="W35" s="641">
        <f t="shared" ca="1" si="1"/>
        <v>0</v>
      </c>
      <c r="X35" s="641">
        <f t="shared" ca="1" si="0"/>
        <v>9.1215160684035193E-2</v>
      </c>
      <c r="Y35" s="488">
        <f t="shared" ca="1" si="2"/>
        <v>0</v>
      </c>
      <c r="Z35" s="484">
        <f ca="1">IF('CDO Bespoke'!O36&lt;&gt;"",'CDO Bespoke'!O36,"")</f>
        <v>9.1215160684035193E-2</v>
      </c>
      <c r="AA35" s="641">
        <f ca="1">IF(Z35&lt;&gt;"",ABS(MIN(-0.6*'CDO Bespoke'!K36+'CDO Bespoke'!T36*'CDO Bespoke'!K36,0)),"")</f>
        <v>9.68548029277643E-2</v>
      </c>
      <c r="AB35" s="641">
        <f t="shared" ca="1" si="3"/>
        <v>0</v>
      </c>
      <c r="AC35" s="488">
        <f t="shared" ca="1" si="4"/>
        <v>0</v>
      </c>
      <c r="AD35" s="272"/>
      <c r="AE35" s="493" t="str">
        <f ca="1">IF('CDO Bespoke'!C60&lt;&gt;"",'CDO Bespoke'!C60,"")</f>
        <v>LANXESS Aktiengesellschaft</v>
      </c>
      <c r="AF35" s="495">
        <f ca="1"/>
        <v>-2.7692935800072149E-3</v>
      </c>
      <c r="AG35" s="583">
        <f ca="1"/>
        <v>-9.97049032003261E-3</v>
      </c>
      <c r="AH35" s="583">
        <f ca="1"/>
        <v>-3.6884155870109403E-2</v>
      </c>
      <c r="AI35" s="583">
        <f ca="1"/>
        <v>1.0769021938800138</v>
      </c>
      <c r="AJ35" s="496">
        <f ca="1"/>
        <v>0</v>
      </c>
      <c r="AK35" s="618">
        <f ca="1"/>
        <v>0</v>
      </c>
      <c r="AL35" s="495">
        <f ca="1"/>
        <v>-5.4232018719541086E-4</v>
      </c>
      <c r="AM35" s="583">
        <f ca="1"/>
        <v>-2.5281650303972392E-3</v>
      </c>
      <c r="AN35" s="583">
        <f ca="1"/>
        <v>-1.2966467499092929E-2</v>
      </c>
      <c r="AO35" s="583">
        <f ca="1"/>
        <v>0.90223537844160218</v>
      </c>
      <c r="AP35" s="496">
        <f ca="1"/>
        <v>0</v>
      </c>
      <c r="AQ35" s="618">
        <f ca="1"/>
        <v>0</v>
      </c>
      <c r="AR35" s="495">
        <f ca="1"/>
        <v>6.6442470845612389E-3</v>
      </c>
      <c r="AS35" s="496">
        <f ca="1"/>
        <v>-3.7360224482103244E-2</v>
      </c>
      <c r="AT35" s="618">
        <f ca="1"/>
        <v>0</v>
      </c>
      <c r="AU35" s="495">
        <f ca="1"/>
        <v>-9.4818515167838013E-2</v>
      </c>
      <c r="AV35" s="496">
        <f ca="1"/>
        <v>5.7246536173367696E-2</v>
      </c>
      <c r="AW35" s="618">
        <f ca="1"/>
        <v>0</v>
      </c>
    </row>
    <row r="36" spans="2:49">
      <c r="B36" s="533" t="s">
        <v>609</v>
      </c>
      <c r="C36" s="534" t="s">
        <v>66</v>
      </c>
      <c r="D36" s="534" t="s">
        <v>59</v>
      </c>
      <c r="E36" s="534" t="s">
        <v>647</v>
      </c>
      <c r="F36" s="534" t="s">
        <v>646</v>
      </c>
      <c r="G36" s="535">
        <v>0.01</v>
      </c>
      <c r="H36" s="535">
        <v>1.8731999999999999E-2</v>
      </c>
      <c r="I36" s="536">
        <v>0.4</v>
      </c>
      <c r="J36" s="593">
        <v>4</v>
      </c>
      <c r="K36" s="537">
        <v>4</v>
      </c>
      <c r="L36" s="272"/>
      <c r="M36" s="272"/>
      <c r="P36" s="273"/>
      <c r="Q36" s="273"/>
      <c r="R36" s="273"/>
      <c r="S36" s="273"/>
      <c r="T36" s="575">
        <f ca="1"/>
        <v>0.02</v>
      </c>
      <c r="U36" s="572">
        <f ca="1"/>
        <v>28</v>
      </c>
      <c r="V36" s="484">
        <f ca="1">IF('CDO Bespoke'!O37&lt;&gt;"",'CDO Bespoke'!O37,"")</f>
        <v>9.7308607932091201E-2</v>
      </c>
      <c r="W36" s="641">
        <f t="shared" ca="1" si="1"/>
        <v>0</v>
      </c>
      <c r="X36" s="641">
        <f t="shared" ca="1" si="0"/>
        <v>9.7308607932091201E-2</v>
      </c>
      <c r="Y36" s="488">
        <f t="shared" ca="1" si="2"/>
        <v>0</v>
      </c>
      <c r="Z36" s="484">
        <f ca="1">IF('CDO Bespoke'!O37&lt;&gt;"",'CDO Bespoke'!O37,"")</f>
        <v>9.7308607932091201E-2</v>
      </c>
      <c r="AA36" s="641">
        <f ca="1">IF(Z36&lt;&gt;"",ABS(MIN(-0.6*'CDO Bespoke'!K37+'CDO Bespoke'!T37*'CDO Bespoke'!K37,0)),"")</f>
        <v>9.1220959329415402E-2</v>
      </c>
      <c r="AB36" s="641">
        <f t="shared" ca="1" si="3"/>
        <v>6.0876486026757992E-3</v>
      </c>
      <c r="AC36" s="488">
        <f t="shared" ca="1" si="4"/>
        <v>0</v>
      </c>
      <c r="AD36" s="272"/>
      <c r="AE36" s="493" t="str">
        <f ca="1">IF('CDO Bespoke'!C61&lt;&gt;"",'CDO Bespoke'!C61,"")</f>
        <v>LEONARDO SOCIETA' PER AZIONI</v>
      </c>
      <c r="AF36" s="495">
        <f ca="1"/>
        <v>-1.053754170032839E-3</v>
      </c>
      <c r="AG36" s="583">
        <f ca="1"/>
        <v>-2.6108251599543664E-3</v>
      </c>
      <c r="AH36" s="583">
        <f ca="1"/>
        <v>-6.4010067801767434E-3</v>
      </c>
      <c r="AI36" s="583">
        <f ca="1"/>
        <v>0.83067392021018982</v>
      </c>
      <c r="AJ36" s="496">
        <f ca="1"/>
        <v>0</v>
      </c>
      <c r="AK36" s="618">
        <f ca="1"/>
        <v>0</v>
      </c>
      <c r="AL36" s="495">
        <f ca="1"/>
        <v>2.2955912600073486E-4</v>
      </c>
      <c r="AM36" s="583">
        <f ca="1"/>
        <v>1.1473175168990116E-3</v>
      </c>
      <c r="AN36" s="583">
        <f ca="1"/>
        <v>4.5831664981016082E-3</v>
      </c>
      <c r="AO36" s="583">
        <f ca="1"/>
        <v>0.76419525724370163</v>
      </c>
      <c r="AP36" s="496">
        <f ca="1"/>
        <v>0</v>
      </c>
      <c r="AQ36" s="618">
        <f ca="1"/>
        <v>0</v>
      </c>
      <c r="AR36" s="495">
        <f ca="1"/>
        <v>-6.0396385082266968E-3</v>
      </c>
      <c r="AS36" s="496">
        <f ca="1"/>
        <v>-3.7261954217969295E-2</v>
      </c>
      <c r="AT36" s="618">
        <f ca="1"/>
        <v>0</v>
      </c>
      <c r="AU36" s="495">
        <f ca="1"/>
        <v>-0.10877894055665151</v>
      </c>
      <c r="AV36" s="496">
        <f ca="1"/>
        <v>1.019644834674201E-2</v>
      </c>
      <c r="AW36" s="618">
        <f ca="1"/>
        <v>0</v>
      </c>
    </row>
    <row r="37" spans="2:49">
      <c r="B37" s="538" t="s">
        <v>512</v>
      </c>
      <c r="C37" s="539" t="s">
        <v>66</v>
      </c>
      <c r="D37" s="539" t="s">
        <v>55</v>
      </c>
      <c r="E37" s="539" t="s">
        <v>647</v>
      </c>
      <c r="F37" s="539" t="s">
        <v>670</v>
      </c>
      <c r="G37" s="540">
        <v>0.01</v>
      </c>
      <c r="H37" s="540">
        <v>4.7670000000000004E-3</v>
      </c>
      <c r="I37" s="541">
        <v>0.4</v>
      </c>
      <c r="J37" s="600">
        <v>4</v>
      </c>
      <c r="K37" s="542">
        <v>5</v>
      </c>
      <c r="L37" s="272"/>
      <c r="M37" s="272"/>
      <c r="P37" s="273"/>
      <c r="Q37" s="273"/>
      <c r="R37" s="273"/>
      <c r="S37" s="273"/>
      <c r="T37" s="575">
        <f ca="1"/>
        <v>0.06</v>
      </c>
      <c r="U37" s="572">
        <f ca="1"/>
        <v>29</v>
      </c>
      <c r="V37" s="484">
        <f ca="1">IF('CDO Bespoke'!O38&lt;&gt;"",'CDO Bespoke'!O38,"")</f>
        <v>9.7803886877492197E-2</v>
      </c>
      <c r="W37" s="641">
        <f t="shared" ca="1" si="1"/>
        <v>0</v>
      </c>
      <c r="X37" s="641">
        <f t="shared" ca="1" si="0"/>
        <v>9.7803886877492197E-2</v>
      </c>
      <c r="Y37" s="488">
        <f t="shared" ca="1" si="2"/>
        <v>0</v>
      </c>
      <c r="Z37" s="484">
        <f ca="1">IF('CDO Bespoke'!O38&lt;&gt;"",'CDO Bespoke'!O38,"")</f>
        <v>9.7803886877492197E-2</v>
      </c>
      <c r="AA37" s="641">
        <f ca="1">IF(Z37&lt;&gt;"",ABS(MIN(-0.6*'CDO Bespoke'!K38+'CDO Bespoke'!T38*'CDO Bespoke'!K38,0)),"")</f>
        <v>8.7117523896213328E-2</v>
      </c>
      <c r="AB37" s="641">
        <f t="shared" ca="1" si="3"/>
        <v>1.0686362981278869E-2</v>
      </c>
      <c r="AC37" s="488">
        <f t="shared" ca="1" si="4"/>
        <v>0</v>
      </c>
      <c r="AD37" s="272"/>
      <c r="AE37" s="493" t="str">
        <f ca="1">IF('CDO Bespoke'!C62&lt;&gt;"",'CDO Bespoke'!C62,"")</f>
        <v>Mercedes-Benz Group AG</v>
      </c>
      <c r="AF37" s="495">
        <f ca="1"/>
        <v>-6.7159623029500182E-4</v>
      </c>
      <c r="AG37" s="583">
        <f ca="1"/>
        <v>-1.1050808002011081E-3</v>
      </c>
      <c r="AH37" s="583">
        <f ca="1"/>
        <v>-6.0559979031538091E-4</v>
      </c>
      <c r="AI37" s="583">
        <f ca="1"/>
        <v>0.72225925514979306</v>
      </c>
      <c r="AJ37" s="496">
        <f ca="1"/>
        <v>0</v>
      </c>
      <c r="AK37" s="618">
        <f ca="1"/>
        <v>0</v>
      </c>
      <c r="AL37" s="495">
        <f ca="1"/>
        <v>3.1748618959954317E-4</v>
      </c>
      <c r="AM37" s="583">
        <f ca="1"/>
        <v>1.5552537957963172E-3</v>
      </c>
      <c r="AN37" s="583">
        <f ca="1"/>
        <v>6.7034103254978022E-3</v>
      </c>
      <c r="AO37" s="583">
        <f ca="1"/>
        <v>0.68358117858189915</v>
      </c>
      <c r="AP37" s="496">
        <f ca="1"/>
        <v>0</v>
      </c>
      <c r="AQ37" s="618">
        <f ca="1"/>
        <v>0</v>
      </c>
      <c r="AR37" s="495">
        <f ca="1"/>
        <v>-1.0881104083945936E-2</v>
      </c>
      <c r="AS37" s="496">
        <f ca="1"/>
        <v>-3.369974662892905E-2</v>
      </c>
      <c r="AT37" s="618">
        <f ca="1"/>
        <v>0</v>
      </c>
      <c r="AU37" s="495">
        <f ca="1"/>
        <v>-0.1128473051450634</v>
      </c>
      <c r="AV37" s="496">
        <f ca="1"/>
        <v>3.1323784915127141E-3</v>
      </c>
      <c r="AW37" s="618">
        <f ca="1"/>
        <v>0</v>
      </c>
    </row>
    <row r="38" spans="2:49">
      <c r="B38" s="516" t="s">
        <v>512</v>
      </c>
      <c r="C38" s="517" t="s">
        <v>66</v>
      </c>
      <c r="D38" s="517" t="s">
        <v>57</v>
      </c>
      <c r="E38" s="517" t="s">
        <v>647</v>
      </c>
      <c r="F38" s="517" t="s">
        <v>670</v>
      </c>
      <c r="G38" s="524">
        <v>0.01</v>
      </c>
      <c r="H38" s="524">
        <v>1.0057999999999999E-2</v>
      </c>
      <c r="I38" s="526">
        <v>0.4</v>
      </c>
      <c r="J38" s="592">
        <v>4</v>
      </c>
      <c r="K38" s="518">
        <v>5</v>
      </c>
      <c r="L38" s="272"/>
      <c r="M38" s="272"/>
      <c r="P38" s="273"/>
      <c r="Q38" s="273"/>
      <c r="R38" s="273"/>
      <c r="S38" s="273"/>
      <c r="T38" s="575">
        <f ca="1"/>
        <v>0.06</v>
      </c>
      <c r="U38" s="572">
        <f ca="1"/>
        <v>30</v>
      </c>
      <c r="V38" s="484">
        <f ca="1">IF('CDO Bespoke'!O39&lt;&gt;"",'CDO Bespoke'!O39,"")</f>
        <v>9.3924355681813204E-2</v>
      </c>
      <c r="W38" s="641">
        <f t="shared" ca="1" si="1"/>
        <v>0</v>
      </c>
      <c r="X38" s="641">
        <f t="shared" ca="1" si="0"/>
        <v>9.3924355681813204E-2</v>
      </c>
      <c r="Y38" s="488">
        <f t="shared" ca="1" si="2"/>
        <v>0</v>
      </c>
      <c r="Z38" s="484">
        <f ca="1">IF('CDO Bespoke'!O39&lt;&gt;"",'CDO Bespoke'!O39,"")</f>
        <v>9.3924355681813204E-2</v>
      </c>
      <c r="AA38" s="641">
        <f ca="1">IF(Z38&lt;&gt;"",ABS(MIN(-0.6*'CDO Bespoke'!K39+'CDO Bespoke'!T39*'CDO Bespoke'!K39,0)),"")</f>
        <v>9.8636909200211467E-2</v>
      </c>
      <c r="AB38" s="641">
        <f t="shared" ca="1" si="3"/>
        <v>0</v>
      </c>
      <c r="AC38" s="488">
        <f t="shared" ca="1" si="4"/>
        <v>0</v>
      </c>
      <c r="AD38" s="272"/>
      <c r="AE38" s="493" t="str">
        <f ca="1">IF('CDO Bespoke'!C63&lt;&gt;"",'CDO Bespoke'!C63,"")</f>
        <v>PostNL N.V.</v>
      </c>
      <c r="AF38" s="495">
        <f ca="1"/>
        <v>-2.0577196202520298E-3</v>
      </c>
      <c r="AG38" s="583">
        <f ca="1"/>
        <v>-6.7520527202713509E-3</v>
      </c>
      <c r="AH38" s="583">
        <f ca="1"/>
        <v>-2.2787481189778802E-2</v>
      </c>
      <c r="AI38" s="583">
        <f ca="1"/>
        <v>1.0108941947301053</v>
      </c>
      <c r="AJ38" s="496">
        <f ca="1"/>
        <v>0</v>
      </c>
      <c r="AK38" s="618">
        <f ca="1"/>
        <v>0</v>
      </c>
      <c r="AL38" s="495">
        <f ca="1"/>
        <v>-1.7421369109902468E-4</v>
      </c>
      <c r="AM38" s="583">
        <f ca="1"/>
        <v>-7.6033540099846447E-4</v>
      </c>
      <c r="AN38" s="583">
        <f ca="1"/>
        <v>-4.4250043268988237E-3</v>
      </c>
      <c r="AO38" s="583">
        <f ca="1"/>
        <v>0.87824978420200128</v>
      </c>
      <c r="AP38" s="496">
        <f ca="1"/>
        <v>0</v>
      </c>
      <c r="AQ38" s="618">
        <f ca="1"/>
        <v>0</v>
      </c>
      <c r="AR38" s="495">
        <f ca="1"/>
        <v>2.7569316757021789E-3</v>
      </c>
      <c r="AS38" s="496">
        <f ca="1"/>
        <v>-3.9852044474555148E-2</v>
      </c>
      <c r="AT38" s="618">
        <f ca="1"/>
        <v>0</v>
      </c>
      <c r="AU38" s="495">
        <f ca="1"/>
        <v>-9.9811385532340147E-2</v>
      </c>
      <c r="AV38" s="496">
        <f ca="1"/>
        <v>3.5272698732633251E-2</v>
      </c>
      <c r="AW38" s="618">
        <f ca="1"/>
        <v>0</v>
      </c>
    </row>
    <row r="39" spans="2:49">
      <c r="B39" s="533" t="s">
        <v>512</v>
      </c>
      <c r="C39" s="534" t="s">
        <v>66</v>
      </c>
      <c r="D39" s="534" t="s">
        <v>59</v>
      </c>
      <c r="E39" s="534" t="s">
        <v>647</v>
      </c>
      <c r="F39" s="534" t="s">
        <v>670</v>
      </c>
      <c r="G39" s="535">
        <v>0.01</v>
      </c>
      <c r="H39" s="535">
        <v>1.5502E-2</v>
      </c>
      <c r="I39" s="536">
        <v>0.4</v>
      </c>
      <c r="J39" s="593">
        <v>4</v>
      </c>
      <c r="K39" s="537">
        <v>5</v>
      </c>
      <c r="L39" s="272"/>
      <c r="M39" s="272"/>
      <c r="P39" s="273"/>
      <c r="Q39" s="273"/>
      <c r="R39" s="273"/>
      <c r="S39" s="273"/>
      <c r="T39" s="575">
        <f ca="1"/>
        <v>0.06</v>
      </c>
      <c r="U39" s="572">
        <f ca="1"/>
        <v>31</v>
      </c>
      <c r="V39" s="484">
        <f ca="1">IF('CDO Bespoke'!O40&lt;&gt;"",'CDO Bespoke'!O40,"")</f>
        <v>9.7353279433291195E-2</v>
      </c>
      <c r="W39" s="641">
        <f t="shared" ca="1" si="1"/>
        <v>0</v>
      </c>
      <c r="X39" s="641">
        <f t="shared" ca="1" si="0"/>
        <v>9.7353279433291195E-2</v>
      </c>
      <c r="Y39" s="488">
        <f t="shared" ca="1" si="2"/>
        <v>0</v>
      </c>
      <c r="Z39" s="484">
        <f ca="1">IF('CDO Bespoke'!O40&lt;&gt;"",'CDO Bespoke'!O40,"")</f>
        <v>9.7353279433291195E-2</v>
      </c>
      <c r="AA39" s="641">
        <f ca="1">IF(Z39&lt;&gt;"",ABS(MIN(-0.6*'CDO Bespoke'!K40+'CDO Bespoke'!T40*'CDO Bespoke'!K40,0)),"")</f>
        <v>9.0919524121579623E-2</v>
      </c>
      <c r="AB39" s="641">
        <f t="shared" ca="1" si="3"/>
        <v>6.4337553117115726E-3</v>
      </c>
      <c r="AC39" s="488">
        <f t="shared" ca="1" si="4"/>
        <v>0</v>
      </c>
      <c r="AD39" s="272"/>
      <c r="AE39" s="493" t="str">
        <f ca="1">IF('CDO Bespoke'!C64&lt;&gt;"",'CDO Bespoke'!C64,"")</f>
        <v>RENTOKIL INITIAL PLC</v>
      </c>
      <c r="AF39" s="495">
        <f ca="1"/>
        <v>-8.33167579927796E-4</v>
      </c>
      <c r="AG39" s="583">
        <f ca="1"/>
        <v>-1.6877344699572916E-3</v>
      </c>
      <c r="AH39" s="583">
        <f ca="1"/>
        <v>-2.6628230098690864E-3</v>
      </c>
      <c r="AI39" s="583">
        <f ca="1"/>
        <v>0.77302546754975943</v>
      </c>
      <c r="AJ39" s="496">
        <f ca="1"/>
        <v>0</v>
      </c>
      <c r="AK39" s="618">
        <f ca="1"/>
        <v>0</v>
      </c>
      <c r="AL39" s="495">
        <f ca="1"/>
        <v>2.8203131600089415E-4</v>
      </c>
      <c r="AM39" s="583">
        <f ca="1"/>
        <v>1.3922488061035576E-3</v>
      </c>
      <c r="AN39" s="583">
        <f ca="1"/>
        <v>5.8639068753994772E-3</v>
      </c>
      <c r="AO39" s="583">
        <f ca="1"/>
        <v>0.72206092155390089</v>
      </c>
      <c r="AP39" s="496">
        <f ca="1"/>
        <v>0</v>
      </c>
      <c r="AQ39" s="618">
        <f ca="1"/>
        <v>0</v>
      </c>
      <c r="AR39" s="495">
        <f ca="1"/>
        <v>-8.5499203537847124E-3</v>
      </c>
      <c r="AS39" s="496">
        <f ca="1"/>
        <v>-3.5467890459922269E-2</v>
      </c>
      <c r="AT39" s="618">
        <f ca="1"/>
        <v>0</v>
      </c>
      <c r="AU39" s="495">
        <f ca="1"/>
        <v>-0.11083662118492746</v>
      </c>
      <c r="AV39" s="496">
        <f ca="1"/>
        <v>6.2356279732959548E-3</v>
      </c>
      <c r="AW39" s="618">
        <f ca="1"/>
        <v>0</v>
      </c>
    </row>
    <row r="40" spans="2:49">
      <c r="B40" s="538" t="s">
        <v>513</v>
      </c>
      <c r="C40" s="539" t="s">
        <v>66</v>
      </c>
      <c r="D40" s="539" t="s">
        <v>55</v>
      </c>
      <c r="E40" s="539" t="s">
        <v>647</v>
      </c>
      <c r="F40" s="539" t="s">
        <v>670</v>
      </c>
      <c r="G40" s="540">
        <v>0.01</v>
      </c>
      <c r="H40" s="540">
        <v>6.8230000000000001E-3</v>
      </c>
      <c r="I40" s="541">
        <v>0.4</v>
      </c>
      <c r="J40" s="600">
        <v>4</v>
      </c>
      <c r="K40" s="542">
        <v>6</v>
      </c>
      <c r="L40" s="272"/>
      <c r="M40" s="272"/>
      <c r="P40" s="273"/>
      <c r="Q40" s="273"/>
      <c r="R40" s="273"/>
      <c r="S40" s="273"/>
      <c r="T40" s="575">
        <f ca="1"/>
        <v>0.06</v>
      </c>
      <c r="U40" s="572">
        <f ca="1"/>
        <v>32</v>
      </c>
      <c r="V40" s="484">
        <f ca="1">IF('CDO Bespoke'!O41&lt;&gt;"",'CDO Bespoke'!O41,"")</f>
        <v>9.8240013087986203E-2</v>
      </c>
      <c r="W40" s="641">
        <f t="shared" ca="1" si="1"/>
        <v>0</v>
      </c>
      <c r="X40" s="641">
        <f t="shared" ca="1" si="0"/>
        <v>9.8240013087986203E-2</v>
      </c>
      <c r="Y40" s="488">
        <f t="shared" ca="1" si="2"/>
        <v>0</v>
      </c>
      <c r="Z40" s="484">
        <f ca="1">IF('CDO Bespoke'!O41&lt;&gt;"",'CDO Bespoke'!O41,"")</f>
        <v>9.8240013087986203E-2</v>
      </c>
      <c r="AA40" s="641">
        <f ca="1">IF(Z40&lt;&gt;"",ABS(MIN(-0.6*'CDO Bespoke'!K41+'CDO Bespoke'!T41*'CDO Bespoke'!K41,0)),"")</f>
        <v>8.1412924656276489E-2</v>
      </c>
      <c r="AB40" s="641">
        <f t="shared" ca="1" si="3"/>
        <v>1.6827088431709714E-2</v>
      </c>
      <c r="AC40" s="488">
        <f t="shared" ca="1" si="4"/>
        <v>0</v>
      </c>
      <c r="AD40" s="272"/>
      <c r="AE40" s="493" t="str">
        <f ca="1">IF('CDO Bespoke'!C65&lt;&gt;"",'CDO Bespoke'!C65,"")</f>
        <v>SANOFI</v>
      </c>
      <c r="AF40" s="495">
        <f ca="1"/>
        <v>-3.4695862016764778E-4</v>
      </c>
      <c r="AG40" s="583">
        <f ca="1"/>
        <v>9.6989810072223293E-5</v>
      </c>
      <c r="AH40" s="583">
        <f ca="1"/>
        <v>3.6318398899393145E-3</v>
      </c>
      <c r="AI40" s="583">
        <f ca="1"/>
        <v>0.60572000994019159</v>
      </c>
      <c r="AJ40" s="496">
        <f ca="1"/>
        <v>0</v>
      </c>
      <c r="AK40" s="618">
        <f ca="1"/>
        <v>0</v>
      </c>
      <c r="AL40" s="495">
        <f ca="1"/>
        <v>3.5147965189805813E-4</v>
      </c>
      <c r="AM40" s="583">
        <f ca="1"/>
        <v>1.7065927719996446E-3</v>
      </c>
      <c r="AN40" s="583">
        <f ca="1"/>
        <v>7.568846079300702E-3</v>
      </c>
      <c r="AO40" s="583">
        <f ca="1"/>
        <v>0.59003330395479814</v>
      </c>
      <c r="AP40" s="496">
        <f ca="1"/>
        <v>0</v>
      </c>
      <c r="AQ40" s="618">
        <f ca="1"/>
        <v>0</v>
      </c>
      <c r="AR40" s="495">
        <f ca="1"/>
        <v>-1.6083001121226237E-2</v>
      </c>
      <c r="AS40" s="496">
        <f ca="1"/>
        <v>-2.9166957361376755E-2</v>
      </c>
      <c r="AT40" s="618">
        <f ca="1"/>
        <v>0</v>
      </c>
      <c r="AU40" s="495">
        <f ca="1"/>
        <v>-6.2674217797277554E-2</v>
      </c>
      <c r="AV40" s="496">
        <f ca="1"/>
        <v>7.3275932395822536E-3</v>
      </c>
      <c r="AW40" s="618">
        <f ca="1"/>
        <v>0</v>
      </c>
    </row>
    <row r="41" spans="2:49">
      <c r="B41" s="516" t="s">
        <v>513</v>
      </c>
      <c r="C41" s="517" t="s">
        <v>66</v>
      </c>
      <c r="D41" s="517" t="s">
        <v>57</v>
      </c>
      <c r="E41" s="517" t="s">
        <v>647</v>
      </c>
      <c r="F41" s="517" t="s">
        <v>670</v>
      </c>
      <c r="G41" s="524">
        <v>0.01</v>
      </c>
      <c r="H41" s="524">
        <v>1.3924000000000001E-2</v>
      </c>
      <c r="I41" s="526">
        <v>0.4</v>
      </c>
      <c r="J41" s="592">
        <v>4</v>
      </c>
      <c r="K41" s="518">
        <v>6</v>
      </c>
      <c r="L41" s="272"/>
      <c r="M41" s="272"/>
      <c r="P41" s="273"/>
      <c r="Q41" s="273"/>
      <c r="R41" s="273"/>
      <c r="S41" s="273"/>
      <c r="T41" s="575">
        <f ca="1"/>
        <v>0.06</v>
      </c>
      <c r="U41" s="572">
        <f ca="1"/>
        <v>33</v>
      </c>
      <c r="V41" s="484">
        <f ca="1">IF('CDO Bespoke'!O42&lt;&gt;"",'CDO Bespoke'!O42,"")</f>
        <v>9.8057425628645195E-2</v>
      </c>
      <c r="W41" s="641">
        <f t="shared" ca="1" si="1"/>
        <v>0</v>
      </c>
      <c r="X41" s="641">
        <f t="shared" ca="1" si="0"/>
        <v>9.8057425628645195E-2</v>
      </c>
      <c r="Y41" s="488">
        <f t="shared" ca="1" si="2"/>
        <v>0</v>
      </c>
      <c r="Z41" s="484">
        <f ca="1">IF('CDO Bespoke'!O42&lt;&gt;"",'CDO Bespoke'!O42,"")</f>
        <v>9.8057425628645195E-2</v>
      </c>
      <c r="AA41" s="641">
        <f ca="1">IF(Z41&lt;&gt;"",ABS(MIN(-0.6*'CDO Bespoke'!K42+'CDO Bespoke'!T42*'CDO Bespoke'!K42,0)),"")</f>
        <v>8.4136095124004009E-2</v>
      </c>
      <c r="AB41" s="641">
        <f t="shared" ca="1" si="3"/>
        <v>1.3921330504641186E-2</v>
      </c>
      <c r="AC41" s="488">
        <f t="shared" ca="1" si="4"/>
        <v>0</v>
      </c>
      <c r="AD41" s="272"/>
      <c r="AE41" s="493" t="str">
        <f ca="1">IF('CDO Bespoke'!C66&lt;&gt;"",'CDO Bespoke'!C66,"")</f>
        <v>Siemens Aktiengesellschaft</v>
      </c>
      <c r="AF41" s="495">
        <f ca="1"/>
        <v>-3.6508426004555616E-4</v>
      </c>
      <c r="AG41" s="583">
        <f ca="1"/>
        <v>8.3937979900028381E-5</v>
      </c>
      <c r="AH41" s="583">
        <f ca="1"/>
        <v>3.7501632499381543E-3</v>
      </c>
      <c r="AI41" s="583">
        <f ca="1"/>
        <v>0.61795006341014425</v>
      </c>
      <c r="AJ41" s="496">
        <f ca="1"/>
        <v>0</v>
      </c>
      <c r="AK41" s="618">
        <f ca="1"/>
        <v>0</v>
      </c>
      <c r="AL41" s="495">
        <f ca="1"/>
        <v>3.4930371669780746E-4</v>
      </c>
      <c r="AM41" s="583">
        <f ca="1"/>
        <v>1.6980059411005402E-3</v>
      </c>
      <c r="AN41" s="583">
        <f ca="1"/>
        <v>7.5227428281013711E-3</v>
      </c>
      <c r="AO41" s="583">
        <f ca="1"/>
        <v>0.60045108044230133</v>
      </c>
      <c r="AP41" s="496">
        <f ca="1"/>
        <v>0</v>
      </c>
      <c r="AQ41" s="618">
        <f ca="1"/>
        <v>0</v>
      </c>
      <c r="AR41" s="495">
        <f ca="1"/>
        <v>-1.5476234539739175E-2</v>
      </c>
      <c r="AS41" s="496">
        <f ca="1"/>
        <v>-2.9688606364892844E-2</v>
      </c>
      <c r="AT41" s="618">
        <f ca="1"/>
        <v>0</v>
      </c>
      <c r="AU41" s="495">
        <f ca="1"/>
        <v>-6.239998386801858E-2</v>
      </c>
      <c r="AV41" s="496">
        <f ca="1"/>
        <v>7.9620553743390832E-3</v>
      </c>
      <c r="AW41" s="618">
        <f ca="1"/>
        <v>0</v>
      </c>
    </row>
    <row r="42" spans="2:49">
      <c r="B42" s="533" t="s">
        <v>513</v>
      </c>
      <c r="C42" s="534" t="s">
        <v>66</v>
      </c>
      <c r="D42" s="534" t="s">
        <v>59</v>
      </c>
      <c r="E42" s="534" t="s">
        <v>647</v>
      </c>
      <c r="F42" s="534" t="s">
        <v>670</v>
      </c>
      <c r="G42" s="535">
        <v>0.01</v>
      </c>
      <c r="H42" s="535">
        <v>2.0253E-2</v>
      </c>
      <c r="I42" s="536">
        <v>0.4</v>
      </c>
      <c r="J42" s="593">
        <v>4</v>
      </c>
      <c r="K42" s="537">
        <v>6</v>
      </c>
      <c r="L42" s="272"/>
      <c r="M42" s="272"/>
      <c r="P42" s="273"/>
      <c r="Q42" s="273"/>
      <c r="R42" s="273"/>
      <c r="S42" s="273"/>
      <c r="T42" s="575">
        <f ca="1"/>
        <v>0.03</v>
      </c>
      <c r="U42" s="572">
        <f ca="1"/>
        <v>34</v>
      </c>
      <c r="V42" s="484">
        <f ca="1">IF('CDO Bespoke'!O43&lt;&gt;"",'CDO Bespoke'!O43,"")</f>
        <v>9.7666773659613196E-2</v>
      </c>
      <c r="W42" s="641">
        <f t="shared" ca="1" si="1"/>
        <v>0</v>
      </c>
      <c r="X42" s="641">
        <f t="shared" ca="1" si="0"/>
        <v>9.7666773659613196E-2</v>
      </c>
      <c r="Y42" s="488">
        <f t="shared" ca="1" si="2"/>
        <v>0</v>
      </c>
      <c r="Z42" s="484">
        <f ca="1">IF('CDO Bespoke'!O43&lt;&gt;"",'CDO Bespoke'!O43,"")</f>
        <v>9.7666773659613196E-2</v>
      </c>
      <c r="AA42" s="641">
        <f ca="1">IF(Z42&lt;&gt;"",ABS(MIN(-0.6*'CDO Bespoke'!K43+'CDO Bespoke'!T43*'CDO Bespoke'!K43,0)),"")</f>
        <v>8.8442932793648968E-2</v>
      </c>
      <c r="AB42" s="641">
        <f t="shared" ca="1" si="3"/>
        <v>9.2238408659642279E-3</v>
      </c>
      <c r="AC42" s="488">
        <f t="shared" ca="1" si="4"/>
        <v>0</v>
      </c>
      <c r="AD42" s="272"/>
      <c r="AE42" s="493" t="str">
        <f ca="1">IF('CDO Bespoke'!C67&lt;&gt;"",'CDO Bespoke'!C67,"")</f>
        <v>SMURFIT KAPPA ACQUISITIONS UNLIMITED COMPANY</v>
      </c>
      <c r="AF42" s="495">
        <f ca="1"/>
        <v>-6.6410270005423655E-4</v>
      </c>
      <c r="AG42" s="583">
        <f ca="1"/>
        <v>-1.0430030000785351E-3</v>
      </c>
      <c r="AH42" s="583">
        <f ca="1"/>
        <v>-2.7747124986543525E-4</v>
      </c>
      <c r="AI42" s="583">
        <f ca="1"/>
        <v>0.72182871124981673</v>
      </c>
      <c r="AJ42" s="496">
        <f ca="1"/>
        <v>0</v>
      </c>
      <c r="AK42" s="618">
        <f ca="1"/>
        <v>0</v>
      </c>
      <c r="AL42" s="495">
        <f ca="1"/>
        <v>3.1650738449833654E-4</v>
      </c>
      <c r="AM42" s="583">
        <f ca="1"/>
        <v>1.5511322120015728E-3</v>
      </c>
      <c r="AN42" s="583">
        <f ca="1"/>
        <v>6.6924212798000898E-3</v>
      </c>
      <c r="AO42" s="583">
        <f ca="1"/>
        <v>0.68339817739899822</v>
      </c>
      <c r="AP42" s="496">
        <f ca="1"/>
        <v>0</v>
      </c>
      <c r="AQ42" s="618">
        <f ca="1"/>
        <v>0</v>
      </c>
      <c r="AR42" s="495">
        <f ca="1"/>
        <v>-1.0854064626623083E-2</v>
      </c>
      <c r="AS42" s="496">
        <f ca="1"/>
        <v>-3.3691561507351919E-2</v>
      </c>
      <c r="AT42" s="618">
        <f ca="1"/>
        <v>0</v>
      </c>
      <c r="AU42" s="495">
        <f ca="1"/>
        <v>-0.11277542173426794</v>
      </c>
      <c r="AV42" s="496">
        <f ca="1"/>
        <v>3.2020229845908521E-3</v>
      </c>
      <c r="AW42" s="618">
        <f ca="1"/>
        <v>0</v>
      </c>
    </row>
    <row r="43" spans="2:49">
      <c r="B43" s="538" t="s">
        <v>514</v>
      </c>
      <c r="C43" s="539" t="s">
        <v>66</v>
      </c>
      <c r="D43" s="539" t="s">
        <v>55</v>
      </c>
      <c r="E43" s="539" t="s">
        <v>645</v>
      </c>
      <c r="F43" s="539" t="s">
        <v>669</v>
      </c>
      <c r="G43" s="540">
        <v>0.01</v>
      </c>
      <c r="H43" s="540">
        <v>2.196E-3</v>
      </c>
      <c r="I43" s="541">
        <v>0.4</v>
      </c>
      <c r="J43" s="600">
        <v>7</v>
      </c>
      <c r="K43" s="542">
        <v>7</v>
      </c>
      <c r="L43" s="272"/>
      <c r="M43" s="272"/>
      <c r="P43" s="273"/>
      <c r="Q43" s="273"/>
      <c r="R43" s="273"/>
      <c r="S43" s="273"/>
      <c r="T43" s="575">
        <f ca="1"/>
        <v>0.03</v>
      </c>
      <c r="U43" s="572">
        <f ca="1"/>
        <v>35</v>
      </c>
      <c r="V43" s="484">
        <f ca="1">IF('CDO Bespoke'!O44&lt;&gt;"",'CDO Bespoke'!O44,"")</f>
        <v>9.6119952366575195E-2</v>
      </c>
      <c r="W43" s="641">
        <f t="shared" ca="1" si="1"/>
        <v>0</v>
      </c>
      <c r="X43" s="641">
        <f t="shared" ca="1" si="0"/>
        <v>9.6119952366575195E-2</v>
      </c>
      <c r="Y43" s="488">
        <f t="shared" ca="1" si="2"/>
        <v>0</v>
      </c>
      <c r="Z43" s="484">
        <f ca="1">IF('CDO Bespoke'!O44&lt;&gt;"",'CDO Bespoke'!O44,"")</f>
        <v>9.6119952366575195E-2</v>
      </c>
      <c r="AA43" s="641">
        <f ca="1">IF(Z43&lt;&gt;"",ABS(MIN(-0.6*'CDO Bespoke'!K44+'CDO Bespoke'!T44*'CDO Bespoke'!K44,0)),"")</f>
        <v>9.6306665113801759E-2</v>
      </c>
      <c r="AB43" s="641">
        <f t="shared" ca="1" si="3"/>
        <v>0</v>
      </c>
      <c r="AC43" s="488">
        <f t="shared" ca="1" si="4"/>
        <v>0</v>
      </c>
      <c r="AD43" s="272"/>
      <c r="AE43" s="493" t="str">
        <f ca="1">IF('CDO Bespoke'!C68&lt;&gt;"",'CDO Bespoke'!C68,"")</f>
        <v>Solvay</v>
      </c>
      <c r="AF43" s="495">
        <f ca="1"/>
        <v>-1.3134704901496264E-3</v>
      </c>
      <c r="AG43" s="583">
        <f ca="1"/>
        <v>-3.584305289794365E-3</v>
      </c>
      <c r="AH43" s="583">
        <f ca="1"/>
        <v>-1.0020981189851064E-2</v>
      </c>
      <c r="AI43" s="583">
        <f ca="1"/>
        <v>0.89033780897973536</v>
      </c>
      <c r="AJ43" s="496">
        <f ca="1"/>
        <v>0</v>
      </c>
      <c r="AK43" s="618">
        <f ca="1"/>
        <v>0</v>
      </c>
      <c r="AL43" s="495">
        <f ca="1"/>
        <v>1.3798001500045509E-4</v>
      </c>
      <c r="AM43" s="583">
        <f ca="1"/>
        <v>7.192191587993349E-4</v>
      </c>
      <c r="AN43" s="583">
        <f ca="1"/>
        <v>2.4560194775992937E-3</v>
      </c>
      <c r="AO43" s="583">
        <f ca="1"/>
        <v>0.80553048451950049</v>
      </c>
      <c r="AP43" s="496">
        <f ca="1"/>
        <v>0</v>
      </c>
      <c r="AQ43" s="618">
        <f ca="1"/>
        <v>0</v>
      </c>
      <c r="AR43" s="495">
        <f ca="1"/>
        <v>-3.1483654596889954E-3</v>
      </c>
      <c r="AS43" s="496">
        <f ca="1"/>
        <v>-3.8742856007451032E-2</v>
      </c>
      <c r="AT43" s="618">
        <f ca="1"/>
        <v>0</v>
      </c>
      <c r="AU43" s="495">
        <f ca="1"/>
        <v>-0.10592641892667372</v>
      </c>
      <c r="AV43" s="496">
        <f ca="1"/>
        <v>1.635721681450001E-2</v>
      </c>
      <c r="AW43" s="618">
        <f ca="1"/>
        <v>0</v>
      </c>
    </row>
    <row r="44" spans="2:49">
      <c r="B44" s="516" t="s">
        <v>514</v>
      </c>
      <c r="C44" s="517" t="s">
        <v>66</v>
      </c>
      <c r="D44" s="517" t="s">
        <v>57</v>
      </c>
      <c r="E44" s="517" t="s">
        <v>645</v>
      </c>
      <c r="F44" s="517" t="s">
        <v>669</v>
      </c>
      <c r="G44" s="524">
        <v>0.01</v>
      </c>
      <c r="H44" s="524">
        <v>3.117E-3</v>
      </c>
      <c r="I44" s="526">
        <v>0.4</v>
      </c>
      <c r="J44" s="592">
        <v>7</v>
      </c>
      <c r="K44" s="518">
        <v>7</v>
      </c>
      <c r="L44" s="272"/>
      <c r="M44" s="272"/>
      <c r="P44" s="273"/>
      <c r="Q44" s="273"/>
      <c r="R44" s="273"/>
      <c r="S44" s="273"/>
      <c r="T44" s="575">
        <f ca="1"/>
        <v>0.06</v>
      </c>
      <c r="U44" s="572">
        <f ca="1"/>
        <v>36</v>
      </c>
      <c r="V44" s="484">
        <f ca="1">IF('CDO Bespoke'!O45&lt;&gt;"",'CDO Bespoke'!O45,"")</f>
        <v>9.5577489267546195E-2</v>
      </c>
      <c r="W44" s="641">
        <f t="shared" ca="1" si="1"/>
        <v>0</v>
      </c>
      <c r="X44" s="641">
        <f t="shared" ca="1" si="0"/>
        <v>9.5577489267546195E-2</v>
      </c>
      <c r="Y44" s="488">
        <f t="shared" ca="1" si="2"/>
        <v>0</v>
      </c>
      <c r="Z44" s="484">
        <f ca="1">IF('CDO Bespoke'!O45&lt;&gt;"",'CDO Bespoke'!O45,"")</f>
        <v>9.5577489267546195E-2</v>
      </c>
      <c r="AA44" s="641">
        <f ca="1">IF(Z44&lt;&gt;"",ABS(MIN(-0.6*'CDO Bespoke'!K45+'CDO Bespoke'!T45*'CDO Bespoke'!K45,0)),"")</f>
        <v>9.7439596594364006E-2</v>
      </c>
      <c r="AB44" s="641">
        <f t="shared" ca="1" si="3"/>
        <v>0</v>
      </c>
      <c r="AC44" s="488">
        <f t="shared" ca="1" si="4"/>
        <v>0</v>
      </c>
      <c r="AD44" s="272"/>
      <c r="AE44" s="493" t="str">
        <f ca="1">IF('CDO Bespoke'!C69&lt;&gt;"",'CDO Bespoke'!C69,"")</f>
        <v>Stellantis N.V.</v>
      </c>
      <c r="AF44" s="495">
        <f ca="1"/>
        <v>-1.6869752000880922E-3</v>
      </c>
      <c r="AG44" s="583">
        <f ca="1"/>
        <v>-5.1716806598323117E-3</v>
      </c>
      <c r="AH44" s="583">
        <f ca="1"/>
        <v>-1.6274550589945314E-2</v>
      </c>
      <c r="AI44" s="583">
        <f ca="1"/>
        <v>0.96005692326983638</v>
      </c>
      <c r="AJ44" s="496">
        <f ca="1"/>
        <v>0</v>
      </c>
      <c r="AK44" s="618">
        <f ca="1"/>
        <v>0</v>
      </c>
      <c r="AL44" s="495">
        <f ca="1"/>
        <v>-4.6495894092356271E-6</v>
      </c>
      <c r="AM44" s="583">
        <f ca="1"/>
        <v>4.5800283510416887E-5</v>
      </c>
      <c r="AN44" s="583">
        <f ca="1"/>
        <v>-5.328279913997553E-4</v>
      </c>
      <c r="AO44" s="583">
        <f ca="1"/>
        <v>0.85082556572338985</v>
      </c>
      <c r="AP44" s="496">
        <f ca="1"/>
        <v>0</v>
      </c>
      <c r="AQ44" s="618">
        <f ca="1"/>
        <v>0</v>
      </c>
      <c r="AR44" s="495">
        <f ca="1"/>
        <v>8.9915536752527281E-5</v>
      </c>
      <c r="AS44" s="496">
        <f ca="1"/>
        <v>-3.9914078503666517E-2</v>
      </c>
      <c r="AT44" s="618">
        <f ca="1"/>
        <v>0</v>
      </c>
      <c r="AU44" s="495">
        <f ca="1"/>
        <v>-0.10287644130088236</v>
      </c>
      <c r="AV44" s="496">
        <f ca="1"/>
        <v>2.5117712973533862E-2</v>
      </c>
      <c r="AW44" s="618">
        <f ca="1"/>
        <v>0</v>
      </c>
    </row>
    <row r="45" spans="2:49">
      <c r="B45" s="533" t="s">
        <v>514</v>
      </c>
      <c r="C45" s="534" t="s">
        <v>66</v>
      </c>
      <c r="D45" s="534" t="s">
        <v>59</v>
      </c>
      <c r="E45" s="534" t="s">
        <v>645</v>
      </c>
      <c r="F45" s="534" t="s">
        <v>669</v>
      </c>
      <c r="G45" s="535">
        <v>0.01</v>
      </c>
      <c r="H45" s="535">
        <v>4.3610000000000003E-3</v>
      </c>
      <c r="I45" s="536">
        <v>0.4</v>
      </c>
      <c r="J45" s="593">
        <v>7</v>
      </c>
      <c r="K45" s="537">
        <v>7</v>
      </c>
      <c r="L45" s="272"/>
      <c r="M45" s="272"/>
      <c r="P45" s="273"/>
      <c r="Q45" s="273"/>
      <c r="R45" s="273"/>
      <c r="S45" s="273"/>
      <c r="T45" s="575">
        <f ca="1"/>
        <v>0.06</v>
      </c>
      <c r="U45" s="572">
        <f ca="1"/>
        <v>37</v>
      </c>
      <c r="V45" s="484">
        <f ca="1">IF('CDO Bespoke'!O46&lt;&gt;"",'CDO Bespoke'!O46,"")</f>
        <v>9.6261854930834195E-2</v>
      </c>
      <c r="W45" s="641">
        <f t="shared" ca="1" si="1"/>
        <v>0</v>
      </c>
      <c r="X45" s="641">
        <f t="shared" ca="1" si="0"/>
        <v>9.6261854930834195E-2</v>
      </c>
      <c r="Y45" s="488">
        <f t="shared" ca="1" si="2"/>
        <v>0</v>
      </c>
      <c r="Z45" s="484">
        <f ca="1">IF('CDO Bespoke'!O46&lt;&gt;"",'CDO Bespoke'!O46,"")</f>
        <v>9.6261854930834195E-2</v>
      </c>
      <c r="AA45" s="641">
        <f ca="1">IF(Z45&lt;&gt;"",ABS(MIN(-0.6*'CDO Bespoke'!K46+'CDO Bespoke'!T46*'CDO Bespoke'!K46,0)),"")</f>
        <v>9.5917677366470736E-2</v>
      </c>
      <c r="AB45" s="641">
        <f t="shared" ca="1" si="3"/>
        <v>3.4417756436345981E-4</v>
      </c>
      <c r="AC45" s="488">
        <f t="shared" ca="1" si="4"/>
        <v>0</v>
      </c>
      <c r="AD45" s="272"/>
      <c r="AE45" s="493" t="str">
        <f ca="1">IF('CDO Bespoke'!C70&lt;&gt;"",'CDO Bespoke'!C70,"")</f>
        <v>Stora Enso Oyj</v>
      </c>
      <c r="AF45" s="495">
        <f ca="1"/>
        <v>-1.3055106801163063E-3</v>
      </c>
      <c r="AG45" s="583">
        <f ca="1"/>
        <v>-3.5620001098690679E-3</v>
      </c>
      <c r="AH45" s="583">
        <f ca="1"/>
        <v>-9.9782177898077862E-3</v>
      </c>
      <c r="AI45" s="583">
        <f ca="1"/>
        <v>0.88898161001993437</v>
      </c>
      <c r="AJ45" s="496">
        <f ca="1"/>
        <v>0</v>
      </c>
      <c r="AK45" s="618">
        <f ca="1"/>
        <v>0</v>
      </c>
      <c r="AL45" s="495">
        <f ca="1"/>
        <v>1.4183239800073105E-4</v>
      </c>
      <c r="AM45" s="583">
        <f ca="1"/>
        <v>7.3709522260129168E-4</v>
      </c>
      <c r="AN45" s="583">
        <f ca="1"/>
        <v>2.538621969700415E-3</v>
      </c>
      <c r="AO45" s="583">
        <f ca="1"/>
        <v>0.80467803771590163</v>
      </c>
      <c r="AP45" s="496">
        <f ca="1"/>
        <v>0</v>
      </c>
      <c r="AQ45" s="618">
        <f ca="1"/>
        <v>0</v>
      </c>
      <c r="AR45" s="495">
        <f ca="1"/>
        <v>-3.2382484720159255E-3</v>
      </c>
      <c r="AS45" s="496">
        <f ca="1"/>
        <v>-3.8725409083389062E-2</v>
      </c>
      <c r="AT45" s="618">
        <f ca="1"/>
        <v>0</v>
      </c>
      <c r="AU45" s="495">
        <f ca="1"/>
        <v>-0.10605431014845029</v>
      </c>
      <c r="AV45" s="496">
        <f ca="1"/>
        <v>1.610204237352118E-2</v>
      </c>
      <c r="AW45" s="618">
        <f ca="1"/>
        <v>0</v>
      </c>
    </row>
    <row r="46" spans="2:49">
      <c r="B46" s="538" t="s">
        <v>515</v>
      </c>
      <c r="C46" s="539" t="s">
        <v>66</v>
      </c>
      <c r="D46" s="539" t="s">
        <v>55</v>
      </c>
      <c r="E46" s="539" t="s">
        <v>647</v>
      </c>
      <c r="F46" s="539" t="s">
        <v>646</v>
      </c>
      <c r="G46" s="540">
        <v>0.01</v>
      </c>
      <c r="H46" s="540">
        <v>2.016E-3</v>
      </c>
      <c r="I46" s="541">
        <v>0.4</v>
      </c>
      <c r="J46" s="600">
        <v>4</v>
      </c>
      <c r="K46" s="542">
        <v>8</v>
      </c>
      <c r="L46" s="272"/>
      <c r="M46" s="272"/>
      <c r="P46" s="273"/>
      <c r="Q46" s="273"/>
      <c r="R46" s="273"/>
      <c r="S46" s="273"/>
      <c r="T46" s="575">
        <f ca="1"/>
        <v>0.03</v>
      </c>
      <c r="U46" s="572">
        <f ca="1"/>
        <v>38</v>
      </c>
      <c r="V46" s="484">
        <f ca="1">IF('CDO Bespoke'!O47&lt;&gt;"",'CDO Bespoke'!O47,"")</f>
        <v>9.4928751668096195E-2</v>
      </c>
      <c r="W46" s="641">
        <f t="shared" ca="1" si="1"/>
        <v>0</v>
      </c>
      <c r="X46" s="641">
        <f t="shared" ca="1" si="0"/>
        <v>9.4928751668096195E-2</v>
      </c>
      <c r="Y46" s="488">
        <f t="shared" ca="1" si="2"/>
        <v>0</v>
      </c>
      <c r="Z46" s="484">
        <f ca="1">IF('CDO Bespoke'!O47&lt;&gt;"",'CDO Bespoke'!O47,"")</f>
        <v>9.4928751668096195E-2</v>
      </c>
      <c r="AA46" s="641">
        <f ca="1">IF(Z46&lt;&gt;"",ABS(MIN(-0.6*'CDO Bespoke'!K47+'CDO Bespoke'!T47*'CDO Bespoke'!K47,0)),"")</f>
        <v>9.8226952351299385E-2</v>
      </c>
      <c r="AB46" s="641">
        <f t="shared" ca="1" si="3"/>
        <v>0</v>
      </c>
      <c r="AC46" s="488">
        <f t="shared" ca="1" si="4"/>
        <v>0</v>
      </c>
      <c r="AD46" s="272"/>
      <c r="AE46" s="493" t="str">
        <f ca="1">IF('CDO Bespoke'!C71&lt;&gt;"",'CDO Bespoke'!C71,"")</f>
        <v>UNIBAIL-RODAMCO-WESTFIELD SE</v>
      </c>
      <c r="AF46" s="495">
        <f ca="1"/>
        <v>-1.9801228900995227E-3</v>
      </c>
      <c r="AG46" s="583">
        <f ca="1"/>
        <v>-6.4347015699128818E-3</v>
      </c>
      <c r="AH46" s="583">
        <f ca="1"/>
        <v>-2.1579170020324945E-2</v>
      </c>
      <c r="AI46" s="583">
        <f ca="1"/>
        <v>1.0042066305099295</v>
      </c>
      <c r="AJ46" s="496">
        <f ca="1"/>
        <v>0</v>
      </c>
      <c r="AK46" s="618">
        <f ca="1"/>
        <v>0</v>
      </c>
      <c r="AL46" s="495">
        <f ca="1"/>
        <v>-1.3507935789879022E-4</v>
      </c>
      <c r="AM46" s="583">
        <f ca="1"/>
        <v>-5.728642238009285E-4</v>
      </c>
      <c r="AN46" s="583">
        <f ca="1"/>
        <v>-3.5118411818987547E-3</v>
      </c>
      <c r="AO46" s="583">
        <f ca="1"/>
        <v>0.87602224090039915</v>
      </c>
      <c r="AP46" s="496">
        <f ca="1"/>
        <v>0</v>
      </c>
      <c r="AQ46" s="618">
        <f ca="1"/>
        <v>0</v>
      </c>
      <c r="AR46" s="495">
        <f ca="1"/>
        <v>2.2597666817156248E-3</v>
      </c>
      <c r="AS46" s="496">
        <f ca="1"/>
        <v>-4.0088161641824605E-2</v>
      </c>
      <c r="AT46" s="618">
        <f ca="1"/>
        <v>0</v>
      </c>
      <c r="AU46" s="495">
        <f ca="1"/>
        <v>-0.15194497948996066</v>
      </c>
      <c r="AV46" s="496">
        <f ca="1"/>
        <v>1.5376564786388963E-2</v>
      </c>
      <c r="AW46" s="618">
        <f ca="1"/>
        <v>0</v>
      </c>
    </row>
    <row r="47" spans="2:49">
      <c r="B47" s="516" t="s">
        <v>515</v>
      </c>
      <c r="C47" s="517" t="s">
        <v>66</v>
      </c>
      <c r="D47" s="517" t="s">
        <v>57</v>
      </c>
      <c r="E47" s="517" t="s">
        <v>647</v>
      </c>
      <c r="F47" s="517" t="s">
        <v>646</v>
      </c>
      <c r="G47" s="524">
        <v>0.01</v>
      </c>
      <c r="H47" s="524">
        <v>3.4150000000000001E-3</v>
      </c>
      <c r="I47" s="526">
        <v>0.4</v>
      </c>
      <c r="J47" s="592">
        <v>4</v>
      </c>
      <c r="K47" s="518">
        <v>8</v>
      </c>
      <c r="L47" s="272"/>
      <c r="M47" s="272"/>
      <c r="P47" s="273"/>
      <c r="Q47" s="273"/>
      <c r="R47" s="273"/>
      <c r="S47" s="273"/>
      <c r="T47" s="575">
        <f ca="1"/>
        <v>0.06</v>
      </c>
      <c r="U47" s="572">
        <f ca="1"/>
        <v>39</v>
      </c>
      <c r="V47" s="484">
        <f ca="1">IF('CDO Bespoke'!O48&lt;&gt;"",'CDO Bespoke'!O48,"")</f>
        <v>9.8320157760588195E-2</v>
      </c>
      <c r="W47" s="641">
        <f t="shared" ca="1" si="1"/>
        <v>0</v>
      </c>
      <c r="X47" s="641">
        <f t="shared" ca="1" si="0"/>
        <v>9.8320157760588195E-2</v>
      </c>
      <c r="Y47" s="488">
        <f t="shared" ca="1" si="2"/>
        <v>0</v>
      </c>
      <c r="Z47" s="484">
        <f ca="1">IF('CDO Bespoke'!O48&lt;&gt;"",'CDO Bespoke'!O48,"")</f>
        <v>9.8320157760588195E-2</v>
      </c>
      <c r="AA47" s="641">
        <f ca="1">IF(Z47&lt;&gt;"",ABS(MIN(-0.6*'CDO Bespoke'!K48+'CDO Bespoke'!T48*'CDO Bespoke'!K48,0)),"")</f>
        <v>8.0012065300940155E-2</v>
      </c>
      <c r="AB47" s="641">
        <f t="shared" ca="1" si="3"/>
        <v>1.830809245964804E-2</v>
      </c>
      <c r="AC47" s="488">
        <f t="shared" ca="1" si="4"/>
        <v>0</v>
      </c>
      <c r="AD47" s="272"/>
      <c r="AE47" s="493" t="str">
        <f ca="1">IF('CDO Bespoke'!C72&lt;&gt;"",'CDO Bespoke'!C72,"")</f>
        <v>VINCI</v>
      </c>
      <c r="AF47" s="495">
        <f ca="1"/>
        <v>-3.0659502991969845E-4</v>
      </c>
      <c r="AG47" s="583">
        <f ca="1"/>
        <v>2.2971941016081132E-4</v>
      </c>
      <c r="AH47" s="583">
        <f ca="1"/>
        <v>4.0396874800840976E-3</v>
      </c>
      <c r="AI47" s="583">
        <f ca="1"/>
        <v>0.58797360079021477</v>
      </c>
      <c r="AJ47" s="496">
        <f ca="1"/>
        <v>0</v>
      </c>
      <c r="AK47" s="618">
        <f ca="1"/>
        <v>0</v>
      </c>
      <c r="AL47" s="495">
        <f ca="1"/>
        <v>3.5252644199623706E-4</v>
      </c>
      <c r="AM47" s="583">
        <f ca="1"/>
        <v>1.709962825797301E-3</v>
      </c>
      <c r="AN47" s="583">
        <f ca="1"/>
        <v>7.602965205800484E-3</v>
      </c>
      <c r="AO47" s="583">
        <f ca="1"/>
        <v>0.57519323916519705</v>
      </c>
      <c r="AP47" s="496">
        <f ca="1"/>
        <v>0</v>
      </c>
      <c r="AQ47" s="618">
        <f ca="1"/>
        <v>0</v>
      </c>
      <c r="AR47" s="495">
        <f ca="1"/>
        <v>-1.6888825037222999E-2</v>
      </c>
      <c r="AS47" s="496">
        <f ca="1"/>
        <v>-2.8425674036022974E-2</v>
      </c>
      <c r="AT47" s="618">
        <f ca="1"/>
        <v>0</v>
      </c>
      <c r="AU47" s="495">
        <f ca="1"/>
        <v>-0.11769175724623596</v>
      </c>
      <c r="AV47" s="496">
        <f ca="1"/>
        <v>-2.2151961125847289E-3</v>
      </c>
      <c r="AW47" s="618">
        <f ca="1"/>
        <v>0</v>
      </c>
    </row>
    <row r="48" spans="2:49">
      <c r="B48" s="533" t="s">
        <v>515</v>
      </c>
      <c r="C48" s="534" t="s">
        <v>66</v>
      </c>
      <c r="D48" s="534" t="s">
        <v>59</v>
      </c>
      <c r="E48" s="534" t="s">
        <v>647</v>
      </c>
      <c r="F48" s="534" t="s">
        <v>646</v>
      </c>
      <c r="G48" s="535">
        <v>0.01</v>
      </c>
      <c r="H48" s="535">
        <v>5.3829999999999998E-3</v>
      </c>
      <c r="I48" s="536">
        <v>0.4</v>
      </c>
      <c r="J48" s="593">
        <v>4</v>
      </c>
      <c r="K48" s="537">
        <v>8</v>
      </c>
      <c r="L48" s="272"/>
      <c r="M48" s="272"/>
      <c r="P48" s="273"/>
      <c r="Q48" s="273"/>
      <c r="R48" s="273"/>
      <c r="S48" s="273"/>
      <c r="T48" s="575">
        <f ca="1"/>
        <v>0.02</v>
      </c>
      <c r="U48" s="572">
        <f ca="1"/>
        <v>40</v>
      </c>
      <c r="V48" s="484">
        <f ca="1">IF('CDO Bespoke'!O49&lt;&gt;"",'CDO Bespoke'!O49,"")</f>
        <v>9.6383243519499201E-2</v>
      </c>
      <c r="W48" s="641">
        <f t="shared" ca="1" si="1"/>
        <v>0</v>
      </c>
      <c r="X48" s="641">
        <f t="shared" ca="1" si="0"/>
        <v>9.6383243519499201E-2</v>
      </c>
      <c r="Y48" s="488">
        <f t="shared" ca="1" si="2"/>
        <v>0</v>
      </c>
      <c r="Z48" s="484">
        <f ca="1">IF('CDO Bespoke'!O49&lt;&gt;"",'CDO Bespoke'!O49,"")</f>
        <v>9.6383243519499201E-2</v>
      </c>
      <c r="AA48" s="641">
        <f ca="1">IF(Z48&lt;&gt;"",ABS(MIN(-0.6*'CDO Bespoke'!K49+'CDO Bespoke'!T49*'CDO Bespoke'!K49,0)),"")</f>
        <v>9.5548643867900587E-2</v>
      </c>
      <c r="AB48" s="641">
        <f t="shared" ca="1" si="3"/>
        <v>8.3459965159861371E-4</v>
      </c>
      <c r="AC48" s="488">
        <f t="shared" ca="1" si="4"/>
        <v>0</v>
      </c>
      <c r="AD48" s="272"/>
      <c r="AE48" s="493" t="str">
        <f ca="1">IF('CDO Bespoke'!C73&lt;&gt;"",'CDO Bespoke'!C73,"")</f>
        <v>VOLKSWAGEN AKTIENGESELLSCHAFT</v>
      </c>
      <c r="AF48" s="495">
        <f ca="1"/>
        <v>-1.4272118697977731E-3</v>
      </c>
      <c r="AG48" s="583">
        <f ca="1"/>
        <v>-4.0985251897884822E-3</v>
      </c>
      <c r="AH48" s="583">
        <f ca="1"/>
        <v>-1.2321389820102446E-2</v>
      </c>
      <c r="AI48" s="583">
        <f ca="1"/>
        <v>0.9145275267097297</v>
      </c>
      <c r="AJ48" s="496">
        <f ca="1"/>
        <v>0</v>
      </c>
      <c r="AK48" s="618">
        <f ca="1"/>
        <v>0</v>
      </c>
      <c r="AL48" s="495">
        <f ca="1"/>
        <v>1.0114228629967692E-4</v>
      </c>
      <c r="AM48" s="583">
        <f ca="1"/>
        <v>5.452719942092895E-4</v>
      </c>
      <c r="AN48" s="583">
        <f ca="1"/>
        <v>1.5479505206990058E-3</v>
      </c>
      <c r="AO48" s="583">
        <f ca="1"/>
        <v>0.82175486870780967</v>
      </c>
      <c r="AP48" s="496">
        <f ca="1"/>
        <v>0</v>
      </c>
      <c r="AQ48" s="618">
        <f ca="1"/>
        <v>0</v>
      </c>
      <c r="AR48" s="495">
        <f ca="1"/>
        <v>-2.1356517114779483E-3</v>
      </c>
      <c r="AS48" s="496">
        <f ca="1"/>
        <v>-3.9287093417731067E-2</v>
      </c>
      <c r="AT48" s="618">
        <f ca="1"/>
        <v>0</v>
      </c>
      <c r="AU48" s="495">
        <f ca="1"/>
        <v>-0.10515285390762949</v>
      </c>
      <c r="AV48" s="496">
        <f ca="1"/>
        <v>1.8647808539654174E-2</v>
      </c>
      <c r="AW48" s="618">
        <f ca="1"/>
        <v>0</v>
      </c>
    </row>
    <row r="49" spans="2:49">
      <c r="B49" s="538" t="s">
        <v>530</v>
      </c>
      <c r="C49" s="539" t="s">
        <v>66</v>
      </c>
      <c r="D49" s="539" t="s">
        <v>55</v>
      </c>
      <c r="E49" s="539" t="s">
        <v>645</v>
      </c>
      <c r="F49" s="539" t="s">
        <v>670</v>
      </c>
      <c r="G49" s="540">
        <v>0.01</v>
      </c>
      <c r="H49" s="540">
        <v>2.222E-3</v>
      </c>
      <c r="I49" s="541">
        <v>0.4</v>
      </c>
      <c r="J49" s="600">
        <v>4</v>
      </c>
      <c r="K49" s="542">
        <v>9</v>
      </c>
      <c r="L49" s="272"/>
      <c r="M49" s="272"/>
      <c r="P49" s="273"/>
      <c r="Q49" s="273"/>
      <c r="R49" s="273"/>
      <c r="S49" s="273"/>
      <c r="T49" s="575">
        <f ca="1"/>
        <v>0.06</v>
      </c>
      <c r="U49" s="572">
        <f ca="1"/>
        <v>41</v>
      </c>
      <c r="V49" s="484">
        <f ca="1">IF('CDO Bespoke'!O50&lt;&gt;"",'CDO Bespoke'!O50,"")</f>
        <v>9.6746865738226204E-2</v>
      </c>
      <c r="W49" s="641">
        <f t="shared" ca="1" si="1"/>
        <v>0</v>
      </c>
      <c r="X49" s="641">
        <f t="shared" ca="1" si="0"/>
        <v>9.6746865738226204E-2</v>
      </c>
      <c r="Y49" s="488">
        <f t="shared" ca="1" si="2"/>
        <v>0</v>
      </c>
      <c r="Z49" s="484">
        <f ca="1">IF('CDO Bespoke'!O50&lt;&gt;"",'CDO Bespoke'!O50,"")</f>
        <v>9.6746865738226204E-2</v>
      </c>
      <c r="AA49" s="641">
        <f ca="1">IF(Z49&lt;&gt;"",ABS(MIN(-0.6*'CDO Bespoke'!K50+'CDO Bespoke'!T50*'CDO Bespoke'!K50,0)),"")</f>
        <v>9.4209783538838493E-2</v>
      </c>
      <c r="AB49" s="641">
        <f t="shared" ca="1" si="3"/>
        <v>2.5370821993877107E-3</v>
      </c>
      <c r="AC49" s="488">
        <f t="shared" ca="1" si="4"/>
        <v>0</v>
      </c>
      <c r="AD49" s="272"/>
      <c r="AE49" s="493" t="str">
        <f ca="1">IF('CDO Bespoke'!C74&lt;&gt;"",'CDO Bespoke'!C74,"")</f>
        <v>WENDEL</v>
      </c>
      <c r="AF49" s="495">
        <f ca="1"/>
        <v>-1.0509058900876056E-3</v>
      </c>
      <c r="AG49" s="583">
        <f ca="1"/>
        <v>-2.5212925203188519E-3</v>
      </c>
      <c r="AH49" s="583">
        <f ca="1"/>
        <v>-5.7848406598282054E-3</v>
      </c>
      <c r="AI49" s="583">
        <f ca="1"/>
        <v>0.83107983534003171</v>
      </c>
      <c r="AJ49" s="496">
        <f ca="1"/>
        <v>0</v>
      </c>
      <c r="AK49" s="618">
        <f ca="1"/>
        <v>0</v>
      </c>
      <c r="AL49" s="495">
        <f ca="1"/>
        <v>2.2299873959994582E-4</v>
      </c>
      <c r="AM49" s="583">
        <f ca="1"/>
        <v>1.1178108130999523E-3</v>
      </c>
      <c r="AN49" s="583">
        <f ca="1"/>
        <v>4.4705128392002677E-3</v>
      </c>
      <c r="AO49" s="583">
        <f ca="1"/>
        <v>0.76455289173889707</v>
      </c>
      <c r="AP49" s="496">
        <f ca="1"/>
        <v>0</v>
      </c>
      <c r="AQ49" s="618">
        <f ca="1"/>
        <v>0</v>
      </c>
      <c r="AR49" s="495">
        <f ca="1"/>
        <v>-5.8781984637081286E-3</v>
      </c>
      <c r="AS49" s="496">
        <f ca="1"/>
        <v>-3.7252760576601873E-2</v>
      </c>
      <c r="AT49" s="618">
        <f ca="1"/>
        <v>0</v>
      </c>
      <c r="AU49" s="495">
        <f ca="1"/>
        <v>-0.16438400321632346</v>
      </c>
      <c r="AV49" s="496">
        <f ca="1"/>
        <v>-4.7464352208584637E-3</v>
      </c>
      <c r="AW49" s="618">
        <f ca="1"/>
        <v>0</v>
      </c>
    </row>
    <row r="50" spans="2:49">
      <c r="B50" s="516" t="s">
        <v>530</v>
      </c>
      <c r="C50" s="517" t="s">
        <v>66</v>
      </c>
      <c r="D50" s="517" t="s">
        <v>57</v>
      </c>
      <c r="E50" s="517" t="s">
        <v>645</v>
      </c>
      <c r="F50" s="517" t="s">
        <v>670</v>
      </c>
      <c r="G50" s="524">
        <v>0.01</v>
      </c>
      <c r="H50" s="524">
        <v>4.2570000000000004E-3</v>
      </c>
      <c r="I50" s="526">
        <v>0.4</v>
      </c>
      <c r="J50" s="592">
        <v>4</v>
      </c>
      <c r="K50" s="518">
        <v>9</v>
      </c>
      <c r="L50" s="272"/>
      <c r="M50" s="272"/>
      <c r="P50" s="273"/>
      <c r="Q50" s="273"/>
      <c r="R50" s="273"/>
      <c r="S50" s="273"/>
      <c r="T50" s="575">
        <f ca="1"/>
        <v>0.02</v>
      </c>
      <c r="U50" s="572">
        <f ca="1"/>
        <v>42</v>
      </c>
      <c r="V50" s="484">
        <f ca="1">IF('CDO Bespoke'!O51&lt;&gt;"",'CDO Bespoke'!O51,"")</f>
        <v>9.2132032048601195E-2</v>
      </c>
      <c r="W50" s="641">
        <f t="shared" ca="1" si="1"/>
        <v>0</v>
      </c>
      <c r="X50" s="641">
        <f t="shared" ca="1" si="0"/>
        <v>9.2132032048601195E-2</v>
      </c>
      <c r="Y50" s="488">
        <f t="shared" ca="1" si="2"/>
        <v>0</v>
      </c>
      <c r="Z50" s="484">
        <f ca="1">IF('CDO Bespoke'!O51&lt;&gt;"",'CDO Bespoke'!O51,"")</f>
        <v>9.2132032048601195E-2</v>
      </c>
      <c r="AA50" s="641">
        <f ca="1">IF(Z50&lt;&gt;"",ABS(MIN(-0.6*'CDO Bespoke'!K51+'CDO Bespoke'!T51*'CDO Bespoke'!K51,0)),"")</f>
        <v>9.777687968456554E-2</v>
      </c>
      <c r="AB50" s="641">
        <f t="shared" ca="1" si="3"/>
        <v>0</v>
      </c>
      <c r="AC50" s="488">
        <f t="shared" ca="1" si="4"/>
        <v>0</v>
      </c>
      <c r="AD50" s="272"/>
      <c r="AE50" s="493" t="str">
        <f ca="1">IF('CDO Bespoke'!C75&lt;&gt;"",'CDO Bespoke'!C75,"")</f>
        <v>Aktiebolaget Electrolux</v>
      </c>
      <c r="AF50" s="495">
        <f ca="1"/>
        <v>-2.6802367503186986E-3</v>
      </c>
      <c r="AG50" s="583">
        <f ca="1"/>
        <v>-9.5529928600956993E-3</v>
      </c>
      <c r="AH50" s="583">
        <f ca="1"/>
        <v>-3.5045381039933154E-2</v>
      </c>
      <c r="AI50" s="583">
        <f ca="1"/>
        <v>1.0733468098100829</v>
      </c>
      <c r="AJ50" s="496">
        <f ca="1"/>
        <v>0</v>
      </c>
      <c r="AK50" s="618">
        <f ca="1"/>
        <v>0</v>
      </c>
      <c r="AL50" s="495">
        <f ca="1"/>
        <v>-4.9332616940296614E-4</v>
      </c>
      <c r="AM50" s="583">
        <f ca="1"/>
        <v>-2.288854877401103E-3</v>
      </c>
      <c r="AN50" s="583">
        <f ca="1"/>
        <v>-1.1784340497407106E-2</v>
      </c>
      <c r="AO50" s="583">
        <f ca="1"/>
        <v>0.90339159445919182</v>
      </c>
      <c r="AP50" s="496">
        <f ca="1"/>
        <v>0</v>
      </c>
      <c r="AQ50" s="618">
        <f ca="1"/>
        <v>0</v>
      </c>
      <c r="AR50" s="495">
        <f ca="1"/>
        <v>6.2665743556637454E-3</v>
      </c>
      <c r="AS50" s="496">
        <f ca="1"/>
        <v>-3.7972973486579742E-2</v>
      </c>
      <c r="AT50" s="618">
        <f ca="1"/>
        <v>0</v>
      </c>
      <c r="AU50" s="495">
        <f ca="1"/>
        <v>-9.5584750224900081E-2</v>
      </c>
      <c r="AV50" s="496">
        <f ca="1"/>
        <v>5.4079540791308792E-2</v>
      </c>
      <c r="AW50" s="618">
        <f ca="1"/>
        <v>0</v>
      </c>
    </row>
    <row r="51" spans="2:49">
      <c r="B51" s="533" t="s">
        <v>530</v>
      </c>
      <c r="C51" s="534" t="s">
        <v>66</v>
      </c>
      <c r="D51" s="534" t="s">
        <v>59</v>
      </c>
      <c r="E51" s="534" t="s">
        <v>645</v>
      </c>
      <c r="F51" s="534" t="s">
        <v>670</v>
      </c>
      <c r="G51" s="535">
        <v>0.01</v>
      </c>
      <c r="H51" s="535">
        <v>6.2550000000000001E-3</v>
      </c>
      <c r="I51" s="536">
        <v>0.4</v>
      </c>
      <c r="J51" s="593">
        <v>4</v>
      </c>
      <c r="K51" s="537">
        <v>9</v>
      </c>
      <c r="L51" s="272"/>
      <c r="M51" s="272"/>
      <c r="P51" s="273"/>
      <c r="Q51" s="273"/>
      <c r="R51" s="273"/>
      <c r="S51" s="273"/>
      <c r="T51" s="575">
        <f ca="1"/>
        <v>0.03</v>
      </c>
      <c r="U51" s="572">
        <f ca="1"/>
        <v>43</v>
      </c>
      <c r="V51" s="484">
        <f ca="1">IF('CDO Bespoke'!O52&lt;&gt;"",'CDO Bespoke'!O52,"")</f>
        <v>9.79526841331292E-2</v>
      </c>
      <c r="W51" s="641">
        <f t="shared" ca="1" si="1"/>
        <v>0</v>
      </c>
      <c r="X51" s="641">
        <f t="shared" ca="1" si="0"/>
        <v>9.79526841331292E-2</v>
      </c>
      <c r="Y51" s="488">
        <f t="shared" ca="1" si="2"/>
        <v>0</v>
      </c>
      <c r="Z51" s="484">
        <f ca="1">IF('CDO Bespoke'!O52&lt;&gt;"",'CDO Bespoke'!O52,"")</f>
        <v>9.79526841331292E-2</v>
      </c>
      <c r="AA51" s="641">
        <f ca="1">IF(Z51&lt;&gt;"",ABS(MIN(-0.6*'CDO Bespoke'!K52+'CDO Bespoke'!T52*'CDO Bespoke'!K52,0)),"")</f>
        <v>8.5463421444773147E-2</v>
      </c>
      <c r="AB51" s="641">
        <f t="shared" ca="1" si="3"/>
        <v>1.2489262688356054E-2</v>
      </c>
      <c r="AC51" s="488">
        <f t="shared" ca="1" si="4"/>
        <v>0</v>
      </c>
      <c r="AD51" s="272"/>
      <c r="AE51" s="493" t="str">
        <f ca="1">IF('CDO Bespoke'!C76&lt;&gt;"",'CDO Bespoke'!C76,"")</f>
        <v>Anheuser-Busch InBev</v>
      </c>
      <c r="AF51" s="495">
        <f ca="1"/>
        <v>-4.8544045005982639E-4</v>
      </c>
      <c r="AG51" s="583">
        <f ca="1"/>
        <v>-3.7631772031865296E-4</v>
      </c>
      <c r="AH51" s="583">
        <f ca="1"/>
        <v>2.102842209805722E-3</v>
      </c>
      <c r="AI51" s="583">
        <f ca="1"/>
        <v>0.66115487191986677</v>
      </c>
      <c r="AJ51" s="496">
        <f ca="1"/>
        <v>0</v>
      </c>
      <c r="AK51" s="618">
        <f ca="1"/>
        <v>0</v>
      </c>
      <c r="AL51" s="495">
        <f ca="1"/>
        <v>3.4108653330141431E-4</v>
      </c>
      <c r="AM51" s="583">
        <f ca="1"/>
        <v>1.66241770110237E-3</v>
      </c>
      <c r="AN51" s="583">
        <f ca="1"/>
        <v>7.2994765714035417E-3</v>
      </c>
      <c r="AO51" s="583">
        <f ca="1"/>
        <v>0.63545911229270347</v>
      </c>
      <c r="AP51" s="496">
        <f ca="1"/>
        <v>0</v>
      </c>
      <c r="AQ51" s="618">
        <f ca="1"/>
        <v>0</v>
      </c>
      <c r="AR51" s="495">
        <f ca="1"/>
        <v>-1.3569973244170308E-2</v>
      </c>
      <c r="AS51" s="496">
        <f ca="1"/>
        <v>-3.1405020230465708E-2</v>
      </c>
      <c r="AT51" s="618">
        <f ca="1"/>
        <v>0</v>
      </c>
      <c r="AU51" s="495">
        <f ca="1"/>
        <v>-0.11500562149466487</v>
      </c>
      <c r="AV51" s="496">
        <f ca="1"/>
        <v>3.756971677131779E-4</v>
      </c>
      <c r="AW51" s="618">
        <f ca="1"/>
        <v>0</v>
      </c>
    </row>
    <row r="52" spans="2:49">
      <c r="B52" s="538" t="s">
        <v>531</v>
      </c>
      <c r="C52" s="539" t="s">
        <v>66</v>
      </c>
      <c r="D52" s="539" t="s">
        <v>55</v>
      </c>
      <c r="E52" s="539" t="s">
        <v>647</v>
      </c>
      <c r="F52" s="539" t="s">
        <v>669</v>
      </c>
      <c r="G52" s="540">
        <v>0.01</v>
      </c>
      <c r="H52" s="540">
        <v>7.633E-3</v>
      </c>
      <c r="I52" s="541">
        <v>0.4</v>
      </c>
      <c r="J52" s="600">
        <v>7</v>
      </c>
      <c r="K52" s="542">
        <v>10</v>
      </c>
      <c r="L52" s="272"/>
      <c r="M52" s="272"/>
      <c r="P52" s="273"/>
      <c r="Q52" s="273"/>
      <c r="R52" s="273"/>
      <c r="S52" s="273"/>
      <c r="T52" s="575">
        <f ca="1"/>
        <v>0.02</v>
      </c>
      <c r="U52" s="572">
        <f ca="1"/>
        <v>44</v>
      </c>
      <c r="V52" s="484">
        <f ca="1">IF('CDO Bespoke'!O53&lt;&gt;"",'CDO Bespoke'!O53,"")</f>
        <v>9.6996317504078194E-2</v>
      </c>
      <c r="W52" s="641">
        <f t="shared" ca="1" si="1"/>
        <v>0</v>
      </c>
      <c r="X52" s="641">
        <f t="shared" ca="1" si="0"/>
        <v>9.6996317504078194E-2</v>
      </c>
      <c r="Y52" s="488">
        <f t="shared" ca="1" si="2"/>
        <v>0</v>
      </c>
      <c r="Z52" s="484">
        <f ca="1">IF('CDO Bespoke'!O53&lt;&gt;"",'CDO Bespoke'!O53,"")</f>
        <v>9.6996317504078194E-2</v>
      </c>
      <c r="AA52" s="641">
        <f ca="1">IF(Z52&lt;&gt;"",ABS(MIN(-0.6*'CDO Bespoke'!K53+'CDO Bespoke'!T53*'CDO Bespoke'!K53,0)),"")</f>
        <v>9.3045771368155894E-2</v>
      </c>
      <c r="AB52" s="641">
        <f t="shared" ca="1" si="3"/>
        <v>3.9505461359223004E-3</v>
      </c>
      <c r="AC52" s="488">
        <f t="shared" ca="1" si="4"/>
        <v>0</v>
      </c>
      <c r="AD52" s="272"/>
      <c r="AE52" s="493" t="str">
        <f ca="1">IF('CDO Bespoke'!C77&lt;&gt;"",'CDO Bespoke'!C77,"")</f>
        <v>BRITISH AMERICAN TOBACCO p.l.c.</v>
      </c>
      <c r="AF52" s="495">
        <f ca="1"/>
        <v>-1.0485392099024438E-3</v>
      </c>
      <c r="AG52" s="583">
        <f ca="1"/>
        <v>-2.5424440502908041E-3</v>
      </c>
      <c r="AH52" s="583">
        <f ca="1"/>
        <v>-5.9833937499087497E-3</v>
      </c>
      <c r="AI52" s="583">
        <f ca="1"/>
        <v>0.83030521403015811</v>
      </c>
      <c r="AJ52" s="496">
        <f ca="1"/>
        <v>0</v>
      </c>
      <c r="AK52" s="618">
        <f ca="1"/>
        <v>0</v>
      </c>
      <c r="AL52" s="495">
        <f ca="1"/>
        <v>2.2653015430054019E-4</v>
      </c>
      <c r="AM52" s="583">
        <f ca="1"/>
        <v>1.133861895698425E-3</v>
      </c>
      <c r="AN52" s="583">
        <f ca="1"/>
        <v>4.5360521956985811E-3</v>
      </c>
      <c r="AO52" s="583">
        <f ca="1"/>
        <v>0.76399391638789971</v>
      </c>
      <c r="AP52" s="496">
        <f ca="1"/>
        <v>0</v>
      </c>
      <c r="AQ52" s="618">
        <f ca="1"/>
        <v>0</v>
      </c>
      <c r="AR52" s="495">
        <f ca="1"/>
        <v>-5.9732081536421622E-3</v>
      </c>
      <c r="AS52" s="496">
        <f ca="1"/>
        <v>-3.7241683278395776E-2</v>
      </c>
      <c r="AT52" s="618">
        <f ca="1"/>
        <v>0</v>
      </c>
      <c r="AU52" s="495">
        <f ca="1"/>
        <v>-0.10860998884046799</v>
      </c>
      <c r="AV52" s="496">
        <f ca="1"/>
        <v>1.041002343352488E-2</v>
      </c>
      <c r="AW52" s="618">
        <f ca="1"/>
        <v>0</v>
      </c>
    </row>
    <row r="53" spans="2:49">
      <c r="B53" s="516" t="s">
        <v>531</v>
      </c>
      <c r="C53" s="517" t="s">
        <v>66</v>
      </c>
      <c r="D53" s="517" t="s">
        <v>57</v>
      </c>
      <c r="E53" s="517" t="s">
        <v>647</v>
      </c>
      <c r="F53" s="517" t="s">
        <v>669</v>
      </c>
      <c r="G53" s="524">
        <v>0.01</v>
      </c>
      <c r="H53" s="524">
        <v>1.1407E-2</v>
      </c>
      <c r="I53" s="526">
        <v>0.4</v>
      </c>
      <c r="J53" s="592">
        <v>7</v>
      </c>
      <c r="K53" s="518">
        <v>10</v>
      </c>
      <c r="L53" s="272"/>
      <c r="M53" s="272"/>
      <c r="P53" s="273"/>
      <c r="Q53" s="273"/>
      <c r="R53" s="273"/>
      <c r="S53" s="273"/>
      <c r="T53" s="575">
        <f ca="1"/>
        <v>0.06</v>
      </c>
      <c r="U53" s="572">
        <f ca="1"/>
        <v>45</v>
      </c>
      <c r="V53" s="484">
        <f ca="1">IF('CDO Bespoke'!O54&lt;&gt;"",'CDO Bespoke'!O54,"")</f>
        <v>9.8437243347713199E-2</v>
      </c>
      <c r="W53" s="641">
        <f t="shared" ca="1" si="1"/>
        <v>0</v>
      </c>
      <c r="X53" s="641">
        <f t="shared" ca="1" si="0"/>
        <v>9.8437243347713199E-2</v>
      </c>
      <c r="Y53" s="488">
        <f t="shared" ca="1" si="2"/>
        <v>0</v>
      </c>
      <c r="Z53" s="484">
        <f ca="1">IF('CDO Bespoke'!O54&lt;&gt;"",'CDO Bespoke'!O54,"")</f>
        <v>9.8437243347713199E-2</v>
      </c>
      <c r="AA53" s="641">
        <f ca="1">IF(Z53&lt;&gt;"",ABS(MIN(-0.6*'CDO Bespoke'!K54+'CDO Bespoke'!T54*'CDO Bespoke'!K54,0)),"")</f>
        <v>7.7673442376222687E-2</v>
      </c>
      <c r="AB53" s="641">
        <f t="shared" ca="1" si="3"/>
        <v>2.0763800971490512E-2</v>
      </c>
      <c r="AC53" s="488">
        <f t="shared" ca="1" si="4"/>
        <v>0</v>
      </c>
      <c r="AD53" s="272"/>
      <c r="AE53" s="493" t="str">
        <f ca="1">IF('CDO Bespoke'!C78&lt;&gt;"",'CDO Bespoke'!C78,"")</f>
        <v>CARLSBERG BREWERIES A/S</v>
      </c>
      <c r="AF53" s="495">
        <f ca="1"/>
        <v>-2.8856433020862937E-4</v>
      </c>
      <c r="AG53" s="583">
        <f ca="1"/>
        <v>2.5289583982512909E-4</v>
      </c>
      <c r="AH53" s="583">
        <f ca="1"/>
        <v>4.0027671899256489E-3</v>
      </c>
      <c r="AI53" s="583">
        <f ca="1"/>
        <v>0.57539983487009394</v>
      </c>
      <c r="AJ53" s="496">
        <f ca="1"/>
        <v>0</v>
      </c>
      <c r="AK53" s="618">
        <f ca="1"/>
        <v>0</v>
      </c>
      <c r="AL53" s="495">
        <f ca="1"/>
        <v>3.5300493919903503E-4</v>
      </c>
      <c r="AM53" s="583">
        <f ca="1"/>
        <v>1.710798078597385E-3</v>
      </c>
      <c r="AN53" s="583">
        <f ca="1"/>
        <v>7.6156202673000745E-3</v>
      </c>
      <c r="AO53" s="583">
        <f ca="1"/>
        <v>0.56437060759689706</v>
      </c>
      <c r="AP53" s="496">
        <f ca="1"/>
        <v>0</v>
      </c>
      <c r="AQ53" s="618">
        <f ca="1"/>
        <v>0</v>
      </c>
      <c r="AR53" s="495">
        <f ca="1"/>
        <v>-1.7493356953682204E-2</v>
      </c>
      <c r="AS53" s="496">
        <f ca="1"/>
        <v>-2.7878995008874807E-2</v>
      </c>
      <c r="AT53" s="618">
        <f ca="1"/>
        <v>0</v>
      </c>
      <c r="AU53" s="495">
        <f ca="1"/>
        <v>-0.1181953804747681</v>
      </c>
      <c r="AV53" s="496">
        <f ca="1"/>
        <v>-2.6099600536250087E-3</v>
      </c>
      <c r="AW53" s="618">
        <f ca="1"/>
        <v>0</v>
      </c>
    </row>
    <row r="54" spans="2:49">
      <c r="B54" s="533" t="s">
        <v>531</v>
      </c>
      <c r="C54" s="534" t="s">
        <v>66</v>
      </c>
      <c r="D54" s="534" t="s">
        <v>59</v>
      </c>
      <c r="E54" s="534" t="s">
        <v>647</v>
      </c>
      <c r="F54" s="534" t="s">
        <v>669</v>
      </c>
      <c r="G54" s="535">
        <v>0.01</v>
      </c>
      <c r="H54" s="535">
        <v>1.4759E-2</v>
      </c>
      <c r="I54" s="536">
        <v>0.4</v>
      </c>
      <c r="J54" s="593">
        <v>7</v>
      </c>
      <c r="K54" s="537">
        <v>10</v>
      </c>
      <c r="L54" s="272"/>
      <c r="M54" s="272"/>
      <c r="P54" s="273"/>
      <c r="Q54" s="273"/>
      <c r="R54" s="273"/>
      <c r="S54" s="273"/>
      <c r="T54" s="575">
        <f ca="1"/>
        <v>0.06</v>
      </c>
      <c r="U54" s="572">
        <f ca="1"/>
        <v>46</v>
      </c>
      <c r="V54" s="484">
        <f ca="1">IF('CDO Bespoke'!O55&lt;&gt;"",'CDO Bespoke'!O55,"")</f>
        <v>9.7715816502895195E-2</v>
      </c>
      <c r="W54" s="641">
        <f t="shared" ca="1" si="1"/>
        <v>0</v>
      </c>
      <c r="X54" s="641">
        <f t="shared" ca="1" si="0"/>
        <v>9.7715816502895195E-2</v>
      </c>
      <c r="Y54" s="488">
        <f t="shared" ca="1" si="2"/>
        <v>0</v>
      </c>
      <c r="Z54" s="484">
        <f ca="1">IF('CDO Bespoke'!O55&lt;&gt;"",'CDO Bespoke'!O55,"")</f>
        <v>9.7715816502895195E-2</v>
      </c>
      <c r="AA54" s="641">
        <f ca="1">IF(Z54&lt;&gt;"",ABS(MIN(-0.6*'CDO Bespoke'!K55+'CDO Bespoke'!T55*'CDO Bespoke'!K55,0)),"")</f>
        <v>8.7988450190342446E-2</v>
      </c>
      <c r="AB54" s="641">
        <f t="shared" ca="1" si="3"/>
        <v>9.7273663125527488E-3</v>
      </c>
      <c r="AC54" s="488">
        <f t="shared" ca="1" si="4"/>
        <v>0</v>
      </c>
      <c r="AD54" s="272"/>
      <c r="AE54" s="493" t="str">
        <f ca="1">IF('CDO Bespoke'!C79&lt;&gt;"",'CDO Bespoke'!C79,"")</f>
        <v>Carrefour</v>
      </c>
      <c r="AF54" s="495">
        <f ca="1"/>
        <v>-7.183213401873445E-4</v>
      </c>
      <c r="AG54" s="583">
        <f ca="1"/>
        <v>-1.2788291903209625E-3</v>
      </c>
      <c r="AH54" s="583">
        <f ca="1"/>
        <v>-1.2345761701837432E-3</v>
      </c>
      <c r="AI54" s="583">
        <f ca="1"/>
        <v>0.73729844133008093</v>
      </c>
      <c r="AJ54" s="496">
        <f ca="1"/>
        <v>0</v>
      </c>
      <c r="AK54" s="618">
        <f ca="1"/>
        <v>0</v>
      </c>
      <c r="AL54" s="495">
        <f ca="1"/>
        <v>3.0879630119867024E-4</v>
      </c>
      <c r="AM54" s="583">
        <f ca="1"/>
        <v>1.5153988451024544E-3</v>
      </c>
      <c r="AN54" s="583">
        <f ca="1"/>
        <v>6.4934112572025485E-3</v>
      </c>
      <c r="AO54" s="583">
        <f ca="1"/>
        <v>0.69521763858590002</v>
      </c>
      <c r="AP54" s="496">
        <f ca="1"/>
        <v>0</v>
      </c>
      <c r="AQ54" s="618">
        <f ca="1"/>
        <v>0</v>
      </c>
      <c r="AR54" s="495">
        <f ca="1"/>
        <v>-1.0202776579298578E-2</v>
      </c>
      <c r="AS54" s="496">
        <f ca="1"/>
        <v>-3.4239492602943455E-2</v>
      </c>
      <c r="AT54" s="618">
        <f ca="1"/>
        <v>0</v>
      </c>
      <c r="AU54" s="495">
        <f ca="1"/>
        <v>-0.1122779183730485</v>
      </c>
      <c r="AV54" s="496">
        <f ca="1"/>
        <v>3.9558286306059891E-3</v>
      </c>
      <c r="AW54" s="618">
        <f ca="1"/>
        <v>0</v>
      </c>
    </row>
    <row r="55" spans="2:49">
      <c r="B55" s="538" t="s">
        <v>532</v>
      </c>
      <c r="C55" s="539" t="s">
        <v>66</v>
      </c>
      <c r="D55" s="539" t="s">
        <v>55</v>
      </c>
      <c r="E55" s="539" t="s">
        <v>645</v>
      </c>
      <c r="F55" s="539" t="s">
        <v>668</v>
      </c>
      <c r="G55" s="540">
        <v>0.01</v>
      </c>
      <c r="H55" s="540">
        <v>2.836E-3</v>
      </c>
      <c r="I55" s="541">
        <v>0.4</v>
      </c>
      <c r="J55" s="600">
        <v>5</v>
      </c>
      <c r="K55" s="542">
        <v>11</v>
      </c>
      <c r="L55" s="272"/>
      <c r="M55" s="272"/>
      <c r="P55" s="273"/>
      <c r="Q55" s="273"/>
      <c r="R55" s="273"/>
      <c r="S55" s="273"/>
      <c r="T55" s="575">
        <f ca="1"/>
        <v>0.03</v>
      </c>
      <c r="U55" s="572">
        <f ca="1"/>
        <v>47</v>
      </c>
      <c r="V55" s="484">
        <f ca="1">IF('CDO Bespoke'!O56&lt;&gt;"",'CDO Bespoke'!O56,"")</f>
        <v>9.8675637180634199E-2</v>
      </c>
      <c r="W55" s="641">
        <f t="shared" ca="1" si="1"/>
        <v>0</v>
      </c>
      <c r="X55" s="641">
        <f t="shared" ca="1" si="0"/>
        <v>9.8675637180634199E-2</v>
      </c>
      <c r="Y55" s="488">
        <f t="shared" ca="1" si="2"/>
        <v>0</v>
      </c>
      <c r="Z55" s="484">
        <f ca="1">IF('CDO Bespoke'!O56&lt;&gt;"",'CDO Bespoke'!O56,"")</f>
        <v>9.8675637180634199E-2</v>
      </c>
      <c r="AA55" s="641">
        <f ca="1">IF(Z55&lt;&gt;"",ABS(MIN(-0.6*'CDO Bespoke'!K56+'CDO Bespoke'!T56*'CDO Bespoke'!K56,0)),"")</f>
        <v>7.1353728725807378E-2</v>
      </c>
      <c r="AB55" s="641">
        <f t="shared" ca="1" si="3"/>
        <v>2.7321908454826821E-2</v>
      </c>
      <c r="AC55" s="488">
        <f t="shared" ca="1" si="4"/>
        <v>0</v>
      </c>
      <c r="AD55" s="272"/>
      <c r="AE55" s="493" t="str">
        <f ca="1">IF('CDO Bespoke'!C80&lt;&gt;"",'CDO Bespoke'!C80,"")</f>
        <v>COMPASS GROUP PLC</v>
      </c>
      <c r="AF55" s="495">
        <f ca="1"/>
        <v>-1.3617013017164226E-4</v>
      </c>
      <c r="AG55" s="583">
        <f ca="1"/>
        <v>7.3297290015261751E-4</v>
      </c>
      <c r="AH55" s="583">
        <f ca="1"/>
        <v>5.3905561797629176E-3</v>
      </c>
      <c r="AI55" s="583">
        <f ca="1"/>
        <v>0.49811805578003909</v>
      </c>
      <c r="AJ55" s="496">
        <f ca="1"/>
        <v>0</v>
      </c>
      <c r="AK55" s="618">
        <f ca="1"/>
        <v>0</v>
      </c>
      <c r="AL55" s="495">
        <f ca="1"/>
        <v>3.4320098469750593E-4</v>
      </c>
      <c r="AM55" s="583">
        <f ca="1"/>
        <v>1.6580587216012341E-3</v>
      </c>
      <c r="AN55" s="583">
        <f ca="1"/>
        <v>7.4412011278994494E-3</v>
      </c>
      <c r="AO55" s="583">
        <f ca="1"/>
        <v>0.49773512448639862</v>
      </c>
      <c r="AP55" s="496">
        <f ca="1"/>
        <v>0</v>
      </c>
      <c r="AQ55" s="618">
        <f ca="1"/>
        <v>0</v>
      </c>
      <c r="AR55" s="495">
        <f ca="1"/>
        <v>-2.1002777020565855E-2</v>
      </c>
      <c r="AS55" s="496">
        <f ca="1"/>
        <v>-2.4508580769405153E-2</v>
      </c>
      <c r="AT55" s="618">
        <f ca="1"/>
        <v>0</v>
      </c>
      <c r="AU55" s="495">
        <f ca="1"/>
        <v>-0.120930010255969</v>
      </c>
      <c r="AV55" s="496">
        <f ca="1"/>
        <v>-4.3127324927584032E-3</v>
      </c>
      <c r="AW55" s="618">
        <f ca="1"/>
        <v>0</v>
      </c>
    </row>
    <row r="56" spans="2:49">
      <c r="B56" s="516" t="s">
        <v>532</v>
      </c>
      <c r="C56" s="517" t="s">
        <v>66</v>
      </c>
      <c r="D56" s="517" t="s">
        <v>57</v>
      </c>
      <c r="E56" s="517" t="s">
        <v>645</v>
      </c>
      <c r="F56" s="517" t="s">
        <v>668</v>
      </c>
      <c r="G56" s="524">
        <v>0.01</v>
      </c>
      <c r="H56" s="524">
        <v>5.025E-3</v>
      </c>
      <c r="I56" s="526">
        <v>0.4</v>
      </c>
      <c r="J56" s="592">
        <v>5</v>
      </c>
      <c r="K56" s="518">
        <v>11</v>
      </c>
      <c r="L56" s="272"/>
      <c r="M56" s="272"/>
      <c r="P56" s="273"/>
      <c r="Q56" s="273"/>
      <c r="R56" s="273"/>
      <c r="S56" s="273"/>
      <c r="T56" s="575">
        <f ca="1"/>
        <v>0.06</v>
      </c>
      <c r="U56" s="572">
        <f ca="1"/>
        <v>48</v>
      </c>
      <c r="V56" s="484">
        <f ca="1">IF('CDO Bespoke'!O57&lt;&gt;"",'CDO Bespoke'!O57,"")</f>
        <v>9.81757544384632E-2</v>
      </c>
      <c r="W56" s="641">
        <f t="shared" ca="1" si="1"/>
        <v>0</v>
      </c>
      <c r="X56" s="641">
        <f t="shared" ca="1" si="0"/>
        <v>9.81757544384632E-2</v>
      </c>
      <c r="Y56" s="488">
        <f t="shared" ca="1" si="2"/>
        <v>0</v>
      </c>
      <c r="Z56" s="484">
        <f ca="1">IF('CDO Bespoke'!O57&lt;&gt;"",'CDO Bespoke'!O57,"")</f>
        <v>9.81757544384632E-2</v>
      </c>
      <c r="AA56" s="641">
        <f ca="1">IF(Z56&lt;&gt;"",ABS(MIN(-0.6*'CDO Bespoke'!K57+'CDO Bespoke'!T57*'CDO Bespoke'!K57,0)),"")</f>
        <v>8.2438755699560176E-2</v>
      </c>
      <c r="AB56" s="641">
        <f t="shared" ca="1" si="3"/>
        <v>1.5736998738903024E-2</v>
      </c>
      <c r="AC56" s="488">
        <f t="shared" ca="1" si="4"/>
        <v>0</v>
      </c>
      <c r="AD56" s="272"/>
      <c r="AE56" s="493" t="str">
        <f ca="1">IF('CDO Bespoke'!C81&lt;&gt;"",'CDO Bespoke'!C81,"")</f>
        <v>DANONE</v>
      </c>
      <c r="AF56" s="495">
        <f ca="1"/>
        <v>-4.0123831979155256E-4</v>
      </c>
      <c r="AG56" s="583">
        <f ca="1"/>
        <v>-1.0063683997252326E-4</v>
      </c>
      <c r="AH56" s="583">
        <f ca="1"/>
        <v>2.9587422600840796E-3</v>
      </c>
      <c r="AI56" s="583">
        <f ca="1"/>
        <v>0.62691776767986873</v>
      </c>
      <c r="AJ56" s="496">
        <f ca="1"/>
        <v>0</v>
      </c>
      <c r="AK56" s="618">
        <f ca="1"/>
        <v>0</v>
      </c>
      <c r="AL56" s="495">
        <f ca="1"/>
        <v>3.4909031209999497E-4</v>
      </c>
      <c r="AM56" s="583">
        <f ca="1"/>
        <v>1.6970013124980102E-3</v>
      </c>
      <c r="AN56" s="583">
        <f ca="1"/>
        <v>7.4988312328974974E-3</v>
      </c>
      <c r="AO56" s="583">
        <f ca="1"/>
        <v>0.60748321514109827</v>
      </c>
      <c r="AP56" s="496">
        <f ca="1"/>
        <v>0</v>
      </c>
      <c r="AQ56" s="618">
        <f ca="1"/>
        <v>0</v>
      </c>
      <c r="AR56" s="495">
        <f ca="1"/>
        <v>-1.513793794920254E-2</v>
      </c>
      <c r="AS56" s="496">
        <f ca="1"/>
        <v>-3.0031600611635456E-2</v>
      </c>
      <c r="AT56" s="618">
        <f ca="1"/>
        <v>0</v>
      </c>
      <c r="AU56" s="495">
        <f ca="1"/>
        <v>-0.11629872217582379</v>
      </c>
      <c r="AV56" s="496">
        <f ca="1"/>
        <v>-9.7049667516071331E-4</v>
      </c>
      <c r="AW56" s="618">
        <f ca="1"/>
        <v>0</v>
      </c>
    </row>
    <row r="57" spans="2:49">
      <c r="B57" s="533" t="s">
        <v>532</v>
      </c>
      <c r="C57" s="534" t="s">
        <v>66</v>
      </c>
      <c r="D57" s="534" t="s">
        <v>59</v>
      </c>
      <c r="E57" s="534" t="s">
        <v>645</v>
      </c>
      <c r="F57" s="534" t="s">
        <v>668</v>
      </c>
      <c r="G57" s="535">
        <v>0.01</v>
      </c>
      <c r="H57" s="535">
        <v>7.2620000000000002E-3</v>
      </c>
      <c r="I57" s="536">
        <v>0.4</v>
      </c>
      <c r="J57" s="593">
        <v>5</v>
      </c>
      <c r="K57" s="537">
        <v>11</v>
      </c>
      <c r="L57" s="272"/>
      <c r="M57" s="272"/>
      <c r="P57" s="273"/>
      <c r="Q57" s="273"/>
      <c r="R57" s="273"/>
      <c r="S57" s="273"/>
      <c r="T57" s="575">
        <f ca="1"/>
        <v>0.03</v>
      </c>
      <c r="U57" s="572">
        <f ca="1"/>
        <v>49</v>
      </c>
      <c r="V57" s="484">
        <f ca="1">IF('CDO Bespoke'!O58&lt;&gt;"",'CDO Bespoke'!O58,"")</f>
        <v>9.8459187113801194E-2</v>
      </c>
      <c r="W57" s="641">
        <f t="shared" ca="1" si="1"/>
        <v>0</v>
      </c>
      <c r="X57" s="641">
        <f t="shared" ca="1" si="0"/>
        <v>9.8459187113801194E-2</v>
      </c>
      <c r="Y57" s="488">
        <f t="shared" ca="1" si="2"/>
        <v>0</v>
      </c>
      <c r="Z57" s="484">
        <f ca="1">IF('CDO Bespoke'!O58&lt;&gt;"",'CDO Bespoke'!O58,"")</f>
        <v>9.8459187113801194E-2</v>
      </c>
      <c r="AA57" s="641">
        <f ca="1">IF(Z57&lt;&gt;"",ABS(MIN(-0.6*'CDO Bespoke'!K58+'CDO Bespoke'!T58*'CDO Bespoke'!K58,0)),"")</f>
        <v>7.7189595616806661E-2</v>
      </c>
      <c r="AB57" s="641">
        <f t="shared" ca="1" si="3"/>
        <v>2.1269591496994533E-2</v>
      </c>
      <c r="AC57" s="488">
        <f t="shared" ca="1" si="4"/>
        <v>0</v>
      </c>
      <c r="AD57" s="272"/>
      <c r="AE57" s="493" t="str">
        <f ca="1">IF('CDO Bespoke'!C82&lt;&gt;"",'CDO Bespoke'!C82,"")</f>
        <v>DIAGEO PLC</v>
      </c>
      <c r="AF57" s="495">
        <f ca="1"/>
        <v>-4.2277103701193752E-3</v>
      </c>
      <c r="AG57" s="583">
        <f ca="1"/>
        <v>-1.7091321560247508E-2</v>
      </c>
      <c r="AH57" s="583">
        <f ca="1"/>
        <v>-6.6795119200158126E-2</v>
      </c>
      <c r="AI57" s="583">
        <f ca="1"/>
        <v>1.1529305232799159</v>
      </c>
      <c r="AJ57" s="496">
        <f ca="1"/>
        <v>0</v>
      </c>
      <c r="AK57" s="618">
        <f ca="1"/>
        <v>0</v>
      </c>
      <c r="AL57" s="495">
        <f ca="1"/>
        <v>-1.3226283309894504E-3</v>
      </c>
      <c r="AM57" s="583">
        <f ca="1"/>
        <v>-6.1733349719997332E-3</v>
      </c>
      <c r="AN57" s="583">
        <f ca="1"/>
        <v>-2.9161431196016163E-2</v>
      </c>
      <c r="AO57" s="583">
        <f ca="1"/>
        <v>0.90759214908898989</v>
      </c>
      <c r="AP57" s="496">
        <f ca="1"/>
        <v>0</v>
      </c>
      <c r="AQ57" s="618">
        <f ca="1"/>
        <v>0</v>
      </c>
      <c r="AR57" s="495">
        <f ca="1"/>
        <v>1.1218578203592566E-2</v>
      </c>
      <c r="AS57" s="496">
        <f ca="1"/>
        <v>-2.836459128902552E-2</v>
      </c>
      <c r="AT57" s="618">
        <f ca="1"/>
        <v>0</v>
      </c>
      <c r="AU57" s="495">
        <f ca="1"/>
        <v>-9.1361570559093178E-2</v>
      </c>
      <c r="AV57" s="496">
        <f ca="1"/>
        <v>0.10111256707860046</v>
      </c>
      <c r="AW57" s="618">
        <f ca="1"/>
        <v>0</v>
      </c>
    </row>
    <row r="58" spans="2:49">
      <c r="B58" s="538" t="s">
        <v>516</v>
      </c>
      <c r="C58" s="539" t="s">
        <v>66</v>
      </c>
      <c r="D58" s="539" t="s">
        <v>55</v>
      </c>
      <c r="E58" s="539" t="s">
        <v>645</v>
      </c>
      <c r="F58" s="539" t="s">
        <v>646</v>
      </c>
      <c r="G58" s="540">
        <v>0.01</v>
      </c>
      <c r="H58" s="540">
        <v>2.2030000000000001E-3</v>
      </c>
      <c r="I58" s="541">
        <v>0.4</v>
      </c>
      <c r="J58" s="600">
        <v>4</v>
      </c>
      <c r="K58" s="542">
        <v>12</v>
      </c>
      <c r="L58" s="272"/>
      <c r="M58" s="272"/>
      <c r="P58" s="273"/>
      <c r="Q58" s="273"/>
      <c r="R58" s="273"/>
      <c r="S58" s="273"/>
      <c r="T58" s="575">
        <f ca="1"/>
        <v>0.06</v>
      </c>
      <c r="U58" s="572">
        <f ca="1"/>
        <v>50</v>
      </c>
      <c r="V58" s="484">
        <f ca="1">IF('CDO Bespoke'!O59&lt;&gt;"",'CDO Bespoke'!O59,"")</f>
        <v>8.6608886972192198E-2</v>
      </c>
      <c r="W58" s="641">
        <f t="shared" ca="1" si="1"/>
        <v>0</v>
      </c>
      <c r="X58" s="641">
        <f t="shared" ca="1" si="0"/>
        <v>8.6608886972192198E-2</v>
      </c>
      <c r="Y58" s="488">
        <f t="shared" ca="1" si="2"/>
        <v>0</v>
      </c>
      <c r="Z58" s="484">
        <f ca="1">IF('CDO Bespoke'!O59&lt;&gt;"",'CDO Bespoke'!O59,"")</f>
        <v>8.6608886972192198E-2</v>
      </c>
      <c r="AA58" s="641">
        <f ca="1">IF(Z58&lt;&gt;"",ABS(MIN(-0.6*'CDO Bespoke'!K59+'CDO Bespoke'!T59*'CDO Bespoke'!K59,0)),"")</f>
        <v>8.9754941131433369E-2</v>
      </c>
      <c r="AB58" s="641">
        <f t="shared" ca="1" si="3"/>
        <v>0</v>
      </c>
      <c r="AC58" s="488">
        <f t="shared" ca="1" si="4"/>
        <v>0</v>
      </c>
      <c r="AD58" s="272"/>
      <c r="AE58" s="493" t="str">
        <f ca="1">IF('CDO Bespoke'!C83&lt;&gt;"",'CDO Bespoke'!C83,"")</f>
        <v>ELO</v>
      </c>
      <c r="AF58" s="495">
        <f ca="1"/>
        <v>-3.6936015601618521E-3</v>
      </c>
      <c r="AG58" s="583">
        <f ca="1"/>
        <v>-1.4447120920135781E-2</v>
      </c>
      <c r="AH58" s="583">
        <f ca="1"/>
        <v>-5.7530145440298774E-2</v>
      </c>
      <c r="AI58" s="583">
        <f ca="1"/>
        <v>1.101097632359993</v>
      </c>
      <c r="AJ58" s="496">
        <f ca="1"/>
        <v>0</v>
      </c>
      <c r="AK58" s="618">
        <f ca="1"/>
        <v>0</v>
      </c>
      <c r="AL58" s="495">
        <f ca="1"/>
        <v>-1.0910703259967014E-3</v>
      </c>
      <c r="AM58" s="583">
        <f ca="1"/>
        <v>-5.2213885310022079E-3</v>
      </c>
      <c r="AN58" s="583">
        <f ca="1"/>
        <v>-2.6011723207007564E-2</v>
      </c>
      <c r="AO58" s="583">
        <f ca="1"/>
        <v>0.87830369699498989</v>
      </c>
      <c r="AP58" s="496">
        <f ca="1"/>
        <v>0</v>
      </c>
      <c r="AQ58" s="618">
        <f ca="1"/>
        <v>0</v>
      </c>
      <c r="AR58" s="495">
        <f ca="1"/>
        <v>9.8608093268558461E-3</v>
      </c>
      <c r="AS58" s="496">
        <f ca="1"/>
        <v>-2.909331543440985E-2</v>
      </c>
      <c r="AT58" s="618">
        <f ca="1"/>
        <v>0</v>
      </c>
      <c r="AU58" s="495">
        <f ca="1"/>
        <v>-8.8732040472988494E-2</v>
      </c>
      <c r="AV58" s="496">
        <f ca="1"/>
        <v>9.3464786975341593E-2</v>
      </c>
      <c r="AW58" s="618">
        <f ca="1"/>
        <v>0</v>
      </c>
    </row>
    <row r="59" spans="2:49">
      <c r="B59" s="516" t="s">
        <v>516</v>
      </c>
      <c r="C59" s="517" t="s">
        <v>66</v>
      </c>
      <c r="D59" s="517" t="s">
        <v>57</v>
      </c>
      <c r="E59" s="517" t="s">
        <v>645</v>
      </c>
      <c r="F59" s="517" t="s">
        <v>646</v>
      </c>
      <c r="G59" s="524">
        <v>0.01</v>
      </c>
      <c r="H59" s="524">
        <v>3.3639999999999998E-3</v>
      </c>
      <c r="I59" s="526">
        <v>0.4</v>
      </c>
      <c r="J59" s="592">
        <v>4</v>
      </c>
      <c r="K59" s="518">
        <v>12</v>
      </c>
      <c r="L59" s="272"/>
      <c r="M59" s="272"/>
      <c r="P59" s="273"/>
      <c r="Q59" s="273"/>
      <c r="R59" s="273"/>
      <c r="S59" s="273"/>
      <c r="T59" s="575">
        <f ca="1"/>
        <v>0.06</v>
      </c>
      <c r="U59" s="572">
        <f ca="1"/>
        <v>51</v>
      </c>
      <c r="V59" s="484">
        <f ca="1">IF('CDO Bespoke'!O60&lt;&gt;"",'CDO Bespoke'!O60,"")</f>
        <v>9.8384729989293193E-2</v>
      </c>
      <c r="W59" s="641">
        <f t="shared" ca="1" si="1"/>
        <v>0</v>
      </c>
      <c r="X59" s="641">
        <f t="shared" ca="1" si="0"/>
        <v>9.8384729989293193E-2</v>
      </c>
      <c r="Y59" s="488">
        <f t="shared" ca="1" si="2"/>
        <v>0</v>
      </c>
      <c r="Z59" s="484">
        <f ca="1">IF('CDO Bespoke'!O60&lt;&gt;"",'CDO Bespoke'!O60,"")</f>
        <v>9.8384729989293193E-2</v>
      </c>
      <c r="AA59" s="641">
        <f ca="1">IF(Z59&lt;&gt;"",ABS(MIN(-0.6*'CDO Bespoke'!K60+'CDO Bespoke'!T60*'CDO Bespoke'!K60,0)),"")</f>
        <v>7.87699873955931E-2</v>
      </c>
      <c r="AB59" s="641">
        <f t="shared" ca="1" si="3"/>
        <v>1.9614742593700094E-2</v>
      </c>
      <c r="AC59" s="488">
        <f t="shared" ca="1" si="4"/>
        <v>0</v>
      </c>
      <c r="AD59" s="272"/>
      <c r="AE59" s="493" t="str">
        <f ca="1">IF('CDO Bespoke'!C84&lt;&gt;"",'CDO Bespoke'!C84,"")</f>
        <v>Heineken N.V.</v>
      </c>
      <c r="AF59" s="495">
        <f ca="1"/>
        <v>-3.0894834024408624E-4</v>
      </c>
      <c r="AG59" s="583">
        <f ca="1"/>
        <v>1.938331400941351E-4</v>
      </c>
      <c r="AH59" s="583">
        <f ca="1"/>
        <v>3.8442486000045406E-3</v>
      </c>
      <c r="AI59" s="583">
        <f ca="1"/>
        <v>0.58569945277975322</v>
      </c>
      <c r="AJ59" s="496">
        <f ca="1"/>
        <v>0</v>
      </c>
      <c r="AK59" s="618">
        <f ca="1"/>
        <v>0</v>
      </c>
      <c r="AL59" s="495">
        <f ca="1"/>
        <v>3.5291048469839048E-4</v>
      </c>
      <c r="AM59" s="583">
        <f ca="1"/>
        <v>1.7112852403970008E-3</v>
      </c>
      <c r="AN59" s="583">
        <f ca="1"/>
        <v>7.6082236530978717E-3</v>
      </c>
      <c r="AO59" s="583">
        <f ca="1"/>
        <v>0.57310570850039633</v>
      </c>
      <c r="AP59" s="496">
        <f ca="1"/>
        <v>0</v>
      </c>
      <c r="AQ59" s="618">
        <f ca="1"/>
        <v>0</v>
      </c>
      <c r="AR59" s="495">
        <f ca="1"/>
        <v>-1.7019404266770621E-2</v>
      </c>
      <c r="AS59" s="496">
        <f ca="1"/>
        <v>-2.83181916307364E-2</v>
      </c>
      <c r="AT59" s="618">
        <f ca="1"/>
        <v>0</v>
      </c>
      <c r="AU59" s="495">
        <f ca="1"/>
        <v>-0.11781540794311871</v>
      </c>
      <c r="AV59" s="496">
        <f ca="1"/>
        <v>-2.3128391464523855E-3</v>
      </c>
      <c r="AW59" s="618">
        <f ca="1"/>
        <v>0</v>
      </c>
    </row>
    <row r="60" spans="2:49">
      <c r="B60" s="533" t="s">
        <v>516</v>
      </c>
      <c r="C60" s="534" t="s">
        <v>66</v>
      </c>
      <c r="D60" s="534" t="s">
        <v>59</v>
      </c>
      <c r="E60" s="534" t="s">
        <v>645</v>
      </c>
      <c r="F60" s="534" t="s">
        <v>646</v>
      </c>
      <c r="G60" s="535">
        <v>0.01</v>
      </c>
      <c r="H60" s="535">
        <v>4.9129999999999998E-3</v>
      </c>
      <c r="I60" s="536">
        <v>0.4</v>
      </c>
      <c r="J60" s="593">
        <v>4</v>
      </c>
      <c r="K60" s="537">
        <v>12</v>
      </c>
      <c r="L60" s="272"/>
      <c r="M60" s="272"/>
      <c r="P60" s="273"/>
      <c r="Q60" s="273"/>
      <c r="R60" s="273"/>
      <c r="S60" s="273"/>
      <c r="T60" s="575">
        <f ca="1"/>
        <v>0.06</v>
      </c>
      <c r="U60" s="572">
        <f ca="1"/>
        <v>52</v>
      </c>
      <c r="V60" s="484">
        <f ca="1">IF('CDO Bespoke'!O61&lt;&gt;"",'CDO Bespoke'!O61,"")</f>
        <v>9.8660678509930197E-2</v>
      </c>
      <c r="W60" s="641">
        <f t="shared" ca="1" si="1"/>
        <v>0</v>
      </c>
      <c r="X60" s="641">
        <f t="shared" ca="1" si="0"/>
        <v>9.8660678509930197E-2</v>
      </c>
      <c r="Y60" s="488">
        <f t="shared" ca="1" si="2"/>
        <v>0</v>
      </c>
      <c r="Z60" s="484">
        <f ca="1">IF('CDO Bespoke'!O61&lt;&gt;"",'CDO Bespoke'!O61,"")</f>
        <v>9.8660678509930197E-2</v>
      </c>
      <c r="AA60" s="641">
        <f ca="1">IF(Z60&lt;&gt;"",ABS(MIN(-0.6*'CDO Bespoke'!K61+'CDO Bespoke'!T61*'CDO Bespoke'!K61,0)),"")</f>
        <v>7.1834469773132112E-2</v>
      </c>
      <c r="AB60" s="641">
        <f t="shared" ca="1" si="3"/>
        <v>2.6826208736798085E-2</v>
      </c>
      <c r="AC60" s="488">
        <f t="shared" ca="1" si="4"/>
        <v>0</v>
      </c>
      <c r="AD60" s="272"/>
      <c r="AE60" s="493" t="str">
        <f ca="1">IF('CDO Bespoke'!C85&lt;&gt;"",'CDO Bespoke'!C85,"")</f>
        <v>Henkel AG &amp; Co. KGaA</v>
      </c>
      <c r="AF60" s="495">
        <f ca="1"/>
        <v>-7.176647998097252E-5</v>
      </c>
      <c r="AG60" s="583">
        <f ca="1"/>
        <v>9.9706227996154695E-4</v>
      </c>
      <c r="AH60" s="583">
        <f ca="1"/>
        <v>6.3133924299574318E-3</v>
      </c>
      <c r="AI60" s="583">
        <f ca="1"/>
        <v>0.47384487533996822</v>
      </c>
      <c r="AJ60" s="496">
        <f ca="1"/>
        <v>0</v>
      </c>
      <c r="AK60" s="618">
        <f ca="1"/>
        <v>0</v>
      </c>
      <c r="AL60" s="495">
        <f ca="1"/>
        <v>3.3665709049928577E-4</v>
      </c>
      <c r="AM60" s="583">
        <f ca="1"/>
        <v>1.6256361584990331E-3</v>
      </c>
      <c r="AN60" s="583">
        <f ca="1"/>
        <v>7.3143787587999498E-3</v>
      </c>
      <c r="AO60" s="583">
        <f ca="1"/>
        <v>0.47676643691469883</v>
      </c>
      <c r="AP60" s="496">
        <f ca="1"/>
        <v>0</v>
      </c>
      <c r="AQ60" s="618">
        <f ca="1"/>
        <v>0</v>
      </c>
      <c r="AR60" s="495">
        <f ca="1"/>
        <v>-2.2053379375170656E-2</v>
      </c>
      <c r="AS60" s="496">
        <f ca="1"/>
        <v>-2.3451150541139332E-2</v>
      </c>
      <c r="AT60" s="618">
        <f ca="1"/>
        <v>0</v>
      </c>
      <c r="AU60" s="495">
        <f ca="1"/>
        <v>-0.1217094141006107</v>
      </c>
      <c r="AV60" s="496">
        <f ca="1"/>
        <v>-4.6559460039151124E-3</v>
      </c>
      <c r="AW60" s="618">
        <f ca="1"/>
        <v>0</v>
      </c>
    </row>
    <row r="61" spans="2:49">
      <c r="B61" s="538" t="s">
        <v>610</v>
      </c>
      <c r="C61" s="539" t="s">
        <v>66</v>
      </c>
      <c r="D61" s="539" t="s">
        <v>55</v>
      </c>
      <c r="E61" s="539" t="s">
        <v>647</v>
      </c>
      <c r="F61" s="539" t="s">
        <v>646</v>
      </c>
      <c r="G61" s="540">
        <v>0.01</v>
      </c>
      <c r="H61" s="540">
        <v>5.3819999999999996E-3</v>
      </c>
      <c r="I61" s="541">
        <v>0.4</v>
      </c>
      <c r="J61" s="600">
        <v>4</v>
      </c>
      <c r="K61" s="542">
        <v>13</v>
      </c>
      <c r="L61" s="272"/>
      <c r="M61" s="272"/>
      <c r="P61" s="273"/>
      <c r="Q61" s="273"/>
      <c r="R61" s="273"/>
      <c r="S61" s="273"/>
      <c r="T61" s="575">
        <f ca="1"/>
        <v>0.02</v>
      </c>
      <c r="U61" s="572">
        <f ca="1"/>
        <v>53</v>
      </c>
      <c r="V61" s="484">
        <f ca="1">IF('CDO Bespoke'!O62&lt;&gt;"",'CDO Bespoke'!O62,"")</f>
        <v>9.6555401937515203E-2</v>
      </c>
      <c r="W61" s="641">
        <f t="shared" ca="1" si="1"/>
        <v>0</v>
      </c>
      <c r="X61" s="641">
        <f t="shared" ca="1" si="0"/>
        <v>9.6555401937515203E-2</v>
      </c>
      <c r="Y61" s="488">
        <f t="shared" ca="1" si="2"/>
        <v>0</v>
      </c>
      <c r="Z61" s="484">
        <f ca="1">IF('CDO Bespoke'!O62&lt;&gt;"",'CDO Bespoke'!O62,"")</f>
        <v>9.6555401937515203E-2</v>
      </c>
      <c r="AA61" s="641">
        <f ca="1">IF(Z61&lt;&gt;"",ABS(MIN(-0.6*'CDO Bespoke'!K62+'CDO Bespoke'!T62*'CDO Bespoke'!K62,0)),"")</f>
        <v>9.4961636341624245E-2</v>
      </c>
      <c r="AB61" s="641">
        <f t="shared" ca="1" si="3"/>
        <v>1.5937655958909586E-3</v>
      </c>
      <c r="AC61" s="488">
        <f t="shared" ca="1" si="4"/>
        <v>0</v>
      </c>
      <c r="AD61" s="272"/>
      <c r="AE61" s="493" t="str">
        <f ca="1">IF('CDO Bespoke'!C86&lt;&gt;"",'CDO Bespoke'!C86,"")</f>
        <v>IMPERIAL BRANDS PLC</v>
      </c>
      <c r="AF61" s="495">
        <f ca="1"/>
        <v>-1.1963021501193438E-3</v>
      </c>
      <c r="AG61" s="583">
        <f ca="1"/>
        <v>-3.1206195499899891E-3</v>
      </c>
      <c r="AH61" s="583">
        <f ca="1"/>
        <v>-8.2163165099347069E-3</v>
      </c>
      <c r="AI61" s="583">
        <f ca="1"/>
        <v>0.86532880024969838</v>
      </c>
      <c r="AJ61" s="496">
        <f ca="1"/>
        <v>0</v>
      </c>
      <c r="AK61" s="618">
        <f ca="1"/>
        <v>0</v>
      </c>
      <c r="AL61" s="495">
        <f ca="1"/>
        <v>1.7930558509965042E-4</v>
      </c>
      <c r="AM61" s="583">
        <f ca="1"/>
        <v>9.1309583960053411E-4</v>
      </c>
      <c r="AN61" s="583">
        <f ca="1"/>
        <v>3.4246081417996406E-3</v>
      </c>
      <c r="AO61" s="583">
        <f ca="1"/>
        <v>0.78859830819460019</v>
      </c>
      <c r="AP61" s="496">
        <f ca="1"/>
        <v>0</v>
      </c>
      <c r="AQ61" s="618">
        <f ca="1"/>
        <v>0</v>
      </c>
      <c r="AR61" s="495">
        <f ca="1"/>
        <v>-4.340765568928262E-3</v>
      </c>
      <c r="AS61" s="496">
        <f ca="1"/>
        <v>-3.817396762170272E-2</v>
      </c>
      <c r="AT61" s="618">
        <f ca="1"/>
        <v>0</v>
      </c>
      <c r="AU61" s="495">
        <f ca="1"/>
        <v>-0.10709244163107699</v>
      </c>
      <c r="AV61" s="496">
        <f ca="1"/>
        <v>1.3646279031601701E-2</v>
      </c>
      <c r="AW61" s="618">
        <f ca="1"/>
        <v>0</v>
      </c>
    </row>
    <row r="62" spans="2:49">
      <c r="B62" s="516" t="s">
        <v>610</v>
      </c>
      <c r="C62" s="517" t="s">
        <v>66</v>
      </c>
      <c r="D62" s="517" t="s">
        <v>57</v>
      </c>
      <c r="E62" s="517" t="s">
        <v>647</v>
      </c>
      <c r="F62" s="517" t="s">
        <v>646</v>
      </c>
      <c r="G62" s="524">
        <v>0.01</v>
      </c>
      <c r="H62" s="524">
        <v>8.8269999999999998E-3</v>
      </c>
      <c r="I62" s="526">
        <v>0.4</v>
      </c>
      <c r="J62" s="592">
        <v>4</v>
      </c>
      <c r="K62" s="518">
        <v>13</v>
      </c>
      <c r="L62" s="272"/>
      <c r="M62" s="272"/>
      <c r="P62" s="273"/>
      <c r="Q62" s="273"/>
      <c r="R62" s="273"/>
      <c r="S62" s="273"/>
      <c r="T62" s="575">
        <f ca="1"/>
        <v>0.02</v>
      </c>
      <c r="U62" s="572">
        <f ca="1"/>
        <v>54</v>
      </c>
      <c r="V62" s="484">
        <f ca="1">IF('CDO Bespoke'!O63&lt;&gt;"",'CDO Bespoke'!O63,"")</f>
        <v>9.7869610422696193E-2</v>
      </c>
      <c r="W62" s="641">
        <f t="shared" ca="1" si="1"/>
        <v>0</v>
      </c>
      <c r="X62" s="641">
        <f t="shared" ca="1" si="0"/>
        <v>9.7869610422696193E-2</v>
      </c>
      <c r="Y62" s="488">
        <f t="shared" ca="1" si="2"/>
        <v>0</v>
      </c>
      <c r="Z62" s="484">
        <f ca="1">IF('CDO Bespoke'!O63&lt;&gt;"",'CDO Bespoke'!O63,"")</f>
        <v>9.7869610422696193E-2</v>
      </c>
      <c r="AA62" s="641">
        <f ca="1">IF(Z62&lt;&gt;"",ABS(MIN(-0.6*'CDO Bespoke'!K63+'CDO Bespoke'!T63*'CDO Bespoke'!K63,0)),"")</f>
        <v>8.6417309104292711E-2</v>
      </c>
      <c r="AB62" s="641">
        <f t="shared" ca="1" si="3"/>
        <v>1.1452301318403482E-2</v>
      </c>
      <c r="AC62" s="488">
        <f t="shared" ca="1" si="4"/>
        <v>0</v>
      </c>
      <c r="AD62" s="272"/>
      <c r="AE62" s="493" t="str">
        <f ca="1">IF('CDO Bespoke'!C87&lt;&gt;"",'CDO Bespoke'!C87,"")</f>
        <v>Kering</v>
      </c>
      <c r="AF62" s="495">
        <f ca="1"/>
        <v>-5.4417515993332444E-4</v>
      </c>
      <c r="AG62" s="583">
        <f ca="1"/>
        <v>-5.953261600355475E-4</v>
      </c>
      <c r="AH62" s="583">
        <f ca="1"/>
        <v>1.3267713899756117E-3</v>
      </c>
      <c r="AI62" s="583">
        <f ca="1"/>
        <v>0.68178090530002233</v>
      </c>
      <c r="AJ62" s="496">
        <f ca="1"/>
        <v>0</v>
      </c>
      <c r="AK62" s="618">
        <f ca="1"/>
        <v>0</v>
      </c>
      <c r="AL62" s="495">
        <f ca="1"/>
        <v>3.3452694980003889E-4</v>
      </c>
      <c r="AM62" s="583">
        <f ca="1"/>
        <v>1.6330581316002443E-3</v>
      </c>
      <c r="AN62" s="583">
        <f ca="1"/>
        <v>7.1340546129025281E-3</v>
      </c>
      <c r="AO62" s="583">
        <f ca="1"/>
        <v>0.65193671245130069</v>
      </c>
      <c r="AP62" s="496">
        <f ca="1"/>
        <v>0</v>
      </c>
      <c r="AQ62" s="618">
        <f ca="1"/>
        <v>0</v>
      </c>
      <c r="AR62" s="495">
        <f ca="1"/>
        <v>-1.264981503039353E-2</v>
      </c>
      <c r="AS62" s="496">
        <f ca="1"/>
        <v>-3.2201098797003447E-2</v>
      </c>
      <c r="AT62" s="618">
        <f ca="1"/>
        <v>0</v>
      </c>
      <c r="AU62" s="495">
        <f ca="1"/>
        <v>-0.1142593395140554</v>
      </c>
      <c r="AV62" s="496">
        <f ca="1"/>
        <v>1.2512016906170986E-3</v>
      </c>
      <c r="AW62" s="618">
        <f ca="1"/>
        <v>0</v>
      </c>
    </row>
    <row r="63" spans="2:49">
      <c r="B63" s="533" t="s">
        <v>610</v>
      </c>
      <c r="C63" s="534" t="s">
        <v>66</v>
      </c>
      <c r="D63" s="534" t="s">
        <v>59</v>
      </c>
      <c r="E63" s="534" t="s">
        <v>647</v>
      </c>
      <c r="F63" s="534" t="s">
        <v>646</v>
      </c>
      <c r="G63" s="535">
        <v>0.01</v>
      </c>
      <c r="H63" s="535">
        <v>1.2491E-2</v>
      </c>
      <c r="I63" s="536">
        <v>0.4</v>
      </c>
      <c r="J63" s="593">
        <v>4</v>
      </c>
      <c r="K63" s="537">
        <v>13</v>
      </c>
      <c r="L63" s="272"/>
      <c r="M63" s="272"/>
      <c r="P63" s="273"/>
      <c r="Q63" s="273"/>
      <c r="R63" s="273"/>
      <c r="S63" s="273"/>
      <c r="T63" s="575">
        <f ca="1"/>
        <v>0.06</v>
      </c>
      <c r="U63" s="572">
        <f ca="1"/>
        <v>55</v>
      </c>
      <c r="V63" s="484">
        <f ca="1">IF('CDO Bespoke'!O64&lt;&gt;"",'CDO Bespoke'!O64,"")</f>
        <v>9.8362336560103195E-2</v>
      </c>
      <c r="W63" s="641">
        <f t="shared" ca="1" si="1"/>
        <v>0</v>
      </c>
      <c r="X63" s="641">
        <f t="shared" ca="1" si="0"/>
        <v>9.8362336560103195E-2</v>
      </c>
      <c r="Y63" s="488">
        <f t="shared" ca="1" si="2"/>
        <v>0</v>
      </c>
      <c r="Z63" s="484">
        <f ca="1">IF('CDO Bespoke'!O64&lt;&gt;"",'CDO Bespoke'!O64,"")</f>
        <v>9.8362336560103195E-2</v>
      </c>
      <c r="AA63" s="641">
        <f ca="1">IF(Z63&lt;&gt;"",ABS(MIN(-0.6*'CDO Bespoke'!K64+'CDO Bespoke'!T64*'CDO Bespoke'!K64,0)),"")</f>
        <v>7.9213251389210121E-2</v>
      </c>
      <c r="AB63" s="641">
        <f t="shared" ca="1" si="3"/>
        <v>1.9149085170893074E-2</v>
      </c>
      <c r="AC63" s="488">
        <f t="shared" ca="1" si="4"/>
        <v>0</v>
      </c>
      <c r="AD63" s="272"/>
      <c r="AE63" s="493" t="str">
        <f ca="1">IF('CDO Bespoke'!C88&lt;&gt;"",'CDO Bespoke'!C88,"")</f>
        <v>Koninklijke Ahold Delhaize N.V.</v>
      </c>
      <c r="AF63" s="495">
        <f ca="1"/>
        <v>-4.6186914298695925E-3</v>
      </c>
      <c r="AG63" s="583">
        <f ca="1"/>
        <v>-1.8903215390220218E-2</v>
      </c>
      <c r="AH63" s="583">
        <f ca="1"/>
        <v>-7.4729725080269205E-2</v>
      </c>
      <c r="AI63" s="583">
        <f ca="1"/>
        <v>1.1408321691097623</v>
      </c>
      <c r="AJ63" s="496">
        <f ca="1"/>
        <v>0</v>
      </c>
      <c r="AK63" s="618">
        <f ca="1"/>
        <v>0</v>
      </c>
      <c r="AL63" s="495">
        <f ca="1"/>
        <v>-1.5991471439755212E-3</v>
      </c>
      <c r="AM63" s="583">
        <f ca="1"/>
        <v>-7.4832416959921821E-3</v>
      </c>
      <c r="AN63" s="583">
        <f ca="1"/>
        <v>-3.495639170399828E-2</v>
      </c>
      <c r="AO63" s="583">
        <f ca="1"/>
        <v>0.87926851707602338</v>
      </c>
      <c r="AP63" s="496">
        <f ca="1"/>
        <v>0</v>
      </c>
      <c r="AQ63" s="618">
        <f ca="1"/>
        <v>0</v>
      </c>
      <c r="AR63" s="495">
        <f ca="1"/>
        <v>1.2027308917268165E-2</v>
      </c>
      <c r="AS63" s="496">
        <f ca="1"/>
        <v>-2.2880866342631145E-2</v>
      </c>
      <c r="AT63" s="618">
        <f ca="1"/>
        <v>0</v>
      </c>
      <c r="AU63" s="495">
        <f ca="1"/>
        <v>-8.9509156340903659E-2</v>
      </c>
      <c r="AV63" s="496">
        <f ca="1"/>
        <v>0.1192259539624493</v>
      </c>
      <c r="AW63" s="618">
        <f ca="1"/>
        <v>0</v>
      </c>
    </row>
    <row r="64" spans="2:49">
      <c r="B64" s="538" t="s">
        <v>517</v>
      </c>
      <c r="C64" s="539" t="s">
        <v>66</v>
      </c>
      <c r="D64" s="539" t="s">
        <v>55</v>
      </c>
      <c r="E64" s="539" t="s">
        <v>647</v>
      </c>
      <c r="F64" s="539" t="s">
        <v>646</v>
      </c>
      <c r="G64" s="540">
        <v>0.01</v>
      </c>
      <c r="H64" s="540">
        <v>2.905E-3</v>
      </c>
      <c r="I64" s="541">
        <v>0.4</v>
      </c>
      <c r="J64" s="600">
        <v>4</v>
      </c>
      <c r="K64" s="542">
        <v>14</v>
      </c>
      <c r="L64" s="272"/>
      <c r="M64" s="272"/>
      <c r="P64" s="273"/>
      <c r="Q64" s="273"/>
      <c r="R64" s="273"/>
      <c r="S64" s="273"/>
      <c r="T64" s="575">
        <f ca="1"/>
        <v>0.06</v>
      </c>
      <c r="U64" s="572">
        <f ca="1"/>
        <v>56</v>
      </c>
      <c r="V64" s="484">
        <f ca="1">IF('CDO Bespoke'!O65&lt;&gt;"",'CDO Bespoke'!O65,"")</f>
        <v>9.7542971823266197E-2</v>
      </c>
      <c r="W64" s="641">
        <f t="shared" ca="1" si="1"/>
        <v>0</v>
      </c>
      <c r="X64" s="641">
        <f t="shared" ca="1" si="0"/>
        <v>9.7542971823266197E-2</v>
      </c>
      <c r="Y64" s="488">
        <f t="shared" ca="1" si="2"/>
        <v>0</v>
      </c>
      <c r="Z64" s="484">
        <f ca="1">IF('CDO Bespoke'!O65&lt;&gt;"",'CDO Bespoke'!O65,"")</f>
        <v>9.7542971823266197E-2</v>
      </c>
      <c r="AA64" s="641">
        <f ca="1">IF(Z64&lt;&gt;"",ABS(MIN(-0.6*'CDO Bespoke'!K65+'CDO Bespoke'!T65*'CDO Bespoke'!K65,0)),"")</f>
        <v>8.9503428115387432E-2</v>
      </c>
      <c r="AB64" s="641">
        <f t="shared" ca="1" si="3"/>
        <v>8.0395437078787657E-3</v>
      </c>
      <c r="AC64" s="488">
        <f t="shared" ca="1" si="4"/>
        <v>0</v>
      </c>
      <c r="AD64" s="272"/>
      <c r="AE64" s="493" t="str">
        <f ca="1">IF('CDO Bespoke'!C89&lt;&gt;"",'CDO Bespoke'!C89,"")</f>
        <v>Koninklijke Philips N.V.</v>
      </c>
      <c r="AF64" s="495">
        <f ca="1"/>
        <v>-6.7936295977677474E-4</v>
      </c>
      <c r="AG64" s="583">
        <f ca="1"/>
        <v>-1.08081203986643E-3</v>
      </c>
      <c r="AH64" s="583">
        <f ca="1"/>
        <v>-3.4967690021314723E-4</v>
      </c>
      <c r="AI64" s="583">
        <f ca="1"/>
        <v>0.72766628399001387</v>
      </c>
      <c r="AJ64" s="496">
        <f ca="1"/>
        <v>0</v>
      </c>
      <c r="AK64" s="618">
        <f ca="1"/>
        <v>0</v>
      </c>
      <c r="AL64" s="495">
        <f ca="1"/>
        <v>3.1245756139993558E-4</v>
      </c>
      <c r="AM64" s="583">
        <f ca="1"/>
        <v>1.532843421398096E-3</v>
      </c>
      <c r="AN64" s="583">
        <f ca="1"/>
        <v>6.6027362698997324E-3</v>
      </c>
      <c r="AO64" s="583">
        <f ca="1"/>
        <v>0.68799933248689726</v>
      </c>
      <c r="AP64" s="496">
        <f ca="1"/>
        <v>0</v>
      </c>
      <c r="AQ64" s="618">
        <f ca="1"/>
        <v>0</v>
      </c>
      <c r="AR64" s="495">
        <f ca="1"/>
        <v>-1.056331236196012E-2</v>
      </c>
      <c r="AS64" s="496">
        <f ca="1"/>
        <v>-3.3905199760077886E-2</v>
      </c>
      <c r="AT64" s="618">
        <f ca="1"/>
        <v>0</v>
      </c>
      <c r="AU64" s="495">
        <f ca="1"/>
        <v>-0.11250009794530234</v>
      </c>
      <c r="AV64" s="496">
        <f ca="1"/>
        <v>3.575584985750651E-3</v>
      </c>
      <c r="AW64" s="618">
        <f ca="1"/>
        <v>0</v>
      </c>
    </row>
    <row r="65" spans="2:49">
      <c r="B65" s="516" t="s">
        <v>517</v>
      </c>
      <c r="C65" s="517" t="s">
        <v>66</v>
      </c>
      <c r="D65" s="517" t="s">
        <v>57</v>
      </c>
      <c r="E65" s="517" t="s">
        <v>647</v>
      </c>
      <c r="F65" s="517" t="s">
        <v>646</v>
      </c>
      <c r="G65" s="524">
        <v>0.01</v>
      </c>
      <c r="H65" s="524">
        <v>4.709E-2</v>
      </c>
      <c r="I65" s="526">
        <v>0.4</v>
      </c>
      <c r="J65" s="592">
        <v>4</v>
      </c>
      <c r="K65" s="518">
        <v>14</v>
      </c>
      <c r="L65" s="272"/>
      <c r="M65" s="272"/>
      <c r="P65" s="273"/>
      <c r="Q65" s="273"/>
      <c r="R65" s="273"/>
      <c r="S65" s="273"/>
      <c r="T65" s="575">
        <f ca="1"/>
        <v>0.06</v>
      </c>
      <c r="U65" s="572">
        <f ca="1"/>
        <v>57</v>
      </c>
      <c r="V65" s="484">
        <f ca="1">IF('CDO Bespoke'!O66&lt;&gt;"",'CDO Bespoke'!O66,"")</f>
        <v>9.4886869457965206E-2</v>
      </c>
      <c r="W65" s="641">
        <f t="shared" ca="1" si="1"/>
        <v>0</v>
      </c>
      <c r="X65" s="641">
        <f t="shared" ca="1" si="0"/>
        <v>9.4886869457965206E-2</v>
      </c>
      <c r="Y65" s="488">
        <f t="shared" ca="1" si="2"/>
        <v>0</v>
      </c>
      <c r="Z65" s="484">
        <f ca="1">IF('CDO Bespoke'!O66&lt;&gt;"",'CDO Bespoke'!O66,"")</f>
        <v>9.4886869457965206E-2</v>
      </c>
      <c r="AA65" s="641">
        <f ca="1">IF(Z65&lt;&gt;"",ABS(MIN(-0.6*'CDO Bespoke'!K66+'CDO Bespoke'!T66*'CDO Bespoke'!K66,0)),"")</f>
        <v>9.8260953368004153E-2</v>
      </c>
      <c r="AB65" s="641">
        <f t="shared" ca="1" si="3"/>
        <v>0</v>
      </c>
      <c r="AC65" s="488">
        <f t="shared" ca="1" si="4"/>
        <v>0</v>
      </c>
      <c r="AD65" s="272"/>
      <c r="AE65" s="493" t="str">
        <f ca="1">IF('CDO Bespoke'!C90&lt;&gt;"",'CDO Bespoke'!C90,"")</f>
        <v>Louis Dreyfus Company B.V.</v>
      </c>
      <c r="AF65" s="495">
        <f ca="1"/>
        <v>-1.9392807898421793E-3</v>
      </c>
      <c r="AG65" s="583">
        <f ca="1"/>
        <v>-6.251884899777238E-3</v>
      </c>
      <c r="AH65" s="583">
        <f ca="1"/>
        <v>-2.0777586670073234E-2</v>
      </c>
      <c r="AI65" s="583">
        <f ca="1"/>
        <v>0.99801639396990272</v>
      </c>
      <c r="AJ65" s="496">
        <f ca="1"/>
        <v>0</v>
      </c>
      <c r="AK65" s="618">
        <f ca="1"/>
        <v>0</v>
      </c>
      <c r="AL65" s="495">
        <f ca="1"/>
        <v>-1.1672677579935634E-4</v>
      </c>
      <c r="AM65" s="583">
        <f ca="1"/>
        <v>-4.858095665983761E-4</v>
      </c>
      <c r="AN65" s="583">
        <f ca="1"/>
        <v>-3.0945126734986325E-3</v>
      </c>
      <c r="AO65" s="583">
        <f ca="1"/>
        <v>0.87250175621219905</v>
      </c>
      <c r="AP65" s="496">
        <f ca="1"/>
        <v>0</v>
      </c>
      <c r="AQ65" s="618">
        <f ca="1"/>
        <v>0</v>
      </c>
      <c r="AR65" s="495">
        <f ca="1"/>
        <v>1.975115219517487E-3</v>
      </c>
      <c r="AS65" s="496">
        <f ca="1"/>
        <v>-4.007054771704649E-2</v>
      </c>
      <c r="AT65" s="618">
        <f ca="1"/>
        <v>0</v>
      </c>
      <c r="AU65" s="495">
        <f ca="1"/>
        <v>-0.1008983621136391</v>
      </c>
      <c r="AV65" s="496">
        <f ca="1"/>
        <v>3.1764806348948418E-2</v>
      </c>
      <c r="AW65" s="618">
        <f ca="1"/>
        <v>0</v>
      </c>
    </row>
    <row r="66" spans="2:49">
      <c r="B66" s="533" t="s">
        <v>517</v>
      </c>
      <c r="C66" s="534" t="s">
        <v>66</v>
      </c>
      <c r="D66" s="534" t="s">
        <v>59</v>
      </c>
      <c r="E66" s="534" t="s">
        <v>647</v>
      </c>
      <c r="F66" s="534" t="s">
        <v>646</v>
      </c>
      <c r="G66" s="535">
        <v>0.01</v>
      </c>
      <c r="H66" s="535">
        <v>6.6230000000000004E-3</v>
      </c>
      <c r="I66" s="536">
        <v>0.4</v>
      </c>
      <c r="J66" s="593">
        <v>4</v>
      </c>
      <c r="K66" s="537">
        <v>14</v>
      </c>
      <c r="L66" s="272"/>
      <c r="M66" s="272"/>
      <c r="P66" s="273"/>
      <c r="Q66" s="273"/>
      <c r="R66" s="273"/>
      <c r="S66" s="273"/>
      <c r="T66" s="575">
        <f ca="1"/>
        <v>0.06</v>
      </c>
      <c r="U66" s="572">
        <f ca="1"/>
        <v>58</v>
      </c>
      <c r="V66" s="484">
        <f ca="1">IF('CDO Bespoke'!O67&lt;&gt;"",'CDO Bespoke'!O67,"")</f>
        <v>9.8396463996670194E-2</v>
      </c>
      <c r="W66" s="641">
        <f t="shared" ca="1" si="1"/>
        <v>0</v>
      </c>
      <c r="X66" s="641">
        <f t="shared" ca="1" si="0"/>
        <v>9.8396463996670194E-2</v>
      </c>
      <c r="Y66" s="488">
        <f t="shared" ca="1" si="2"/>
        <v>0</v>
      </c>
      <c r="Z66" s="484">
        <f ca="1">IF('CDO Bespoke'!O67&lt;&gt;"",'CDO Bespoke'!O67,"")</f>
        <v>9.8396463996670194E-2</v>
      </c>
      <c r="AA66" s="641">
        <f ca="1">IF(Z66&lt;&gt;"",ABS(MIN(-0.6*'CDO Bespoke'!K67+'CDO Bespoke'!T67*'CDO Bespoke'!K67,0)),"")</f>
        <v>7.8532097113993476E-2</v>
      </c>
      <c r="AB66" s="641">
        <f t="shared" ca="1" si="3"/>
        <v>1.9864366882676718E-2</v>
      </c>
      <c r="AC66" s="488">
        <f t="shared" ca="1" si="4"/>
        <v>0</v>
      </c>
      <c r="AD66" s="272"/>
      <c r="AE66" s="493" t="str">
        <f ca="1">IF('CDO Bespoke'!C91&lt;&gt;"",'CDO Bespoke'!C91,"")</f>
        <v>LVMH MOET HENNESSY LOUIS VUITTON</v>
      </c>
      <c r="AF66" s="495">
        <f ca="1"/>
        <v>-3.0208808010634414E-4</v>
      </c>
      <c r="AG66" s="583">
        <f ca="1"/>
        <v>2.1646512970985299E-4</v>
      </c>
      <c r="AH66" s="583">
        <f ca="1"/>
        <v>3.9140901098022596E-3</v>
      </c>
      <c r="AI66" s="583">
        <f ca="1"/>
        <v>0.58259721678000087</v>
      </c>
      <c r="AJ66" s="496">
        <f ca="1"/>
        <v>0</v>
      </c>
      <c r="AK66" s="618">
        <f ca="1"/>
        <v>0</v>
      </c>
      <c r="AL66" s="495">
        <f ca="1"/>
        <v>3.5294782500285005E-4</v>
      </c>
      <c r="AM66" s="583">
        <f ca="1"/>
        <v>1.711214253604168E-3</v>
      </c>
      <c r="AN66" s="583">
        <f ca="1"/>
        <v>7.6110866431035318E-3</v>
      </c>
      <c r="AO66" s="583">
        <f ca="1"/>
        <v>0.57049502343030012</v>
      </c>
      <c r="AP66" s="496">
        <f ca="1"/>
        <v>0</v>
      </c>
      <c r="AQ66" s="618">
        <f ca="1"/>
        <v>0</v>
      </c>
      <c r="AR66" s="495">
        <f ca="1"/>
        <v>-1.7159872626412664E-2</v>
      </c>
      <c r="AS66" s="496">
        <f ca="1"/>
        <v>-2.818730725095131E-2</v>
      </c>
      <c r="AT66" s="618">
        <f ca="1"/>
        <v>0</v>
      </c>
      <c r="AU66" s="495">
        <f ca="1"/>
        <v>-0.11792666310030989</v>
      </c>
      <c r="AV66" s="496">
        <f ca="1"/>
        <v>-2.4015991735598166E-3</v>
      </c>
      <c r="AW66" s="618">
        <f ca="1"/>
        <v>0</v>
      </c>
    </row>
    <row r="67" spans="2:49">
      <c r="B67" s="538" t="s">
        <v>518</v>
      </c>
      <c r="C67" s="539" t="s">
        <v>66</v>
      </c>
      <c r="D67" s="539" t="s">
        <v>55</v>
      </c>
      <c r="E67" s="539" t="s">
        <v>647</v>
      </c>
      <c r="F67" s="539" t="s">
        <v>668</v>
      </c>
      <c r="G67" s="540">
        <v>0.01</v>
      </c>
      <c r="H67" s="540">
        <v>5.1570000000000001E-3</v>
      </c>
      <c r="I67" s="541">
        <v>0.4</v>
      </c>
      <c r="J67" s="600">
        <v>5</v>
      </c>
      <c r="K67" s="542">
        <v>15</v>
      </c>
      <c r="L67" s="272"/>
      <c r="M67" s="272"/>
      <c r="P67" s="273"/>
      <c r="Q67" s="273"/>
      <c r="R67" s="273"/>
      <c r="S67" s="273"/>
      <c r="T67" s="575">
        <f ca="1"/>
        <v>0.06</v>
      </c>
      <c r="U67" s="572">
        <f ca="1"/>
        <v>59</v>
      </c>
      <c r="V67" s="484">
        <f ca="1">IF('CDO Bespoke'!O68&lt;&gt;"",'CDO Bespoke'!O68,"")</f>
        <v>9.8308198753484205E-2</v>
      </c>
      <c r="W67" s="641">
        <f t="shared" ca="1" si="1"/>
        <v>0</v>
      </c>
      <c r="X67" s="641">
        <f t="shared" ca="1" si="0"/>
        <v>9.8308198753484205E-2</v>
      </c>
      <c r="Y67" s="488">
        <f t="shared" ca="1" si="2"/>
        <v>0</v>
      </c>
      <c r="Z67" s="484">
        <f ca="1">IF('CDO Bespoke'!O68&lt;&gt;"",'CDO Bespoke'!O68,"")</f>
        <v>9.8308198753484205E-2</v>
      </c>
      <c r="AA67" s="641">
        <f ca="1">IF(Z67&lt;&gt;"",ABS(MIN(-0.6*'CDO Bespoke'!K68+'CDO Bespoke'!T68*'CDO Bespoke'!K68,0)),"")</f>
        <v>8.0230451393875579E-2</v>
      </c>
      <c r="AB67" s="641">
        <f t="shared" ca="1" si="3"/>
        <v>1.8077747359608626E-2</v>
      </c>
      <c r="AC67" s="488">
        <f t="shared" ca="1" si="4"/>
        <v>0</v>
      </c>
      <c r="AD67" s="272"/>
      <c r="AE67" s="493" t="str">
        <f ca="1">IF('CDO Bespoke'!C92&lt;&gt;"",'CDO Bespoke'!C92,"")</f>
        <v>Nestle S.A.</v>
      </c>
      <c r="AF67" s="495">
        <f ca="1"/>
        <v>-1.9520835004005477E-4</v>
      </c>
      <c r="AG67" s="583">
        <f ca="1"/>
        <v>6.8173588996245371E-4</v>
      </c>
      <c r="AH67" s="583">
        <f ca="1"/>
        <v>5.6859903396766498E-3</v>
      </c>
      <c r="AI67" s="583">
        <f ca="1"/>
        <v>0.54736105586983275</v>
      </c>
      <c r="AJ67" s="496">
        <f ca="1"/>
        <v>0</v>
      </c>
      <c r="AK67" s="618">
        <f ca="1"/>
        <v>0</v>
      </c>
      <c r="AL67" s="495">
        <f ca="1"/>
        <v>3.5026871909871193E-4</v>
      </c>
      <c r="AM67" s="583">
        <f ca="1"/>
        <v>1.6967329651007557E-3</v>
      </c>
      <c r="AN67" s="583">
        <f ca="1"/>
        <v>7.5904032014991255E-3</v>
      </c>
      <c r="AO67" s="583">
        <f ca="1"/>
        <v>0.54132829097679969</v>
      </c>
      <c r="AP67" s="496">
        <f ca="1"/>
        <v>0</v>
      </c>
      <c r="AQ67" s="618">
        <f ca="1"/>
        <v>0</v>
      </c>
      <c r="AR67" s="495">
        <f ca="1"/>
        <v>-1.8644575740534408E-2</v>
      </c>
      <c r="AS67" s="496">
        <f ca="1"/>
        <v>-2.6731466199475584E-2</v>
      </c>
      <c r="AT67" s="618">
        <f ca="1"/>
        <v>0</v>
      </c>
      <c r="AU67" s="495">
        <f ca="1"/>
        <v>-0.11901841221732774</v>
      </c>
      <c r="AV67" s="496">
        <f ca="1"/>
        <v>-3.1987439455709483E-3</v>
      </c>
      <c r="AW67" s="618">
        <f ca="1"/>
        <v>0</v>
      </c>
    </row>
    <row r="68" spans="2:49">
      <c r="B68" s="516" t="s">
        <v>518</v>
      </c>
      <c r="C68" s="517" t="s">
        <v>66</v>
      </c>
      <c r="D68" s="517" t="s">
        <v>57</v>
      </c>
      <c r="E68" s="517" t="s">
        <v>647</v>
      </c>
      <c r="F68" s="517" t="s">
        <v>668</v>
      </c>
      <c r="G68" s="524">
        <v>0.01</v>
      </c>
      <c r="H68" s="524">
        <v>9.7490000000000007E-3</v>
      </c>
      <c r="I68" s="526">
        <v>0.4</v>
      </c>
      <c r="J68" s="592">
        <v>5</v>
      </c>
      <c r="K68" s="518">
        <v>15</v>
      </c>
      <c r="L68" s="272"/>
      <c r="M68" s="272"/>
      <c r="P68" s="273"/>
      <c r="Q68" s="273"/>
      <c r="R68" s="273"/>
      <c r="S68" s="273"/>
      <c r="T68" s="575">
        <f ca="1"/>
        <v>0.03</v>
      </c>
      <c r="U68" s="572">
        <f ca="1"/>
        <v>60</v>
      </c>
      <c r="V68" s="484">
        <f ca="1">IF('CDO Bespoke'!O69&lt;&gt;"",'CDO Bespoke'!O69,"")</f>
        <v>9.8061829710337195E-2</v>
      </c>
      <c r="W68" s="641">
        <f t="shared" ca="1" si="1"/>
        <v>0</v>
      </c>
      <c r="X68" s="641">
        <f t="shared" ca="1" si="0"/>
        <v>9.8061829710337195E-2</v>
      </c>
      <c r="Y68" s="488">
        <f t="shared" ca="1" si="2"/>
        <v>0</v>
      </c>
      <c r="Z68" s="484">
        <f ca="1">IF('CDO Bespoke'!O69&lt;&gt;"",'CDO Bespoke'!O69,"")</f>
        <v>9.8061829710337195E-2</v>
      </c>
      <c r="AA68" s="641">
        <f ca="1">IF(Z68&lt;&gt;"",ABS(MIN(-0.6*'CDO Bespoke'!K69+'CDO Bespoke'!T69*'CDO Bespoke'!K69,0)),"")</f>
        <v>8.4076914611380726E-2</v>
      </c>
      <c r="AB68" s="641">
        <f t="shared" ca="1" si="3"/>
        <v>1.3984915098956469E-2</v>
      </c>
      <c r="AC68" s="488">
        <f t="shared" ca="1" si="4"/>
        <v>0</v>
      </c>
      <c r="AD68" s="272"/>
      <c r="AE68" s="493" t="str">
        <f ca="1">IF('CDO Bespoke'!C93&lt;&gt;"",'CDO Bespoke'!C93,"")</f>
        <v>NEXT PLC</v>
      </c>
      <c r="AF68" s="495">
        <f ca="1"/>
        <v>-6.9709682026797282E-4</v>
      </c>
      <c r="AG68" s="583">
        <f ca="1"/>
        <v>-1.2789836201232418E-3</v>
      </c>
      <c r="AH68" s="583">
        <f ca="1"/>
        <v>-1.4366053902037379E-3</v>
      </c>
      <c r="AI68" s="583">
        <f ca="1"/>
        <v>0.72503795306988472</v>
      </c>
      <c r="AJ68" s="496">
        <f ca="1"/>
        <v>0</v>
      </c>
      <c r="AK68" s="618">
        <f ca="1"/>
        <v>0</v>
      </c>
      <c r="AL68" s="495">
        <f ca="1"/>
        <v>3.1840504200256192E-4</v>
      </c>
      <c r="AM68" s="583">
        <f ca="1"/>
        <v>1.5586208778999022E-3</v>
      </c>
      <c r="AN68" s="583">
        <f ca="1"/>
        <v>6.6994265934990083E-3</v>
      </c>
      <c r="AO68" s="583">
        <f ca="1"/>
        <v>0.6853538831834991</v>
      </c>
      <c r="AP68" s="496">
        <f ca="1"/>
        <v>0</v>
      </c>
      <c r="AQ68" s="618">
        <f ca="1"/>
        <v>0</v>
      </c>
      <c r="AR68" s="495">
        <f ca="1"/>
        <v>-1.085525157529349E-2</v>
      </c>
      <c r="AS68" s="496">
        <f ca="1"/>
        <v>-3.3779010747015503E-2</v>
      </c>
      <c r="AT68" s="618">
        <f ca="1"/>
        <v>0</v>
      </c>
      <c r="AU68" s="495">
        <f ca="1"/>
        <v>-0.11292246634900167</v>
      </c>
      <c r="AV68" s="496">
        <f ca="1"/>
        <v>3.0967226798259868E-3</v>
      </c>
      <c r="AW68" s="618">
        <f ca="1"/>
        <v>0</v>
      </c>
    </row>
    <row r="69" spans="2:49">
      <c r="B69" s="533" t="s">
        <v>518</v>
      </c>
      <c r="C69" s="534" t="s">
        <v>66</v>
      </c>
      <c r="D69" s="534" t="s">
        <v>59</v>
      </c>
      <c r="E69" s="534" t="s">
        <v>647</v>
      </c>
      <c r="F69" s="534" t="s">
        <v>668</v>
      </c>
      <c r="G69" s="535">
        <v>0.01</v>
      </c>
      <c r="H69" s="535">
        <v>1.2806E-2</v>
      </c>
      <c r="I69" s="536">
        <v>0.4</v>
      </c>
      <c r="J69" s="593">
        <v>5</v>
      </c>
      <c r="K69" s="537">
        <v>15</v>
      </c>
      <c r="L69" s="272"/>
      <c r="M69" s="272"/>
      <c r="P69" s="273"/>
      <c r="Q69" s="273"/>
      <c r="R69" s="273"/>
      <c r="S69" s="273"/>
      <c r="T69" s="575">
        <f ca="1"/>
        <v>0.03</v>
      </c>
      <c r="U69" s="572">
        <f ca="1"/>
        <v>61</v>
      </c>
      <c r="V69" s="484">
        <f ca="1">IF('CDO Bespoke'!O70&lt;&gt;"",'CDO Bespoke'!O70,"")</f>
        <v>9.8103189503539204E-2</v>
      </c>
      <c r="W69" s="641">
        <f t="shared" ca="1" si="1"/>
        <v>0</v>
      </c>
      <c r="X69" s="641">
        <f t="shared" ca="1" si="0"/>
        <v>9.8103189503539204E-2</v>
      </c>
      <c r="Y69" s="488">
        <f t="shared" ca="1" si="2"/>
        <v>0</v>
      </c>
      <c r="Z69" s="484">
        <f ca="1">IF('CDO Bespoke'!O70&lt;&gt;"",'CDO Bespoke'!O70,"")</f>
        <v>9.8103189503539204E-2</v>
      </c>
      <c r="AA69" s="641">
        <f ca="1">IF(Z69&lt;&gt;"",ABS(MIN(-0.6*'CDO Bespoke'!K70+'CDO Bespoke'!T70*'CDO Bespoke'!K70,0)),"")</f>
        <v>8.3506713741438643E-2</v>
      </c>
      <c r="AB69" s="641">
        <f t="shared" ca="1" si="3"/>
        <v>1.4596475762100561E-2</v>
      </c>
      <c r="AC69" s="488">
        <f t="shared" ca="1" si="4"/>
        <v>0</v>
      </c>
      <c r="AD69" s="272"/>
      <c r="AE69" s="493" t="str">
        <f ca="1">IF('CDO Bespoke'!C94&lt;&gt;"",'CDO Bespoke'!C94,"")</f>
        <v>PERNOD RICARD</v>
      </c>
      <c r="AF69" s="495">
        <f ca="1"/>
        <v>-4.2952872980617229E-4</v>
      </c>
      <c r="AG69" s="583">
        <f ca="1"/>
        <v>-1.9211258028839495E-4</v>
      </c>
      <c r="AH69" s="583">
        <f ca="1"/>
        <v>2.6786271400958128E-3</v>
      </c>
      <c r="AI69" s="583">
        <f ca="1"/>
        <v>0.63879748869011266</v>
      </c>
      <c r="AJ69" s="496">
        <f ca="1"/>
        <v>0</v>
      </c>
      <c r="AK69" s="618">
        <f ca="1"/>
        <v>0</v>
      </c>
      <c r="AL69" s="495">
        <f ca="1"/>
        <v>3.4683291000054545E-4</v>
      </c>
      <c r="AM69" s="583">
        <f ca="1"/>
        <v>1.6874609177998032E-3</v>
      </c>
      <c r="AN69" s="583">
        <f ca="1"/>
        <v>7.4414294301983902E-3</v>
      </c>
      <c r="AO69" s="583">
        <f ca="1"/>
        <v>0.61725375719500097</v>
      </c>
      <c r="AP69" s="496">
        <f ca="1"/>
        <v>0</v>
      </c>
      <c r="AQ69" s="618">
        <f ca="1"/>
        <v>0</v>
      </c>
      <c r="AR69" s="495">
        <f ca="1"/>
        <v>-1.4594140476596296E-2</v>
      </c>
      <c r="AS69" s="496">
        <f ca="1"/>
        <v>-3.0513828983236679E-2</v>
      </c>
      <c r="AT69" s="618">
        <f ca="1"/>
        <v>0</v>
      </c>
      <c r="AU69" s="495">
        <f ca="1"/>
        <v>-0.11585321847673383</v>
      </c>
      <c r="AV69" s="496">
        <f ca="1"/>
        <v>-5.2812657189208953E-4</v>
      </c>
      <c r="AW69" s="618">
        <f ca="1"/>
        <v>0</v>
      </c>
    </row>
    <row r="70" spans="2:49">
      <c r="B70" s="538" t="s">
        <v>533</v>
      </c>
      <c r="C70" s="539" t="s">
        <v>66</v>
      </c>
      <c r="D70" s="539" t="s">
        <v>55</v>
      </c>
      <c r="E70" s="539" t="s">
        <v>647</v>
      </c>
      <c r="F70" s="539" t="s">
        <v>670</v>
      </c>
      <c r="G70" s="540">
        <v>0.01</v>
      </c>
      <c r="H70" s="540">
        <v>5.1190000000000003E-3</v>
      </c>
      <c r="I70" s="541">
        <v>0.4</v>
      </c>
      <c r="J70" s="600">
        <v>4</v>
      </c>
      <c r="K70" s="542">
        <v>16</v>
      </c>
      <c r="L70" s="272"/>
      <c r="M70" s="272"/>
      <c r="P70" s="273"/>
      <c r="Q70" s="273"/>
      <c r="R70" s="273"/>
      <c r="S70" s="273"/>
      <c r="T70" s="575">
        <f ca="1"/>
        <v>0.06</v>
      </c>
      <c r="U70" s="572">
        <f ca="1"/>
        <v>62</v>
      </c>
      <c r="V70" s="484">
        <f ca="1">IF('CDO Bespoke'!O71&lt;&gt;"",'CDO Bespoke'!O71,"")</f>
        <v>9.8517385588749201E-2</v>
      </c>
      <c r="W70" s="641">
        <f t="shared" ca="1" si="1"/>
        <v>0</v>
      </c>
      <c r="X70" s="641">
        <f t="shared" ca="1" si="0"/>
        <v>9.8517385588749201E-2</v>
      </c>
      <c r="Y70" s="488">
        <f t="shared" ca="1" si="2"/>
        <v>0</v>
      </c>
      <c r="Z70" s="484">
        <f ca="1">IF('CDO Bespoke'!O71&lt;&gt;"",'CDO Bespoke'!O71,"")</f>
        <v>9.8517385588749201E-2</v>
      </c>
      <c r="AA70" s="641">
        <f ca="1">IF(Z70&lt;&gt;"",ABS(MIN(-0.6*'CDO Bespoke'!K71+'CDO Bespoke'!T71*'CDO Bespoke'!K71,0)),"")</f>
        <v>7.5824457200127537E-2</v>
      </c>
      <c r="AB70" s="641">
        <f t="shared" ca="1" si="3"/>
        <v>2.2692928388621664E-2</v>
      </c>
      <c r="AC70" s="488">
        <f t="shared" ca="1" si="4"/>
        <v>0</v>
      </c>
      <c r="AD70" s="272"/>
      <c r="AE70" s="493" t="str">
        <f ca="1">IF('CDO Bespoke'!C95&lt;&gt;"",'CDO Bespoke'!C95,"")</f>
        <v>SODEXO</v>
      </c>
      <c r="AF70" s="495">
        <f ca="1"/>
        <v>-2.1182202991631982E-4</v>
      </c>
      <c r="AG70" s="583">
        <f ca="1"/>
        <v>5.2213041001891725E-4</v>
      </c>
      <c r="AH70" s="583">
        <f ca="1"/>
        <v>4.8702494598318324E-3</v>
      </c>
      <c r="AI70" s="583">
        <f ca="1"/>
        <v>0.54157651455000178</v>
      </c>
      <c r="AJ70" s="496">
        <f ca="1"/>
        <v>0</v>
      </c>
      <c r="AK70" s="618">
        <f ca="1"/>
        <v>0</v>
      </c>
      <c r="AL70" s="495">
        <f ca="1"/>
        <v>3.5061957729971144E-4</v>
      </c>
      <c r="AM70" s="583">
        <f ca="1"/>
        <v>1.696897564398489E-3</v>
      </c>
      <c r="AN70" s="583">
        <f ca="1"/>
        <v>7.5856845748985616E-3</v>
      </c>
      <c r="AO70" s="583">
        <f ca="1"/>
        <v>0.53567470393929995</v>
      </c>
      <c r="AP70" s="496">
        <f ca="1"/>
        <v>0</v>
      </c>
      <c r="AQ70" s="618">
        <f ca="1"/>
        <v>0</v>
      </c>
      <c r="AR70" s="495">
        <f ca="1"/>
        <v>-1.9007027160534207E-2</v>
      </c>
      <c r="AS70" s="496">
        <f ca="1"/>
        <v>-2.6434665163841797E-2</v>
      </c>
      <c r="AT70" s="618">
        <f ca="1"/>
        <v>0</v>
      </c>
      <c r="AU70" s="495">
        <f ca="1"/>
        <v>-0.11937084799462262</v>
      </c>
      <c r="AV70" s="496">
        <f ca="1"/>
        <v>-3.4347654418357028E-3</v>
      </c>
      <c r="AW70" s="618">
        <f ca="1"/>
        <v>0</v>
      </c>
    </row>
    <row r="71" spans="2:49">
      <c r="B71" s="516" t="s">
        <v>533</v>
      </c>
      <c r="C71" s="517" t="s">
        <v>66</v>
      </c>
      <c r="D71" s="517" t="s">
        <v>57</v>
      </c>
      <c r="E71" s="517" t="s">
        <v>647</v>
      </c>
      <c r="F71" s="517" t="s">
        <v>670</v>
      </c>
      <c r="G71" s="524">
        <v>0.01</v>
      </c>
      <c r="H71" s="524">
        <v>1.0839E-2</v>
      </c>
      <c r="I71" s="526">
        <v>0.4</v>
      </c>
      <c r="J71" s="592">
        <v>4</v>
      </c>
      <c r="K71" s="518">
        <v>16</v>
      </c>
      <c r="L71" s="272"/>
      <c r="M71" s="272"/>
      <c r="P71" s="273"/>
      <c r="Q71" s="273"/>
      <c r="R71" s="273"/>
      <c r="S71" s="273"/>
      <c r="T71" s="575">
        <f ca="1"/>
        <v>0.06</v>
      </c>
      <c r="U71" s="572">
        <f ca="1"/>
        <v>63</v>
      </c>
      <c r="V71" s="484">
        <f ca="1">IF('CDO Bespoke'!O72&lt;&gt;"",'CDO Bespoke'!O72,"")</f>
        <v>9.6915724819475205E-2</v>
      </c>
      <c r="W71" s="641">
        <f t="shared" ca="1" si="1"/>
        <v>0</v>
      </c>
      <c r="X71" s="641">
        <f t="shared" ca="1" si="0"/>
        <v>9.6915724819475205E-2</v>
      </c>
      <c r="Y71" s="488">
        <f t="shared" ca="1" si="2"/>
        <v>0</v>
      </c>
      <c r="Z71" s="484">
        <f ca="1">IF('CDO Bespoke'!O72&lt;&gt;"",'CDO Bespoke'!O72,"")</f>
        <v>9.6915724819475205E-2</v>
      </c>
      <c r="AA71" s="641">
        <f ca="1">IF(Z71&lt;&gt;"",ABS(MIN(-0.6*'CDO Bespoke'!K72+'CDO Bespoke'!T72*'CDO Bespoke'!K72,0)),"")</f>
        <v>9.3447040892176828E-2</v>
      </c>
      <c r="AB71" s="641">
        <f t="shared" ca="1" si="3"/>
        <v>3.4686839272983772E-3</v>
      </c>
      <c r="AC71" s="488">
        <f t="shared" ca="1" si="4"/>
        <v>0</v>
      </c>
      <c r="AD71" s="272"/>
      <c r="AE71" s="493" t="str">
        <f ca="1">IF('CDO Bespoke'!C96&lt;&gt;"",'CDO Bespoke'!C96,"")</f>
        <v>Suedzucker AG</v>
      </c>
      <c r="AF71" s="495">
        <f ca="1"/>
        <v>-1.0896112501157518E-3</v>
      </c>
      <c r="AG71" s="583">
        <f ca="1"/>
        <v>-2.7065140001392152E-3</v>
      </c>
      <c r="AH71" s="583">
        <f ca="1"/>
        <v>-6.6293654998883511E-3</v>
      </c>
      <c r="AI71" s="583">
        <f ca="1"/>
        <v>0.84040525360984386</v>
      </c>
      <c r="AJ71" s="496">
        <f ca="1"/>
        <v>0</v>
      </c>
      <c r="AK71" s="618">
        <f ca="1"/>
        <v>0</v>
      </c>
      <c r="AL71" s="495">
        <f ca="1"/>
        <v>2.1438073879911229E-4</v>
      </c>
      <c r="AM71" s="583">
        <f ca="1"/>
        <v>1.0770765901000831E-3</v>
      </c>
      <c r="AN71" s="583">
        <f ca="1"/>
        <v>4.247129194601823E-3</v>
      </c>
      <c r="AO71" s="583">
        <f ca="1"/>
        <v>0.77118353370480164</v>
      </c>
      <c r="AP71" s="496">
        <f ca="1"/>
        <v>0</v>
      </c>
      <c r="AQ71" s="618">
        <f ca="1"/>
        <v>0</v>
      </c>
      <c r="AR71" s="495">
        <f ca="1"/>
        <v>-5.5136991497569676E-3</v>
      </c>
      <c r="AS71" s="496">
        <f ca="1"/>
        <v>-3.7525962145025016E-2</v>
      </c>
      <c r="AT71" s="618">
        <f ca="1"/>
        <v>0</v>
      </c>
      <c r="AU71" s="495">
        <f ca="1"/>
        <v>-0.10820109227965924</v>
      </c>
      <c r="AV71" s="496">
        <f ca="1"/>
        <v>1.1261395695496321E-2</v>
      </c>
      <c r="AW71" s="618">
        <f ca="1"/>
        <v>0</v>
      </c>
    </row>
    <row r="72" spans="2:49">
      <c r="B72" s="533" t="s">
        <v>533</v>
      </c>
      <c r="C72" s="534" t="s">
        <v>66</v>
      </c>
      <c r="D72" s="534" t="s">
        <v>59</v>
      </c>
      <c r="E72" s="534" t="s">
        <v>647</v>
      </c>
      <c r="F72" s="534" t="s">
        <v>670</v>
      </c>
      <c r="G72" s="535">
        <v>0.01</v>
      </c>
      <c r="H72" s="535">
        <v>1.6057999999999999E-2</v>
      </c>
      <c r="I72" s="536">
        <v>0.4</v>
      </c>
      <c r="J72" s="593">
        <v>4</v>
      </c>
      <c r="K72" s="537">
        <v>16</v>
      </c>
      <c r="L72" s="272"/>
      <c r="M72" s="272"/>
      <c r="P72" s="273"/>
      <c r="Q72" s="273"/>
      <c r="R72" s="273"/>
      <c r="S72" s="273"/>
      <c r="T72" s="575">
        <f ca="1"/>
        <v>0.06</v>
      </c>
      <c r="U72" s="572">
        <f ca="1"/>
        <v>64</v>
      </c>
      <c r="V72" s="484">
        <f ca="1">IF('CDO Bespoke'!O73&lt;&gt;"",'CDO Bespoke'!O73,"")</f>
        <v>9.75692080134032E-2</v>
      </c>
      <c r="W72" s="641">
        <f t="shared" ca="1" si="1"/>
        <v>0</v>
      </c>
      <c r="X72" s="641">
        <f t="shared" ca="1" si="0"/>
        <v>9.75692080134032E-2</v>
      </c>
      <c r="Y72" s="488">
        <f t="shared" ca="1" si="2"/>
        <v>0</v>
      </c>
      <c r="Z72" s="484">
        <f ca="1">IF('CDO Bespoke'!O73&lt;&gt;"",'CDO Bespoke'!O73,"")</f>
        <v>9.75692080134032E-2</v>
      </c>
      <c r="AA72" s="641">
        <f ca="1">IF(Z72&lt;&gt;"",ABS(MIN(-0.6*'CDO Bespoke'!K73+'CDO Bespoke'!T73*'CDO Bespoke'!K73,0)),"")</f>
        <v>8.9288450817699178E-2</v>
      </c>
      <c r="AB72" s="641">
        <f t="shared" ca="1" si="3"/>
        <v>8.2807571957040221E-3</v>
      </c>
      <c r="AC72" s="488">
        <f t="shared" ca="1" si="4"/>
        <v>0</v>
      </c>
      <c r="AD72" s="272"/>
      <c r="AE72" s="493" t="str">
        <f ca="1">IF('CDO Bespoke'!C97&lt;&gt;"",'CDO Bespoke'!C97,"")</f>
        <v>TESCO PLC</v>
      </c>
      <c r="AF72" s="495">
        <f ca="1"/>
        <v>-7.4332864030690615E-4</v>
      </c>
      <c r="AG72" s="583">
        <f ca="1"/>
        <v>-1.3520479702489041E-3</v>
      </c>
      <c r="AH72" s="583">
        <f ca="1"/>
        <v>-1.4390322400359423E-3</v>
      </c>
      <c r="AI72" s="583">
        <f ca="1"/>
        <v>0.74613865211015096</v>
      </c>
      <c r="AJ72" s="496">
        <f ca="1"/>
        <v>0</v>
      </c>
      <c r="AK72" s="618">
        <f ca="1"/>
        <v>0</v>
      </c>
      <c r="AL72" s="495">
        <f ca="1"/>
        <v>3.0229308380265441E-4</v>
      </c>
      <c r="AM72" s="583">
        <f ca="1"/>
        <v>1.4857977764012181E-3</v>
      </c>
      <c r="AN72" s="583">
        <f ca="1"/>
        <v>6.3455950845021231E-3</v>
      </c>
      <c r="AO72" s="583">
        <f ca="1"/>
        <v>0.70208201149920058</v>
      </c>
      <c r="AP72" s="496">
        <f ca="1"/>
        <v>0</v>
      </c>
      <c r="AQ72" s="618">
        <f ca="1"/>
        <v>0</v>
      </c>
      <c r="AR72" s="495">
        <f ca="1"/>
        <v>-9.7746766034190191E-3</v>
      </c>
      <c r="AS72" s="496">
        <f ca="1"/>
        <v>-3.4553709536819965E-2</v>
      </c>
      <c r="AT72" s="618">
        <f ca="1"/>
        <v>0</v>
      </c>
      <c r="AU72" s="495">
        <f ca="1"/>
        <v>-0.1118837153037025</v>
      </c>
      <c r="AV72" s="496">
        <f ca="1"/>
        <v>4.5275711745508054E-3</v>
      </c>
      <c r="AW72" s="618">
        <f ca="1"/>
        <v>0</v>
      </c>
    </row>
    <row r="73" spans="2:49">
      <c r="B73" s="538" t="s">
        <v>519</v>
      </c>
      <c r="C73" s="539" t="s">
        <v>66</v>
      </c>
      <c r="D73" s="539" t="s">
        <v>55</v>
      </c>
      <c r="E73" s="539" t="s">
        <v>645</v>
      </c>
      <c r="F73" s="539" t="s">
        <v>669</v>
      </c>
      <c r="G73" s="540">
        <v>0.01</v>
      </c>
      <c r="H73" s="540">
        <v>1.5269999999999999E-3</v>
      </c>
      <c r="I73" s="541">
        <v>0.4</v>
      </c>
      <c r="J73" s="600">
        <v>7</v>
      </c>
      <c r="K73" s="542">
        <v>17</v>
      </c>
      <c r="L73" s="272"/>
      <c r="M73" s="272"/>
      <c r="P73" s="273"/>
      <c r="Q73" s="273"/>
      <c r="R73" s="273"/>
      <c r="S73" s="273"/>
      <c r="T73" s="575">
        <f ca="1"/>
        <v>0.06</v>
      </c>
      <c r="U73" s="572">
        <f ca="1"/>
        <v>65</v>
      </c>
      <c r="V73" s="484">
        <f ca="1">IF('CDO Bespoke'!O74&lt;&gt;"",'CDO Bespoke'!O74,"")</f>
        <v>9.8375316848086203E-2</v>
      </c>
      <c r="W73" s="641">
        <f t="shared" ca="1" si="1"/>
        <v>0</v>
      </c>
      <c r="X73" s="641">
        <f t="shared" ca="1" si="0"/>
        <v>9.8375316848086203E-2</v>
      </c>
      <c r="Y73" s="488">
        <f t="shared" ca="1" si="2"/>
        <v>0</v>
      </c>
      <c r="Z73" s="484">
        <f ca="1">IF('CDO Bespoke'!O74&lt;&gt;"",'CDO Bespoke'!O74,"")</f>
        <v>9.8375316848086203E-2</v>
      </c>
      <c r="AA73" s="641">
        <f ca="1">IF(Z73&lt;&gt;"",ABS(MIN(-0.6*'CDO Bespoke'!K74+'CDO Bespoke'!T74*'CDO Bespoke'!K74,0)),"")</f>
        <v>7.8958002255520604E-2</v>
      </c>
      <c r="AB73" s="641">
        <f t="shared" ca="1" si="3"/>
        <v>1.9417314592565599E-2</v>
      </c>
      <c r="AC73" s="488">
        <f t="shared" ca="1" si="4"/>
        <v>0</v>
      </c>
      <c r="AD73" s="272"/>
      <c r="AE73" s="493" t="str">
        <f ca="1">IF('CDO Bespoke'!C98&lt;&gt;"",'CDO Bespoke'!C98,"")</f>
        <v>UNILEVER PLC</v>
      </c>
      <c r="AF73" s="495">
        <f ca="1"/>
        <v>-1.7861961021381489E-4</v>
      </c>
      <c r="AG73" s="583">
        <f ca="1"/>
        <v>7.2052970978564446E-4</v>
      </c>
      <c r="AH73" s="583">
        <f ca="1"/>
        <v>5.7456547797318791E-3</v>
      </c>
      <c r="AI73" s="583">
        <f ca="1"/>
        <v>0.53771679109970716</v>
      </c>
      <c r="AJ73" s="496">
        <f ca="1"/>
        <v>0</v>
      </c>
      <c r="AK73" s="618">
        <f ca="1"/>
        <v>0</v>
      </c>
      <c r="AL73" s="495">
        <f ca="1"/>
        <v>3.4942487269970512E-4</v>
      </c>
      <c r="AM73" s="583">
        <f ca="1"/>
        <v>1.69176764470199E-3</v>
      </c>
      <c r="AN73" s="583">
        <f ca="1"/>
        <v>7.5741880837002992E-3</v>
      </c>
      <c r="AO73" s="583">
        <f ca="1"/>
        <v>0.53296251752639989</v>
      </c>
      <c r="AP73" s="496">
        <f ca="1"/>
        <v>0</v>
      </c>
      <c r="AQ73" s="618">
        <f ca="1"/>
        <v>0</v>
      </c>
      <c r="AR73" s="495">
        <f ca="1"/>
        <v>-1.9097150981650435E-2</v>
      </c>
      <c r="AS73" s="496">
        <f ca="1"/>
        <v>-2.6307447031960529E-2</v>
      </c>
      <c r="AT73" s="618">
        <f ca="1"/>
        <v>0</v>
      </c>
      <c r="AU73" s="495">
        <f ca="1"/>
        <v>-0.11938515119807025</v>
      </c>
      <c r="AV73" s="496">
        <f ca="1"/>
        <v>-3.439082654861654E-3</v>
      </c>
      <c r="AW73" s="618">
        <f ca="1"/>
        <v>0</v>
      </c>
    </row>
    <row r="74" spans="2:49">
      <c r="B74" s="516" t="s">
        <v>519</v>
      </c>
      <c r="C74" s="517" t="s">
        <v>66</v>
      </c>
      <c r="D74" s="517" t="s">
        <v>57</v>
      </c>
      <c r="E74" s="517" t="s">
        <v>645</v>
      </c>
      <c r="F74" s="517" t="s">
        <v>669</v>
      </c>
      <c r="G74" s="524">
        <v>0.01</v>
      </c>
      <c r="H74" s="524">
        <v>2.49E-3</v>
      </c>
      <c r="I74" s="526">
        <v>0.4</v>
      </c>
      <c r="J74" s="592">
        <v>7</v>
      </c>
      <c r="K74" s="518">
        <v>17</v>
      </c>
      <c r="L74" s="272"/>
      <c r="M74" s="272"/>
      <c r="P74" s="273"/>
      <c r="Q74" s="273"/>
      <c r="R74" s="273"/>
      <c r="S74" s="273"/>
      <c r="T74" s="575">
        <f ca="1"/>
        <v>0.06</v>
      </c>
      <c r="U74" s="572">
        <f ca="1"/>
        <v>66</v>
      </c>
      <c r="V74" s="484">
        <f ca="1">IF('CDO Bespoke'!O75&lt;&gt;"",'CDO Bespoke'!O75,"")</f>
        <v>9.76853635486232E-2</v>
      </c>
      <c r="W74" s="641">
        <f t="shared" ca="1" si="1"/>
        <v>0</v>
      </c>
      <c r="X74" s="641">
        <f t="shared" ca="1" si="0"/>
        <v>9.76853635486232E-2</v>
      </c>
      <c r="Y74" s="488">
        <f t="shared" ca="1" si="2"/>
        <v>0</v>
      </c>
      <c r="Z74" s="484">
        <f ca="1">IF('CDO Bespoke'!O75&lt;&gt;"",'CDO Bespoke'!O75,"")</f>
        <v>9.76853635486232E-2</v>
      </c>
      <c r="AA74" s="641">
        <f ca="1">IF(Z74&lt;&gt;"",ABS(MIN(-0.6*'CDO Bespoke'!K75+'CDO Bespoke'!T75*'CDO Bespoke'!K75,0)),"")</f>
        <v>8.8273095191053488E-2</v>
      </c>
      <c r="AB74" s="641">
        <f t="shared" ca="1" si="3"/>
        <v>9.4122683575697114E-3</v>
      </c>
      <c r="AC74" s="488">
        <f t="shared" ca="1" si="4"/>
        <v>0</v>
      </c>
      <c r="AD74" s="272"/>
      <c r="AE74" s="493" t="str">
        <f ca="1">IF('CDO Bespoke'!C99&lt;&gt;"",'CDO Bespoke'!C99,"")</f>
        <v>BP P.L.C.</v>
      </c>
      <c r="AF74" s="495">
        <f ca="1"/>
        <v>-7.383589101239707E-4</v>
      </c>
      <c r="AG74" s="583">
        <f ca="1"/>
        <v>-1.3555342998072817E-3</v>
      </c>
      <c r="AH74" s="583">
        <f ca="1"/>
        <v>-1.5196125102701075E-3</v>
      </c>
      <c r="AI74" s="583">
        <f ca="1"/>
        <v>0.74349570706011558</v>
      </c>
      <c r="AJ74" s="496">
        <f ca="1"/>
        <v>0</v>
      </c>
      <c r="AK74" s="618">
        <f ca="1"/>
        <v>0</v>
      </c>
      <c r="AL74" s="495">
        <f ca="1"/>
        <v>3.0495370939836314E-4</v>
      </c>
      <c r="AM74" s="583">
        <f ca="1"/>
        <v>1.4977115497978588E-3</v>
      </c>
      <c r="AN74" s="583">
        <f ca="1"/>
        <v>6.4002639716970872E-3</v>
      </c>
      <c r="AO74" s="583">
        <f ca="1"/>
        <v>0.69997188978329972</v>
      </c>
      <c r="AP74" s="496">
        <f ca="1"/>
        <v>0</v>
      </c>
      <c r="AQ74" s="618">
        <f ca="1"/>
        <v>0</v>
      </c>
      <c r="AR74" s="495">
        <f ca="1"/>
        <v>-9.9254358143082699E-3</v>
      </c>
      <c r="AS74" s="496">
        <f ca="1"/>
        <v>-3.4457802134276683E-2</v>
      </c>
      <c r="AT74" s="618">
        <f ca="1"/>
        <v>0</v>
      </c>
      <c r="AU74" s="495">
        <f ca="1"/>
        <v>-0.11204638555125682</v>
      </c>
      <c r="AV74" s="496">
        <f ca="1"/>
        <v>4.3053860580223105E-3</v>
      </c>
      <c r="AW74" s="618">
        <f ca="1"/>
        <v>0</v>
      </c>
    </row>
    <row r="75" spans="2:49">
      <c r="B75" s="533" t="s">
        <v>519</v>
      </c>
      <c r="C75" s="534" t="s">
        <v>66</v>
      </c>
      <c r="D75" s="534" t="s">
        <v>59</v>
      </c>
      <c r="E75" s="534" t="s">
        <v>645</v>
      </c>
      <c r="F75" s="534" t="s">
        <v>669</v>
      </c>
      <c r="G75" s="535">
        <v>0.01</v>
      </c>
      <c r="H75" s="535">
        <v>3.63E-3</v>
      </c>
      <c r="I75" s="536">
        <v>0.4</v>
      </c>
      <c r="J75" s="593">
        <v>7</v>
      </c>
      <c r="K75" s="537">
        <v>17</v>
      </c>
      <c r="L75" s="272"/>
      <c r="M75" s="272"/>
      <c r="P75" s="273"/>
      <c r="Q75" s="273"/>
      <c r="R75" s="273"/>
      <c r="S75" s="273"/>
      <c r="T75" s="575">
        <f ca="1"/>
        <v>0.06</v>
      </c>
      <c r="U75" s="572">
        <f ca="1"/>
        <v>67</v>
      </c>
      <c r="V75" s="484">
        <f ca="1">IF('CDO Bespoke'!O76&lt;&gt;"",'CDO Bespoke'!O76,"")</f>
        <v>9.7234702728274197E-2</v>
      </c>
      <c r="W75" s="641">
        <f t="shared" ca="1" si="1"/>
        <v>0</v>
      </c>
      <c r="X75" s="641">
        <f t="shared" ca="1" si="0"/>
        <v>9.7234702728274197E-2</v>
      </c>
      <c r="Y75" s="488">
        <f t="shared" ca="1" si="2"/>
        <v>0</v>
      </c>
      <c r="Z75" s="484">
        <f ca="1">IF('CDO Bespoke'!O76&lt;&gt;"",'CDO Bespoke'!O76,"")</f>
        <v>9.7234702728274197E-2</v>
      </c>
      <c r="AA75" s="641">
        <f ca="1">IF(Z75&lt;&gt;"",ABS(MIN(-0.6*'CDO Bespoke'!K76+'CDO Bespoke'!T76*'CDO Bespoke'!K76,0)),"")</f>
        <v>9.1695670847241617E-2</v>
      </c>
      <c r="AB75" s="641">
        <f t="shared" ca="1" si="3"/>
        <v>5.53903188103258E-3</v>
      </c>
      <c r="AC75" s="488">
        <f t="shared" ca="1" si="4"/>
        <v>0</v>
      </c>
      <c r="AD75" s="272"/>
      <c r="AE75" s="493" t="str">
        <f ca="1">IF('CDO Bespoke'!C100&lt;&gt;"",'CDO Bespoke'!C100,"")</f>
        <v>Centrica plc</v>
      </c>
      <c r="AF75" s="495">
        <f ca="1"/>
        <v>-9.6783979997017155E-4</v>
      </c>
      <c r="AG75" s="583">
        <f ca="1"/>
        <v>-2.2351638301332244E-3</v>
      </c>
      <c r="AH75" s="583">
        <f ca="1"/>
        <v>-4.8268711999588376E-3</v>
      </c>
      <c r="AI75" s="583">
        <f ca="1"/>
        <v>0.80937966591976274</v>
      </c>
      <c r="AJ75" s="496">
        <f ca="1"/>
        <v>0</v>
      </c>
      <c r="AK75" s="618">
        <f ca="1"/>
        <v>0</v>
      </c>
      <c r="AL75" s="495">
        <f ca="1"/>
        <v>2.5025187320396741E-4</v>
      </c>
      <c r="AM75" s="583">
        <f ca="1"/>
        <v>1.2443418319005306E-3</v>
      </c>
      <c r="AN75" s="583">
        <f ca="1"/>
        <v>5.0943581017016959E-3</v>
      </c>
      <c r="AO75" s="583">
        <f ca="1"/>
        <v>0.74886778440080326</v>
      </c>
      <c r="AP75" s="496">
        <f ca="1"/>
        <v>0</v>
      </c>
      <c r="AQ75" s="618">
        <f ca="1"/>
        <v>0</v>
      </c>
      <c r="AR75" s="495">
        <f ca="1"/>
        <v>-6.9439400825879738E-3</v>
      </c>
      <c r="AS75" s="496">
        <f ca="1"/>
        <v>-3.6625417687566997E-2</v>
      </c>
      <c r="AT75" s="618">
        <f ca="1"/>
        <v>0</v>
      </c>
      <c r="AU75" s="495">
        <f ca="1"/>
        <v>-5.8811910933172465E-2</v>
      </c>
      <c r="AV75" s="496">
        <f ca="1"/>
        <v>2.002813057680846E-2</v>
      </c>
      <c r="AW75" s="618">
        <f ca="1"/>
        <v>0</v>
      </c>
    </row>
    <row r="76" spans="2:49">
      <c r="B76" s="538" t="s">
        <v>534</v>
      </c>
      <c r="C76" s="539" t="s">
        <v>66</v>
      </c>
      <c r="D76" s="539" t="s">
        <v>55</v>
      </c>
      <c r="E76" s="539" t="s">
        <v>647</v>
      </c>
      <c r="F76" s="539" t="s">
        <v>646</v>
      </c>
      <c r="G76" s="540">
        <v>0.01</v>
      </c>
      <c r="H76" s="540">
        <v>5.0749999999999997E-3</v>
      </c>
      <c r="I76" s="541">
        <v>0.4</v>
      </c>
      <c r="J76" s="600">
        <v>4</v>
      </c>
      <c r="K76" s="542">
        <v>18</v>
      </c>
      <c r="L76" s="272"/>
      <c r="M76" s="272"/>
      <c r="P76" s="273"/>
      <c r="Q76" s="273"/>
      <c r="R76" s="273"/>
      <c r="S76" s="273"/>
      <c r="T76" s="575">
        <f ca="1"/>
        <v>0.03</v>
      </c>
      <c r="U76" s="572">
        <f ca="1"/>
        <v>68</v>
      </c>
      <c r="V76" s="484">
        <f ca="1">IF('CDO Bespoke'!O77&lt;&gt;"",'CDO Bespoke'!O77,"")</f>
        <v>9.8020808809804197E-2</v>
      </c>
      <c r="W76" s="641">
        <f t="shared" ca="1" si="1"/>
        <v>0</v>
      </c>
      <c r="X76" s="641">
        <f t="shared" ca="1" si="0"/>
        <v>9.8020808809804197E-2</v>
      </c>
      <c r="Y76" s="488">
        <f t="shared" ca="1" si="2"/>
        <v>0</v>
      </c>
      <c r="Z76" s="484">
        <f ca="1">IF('CDO Bespoke'!O77&lt;&gt;"",'CDO Bespoke'!O77,"")</f>
        <v>9.8020808809804197E-2</v>
      </c>
      <c r="AA76" s="641">
        <f ca="1">IF(Z76&lt;&gt;"",ABS(MIN(-0.6*'CDO Bespoke'!K77+'CDO Bespoke'!T77*'CDO Bespoke'!K77,0)),"")</f>
        <v>8.4617215139774965E-2</v>
      </c>
      <c r="AB76" s="641">
        <f t="shared" ca="1" si="3"/>
        <v>1.3403593670029232E-2</v>
      </c>
      <c r="AC76" s="488">
        <f t="shared" ca="1" si="4"/>
        <v>0</v>
      </c>
      <c r="AD76" s="272"/>
      <c r="AE76" s="493" t="str">
        <f ca="1">IF('CDO Bespoke'!C101&lt;&gt;"",'CDO Bespoke'!C101,"")</f>
        <v>E.ON SE</v>
      </c>
      <c r="AF76" s="495">
        <f ca="1"/>
        <v>-4.9511392985479574E-4</v>
      </c>
      <c r="AG76" s="583">
        <f ca="1"/>
        <v>-4.3507027980282942E-4</v>
      </c>
      <c r="AH76" s="583">
        <f ca="1"/>
        <v>1.8275965502079217E-3</v>
      </c>
      <c r="AI76" s="583">
        <f ca="1"/>
        <v>0.66279403088009836</v>
      </c>
      <c r="AJ76" s="496">
        <f ca="1"/>
        <v>0</v>
      </c>
      <c r="AK76" s="618">
        <f ca="1"/>
        <v>0</v>
      </c>
      <c r="AL76" s="495">
        <f ca="1"/>
        <v>3.4119348030041408E-4</v>
      </c>
      <c r="AM76" s="583">
        <f ca="1"/>
        <v>1.6627166713996736E-3</v>
      </c>
      <c r="AN76" s="583">
        <f ca="1"/>
        <v>7.2944306895011274E-3</v>
      </c>
      <c r="AO76" s="583">
        <f ca="1"/>
        <v>0.636647819580202</v>
      </c>
      <c r="AP76" s="496">
        <f ca="1"/>
        <v>0</v>
      </c>
      <c r="AQ76" s="618">
        <f ca="1"/>
        <v>0</v>
      </c>
      <c r="AR76" s="495">
        <f ca="1"/>
        <v>-1.3525253620316535E-2</v>
      </c>
      <c r="AS76" s="496">
        <f ca="1"/>
        <v>-3.1461234770900404E-2</v>
      </c>
      <c r="AT76" s="618">
        <f ca="1"/>
        <v>0</v>
      </c>
      <c r="AU76" s="495">
        <f ca="1"/>
        <v>-6.1629332558197858E-2</v>
      </c>
      <c r="AV76" s="496">
        <f ca="1"/>
        <v>1.0085667079572752E-2</v>
      </c>
      <c r="AW76" s="618">
        <f ca="1"/>
        <v>0</v>
      </c>
    </row>
    <row r="77" spans="2:49">
      <c r="B77" s="516" t="s">
        <v>534</v>
      </c>
      <c r="C77" s="517" t="s">
        <v>66</v>
      </c>
      <c r="D77" s="517" t="s">
        <v>57</v>
      </c>
      <c r="E77" s="517" t="s">
        <v>647</v>
      </c>
      <c r="F77" s="517" t="s">
        <v>646</v>
      </c>
      <c r="G77" s="524">
        <v>0.01</v>
      </c>
      <c r="H77" s="524">
        <v>8.8369999999999994E-3</v>
      </c>
      <c r="I77" s="526">
        <v>0.4</v>
      </c>
      <c r="J77" s="592">
        <v>4</v>
      </c>
      <c r="K77" s="518">
        <v>18</v>
      </c>
      <c r="L77" s="272"/>
      <c r="M77" s="272"/>
      <c r="P77" s="273"/>
      <c r="Q77" s="273"/>
      <c r="R77" s="273"/>
      <c r="S77" s="273"/>
      <c r="T77" s="575">
        <f ca="1"/>
        <v>0.02</v>
      </c>
      <c r="U77" s="572">
        <f ca="1"/>
        <v>69</v>
      </c>
      <c r="V77" s="484">
        <f ca="1">IF('CDO Bespoke'!O78&lt;&gt;"",'CDO Bespoke'!O78,"")</f>
        <v>9.6873139170240194E-2</v>
      </c>
      <c r="W77" s="641">
        <f t="shared" ca="1" si="1"/>
        <v>0</v>
      </c>
      <c r="X77" s="641">
        <f t="shared" ca="1" si="0"/>
        <v>9.6873139170240194E-2</v>
      </c>
      <c r="Y77" s="488">
        <f t="shared" ca="1" si="2"/>
        <v>0</v>
      </c>
      <c r="Z77" s="484">
        <f ca="1">IF('CDO Bespoke'!O78&lt;&gt;"",'CDO Bespoke'!O78,"")</f>
        <v>9.6873139170240194E-2</v>
      </c>
      <c r="AA77" s="641">
        <f ca="1">IF(Z77&lt;&gt;"",ABS(MIN(-0.6*'CDO Bespoke'!K78+'CDO Bespoke'!T78*'CDO Bespoke'!K78,0)),"")</f>
        <v>9.3649006501865889E-2</v>
      </c>
      <c r="AB77" s="641">
        <f t="shared" ca="1" si="3"/>
        <v>3.2241326683743049E-3</v>
      </c>
      <c r="AC77" s="488">
        <f t="shared" ca="1" si="4"/>
        <v>0</v>
      </c>
      <c r="AD77" s="272"/>
      <c r="AE77" s="493" t="str">
        <f ca="1">IF('CDO Bespoke'!C102&lt;&gt;"",'CDO Bespoke'!C102,"")</f>
        <v>EDP - ENERGIAS DE PORTUGAL S.A.</v>
      </c>
      <c r="AF77" s="495">
        <f ca="1"/>
        <v>-9.2071042012698001E-4</v>
      </c>
      <c r="AG77" s="583">
        <f ca="1"/>
        <v>-1.9851816401850186E-3</v>
      </c>
      <c r="AH77" s="583">
        <f ca="1"/>
        <v>-3.6275321602108335E-3</v>
      </c>
      <c r="AI77" s="583">
        <f ca="1"/>
        <v>0.79798692055987885</v>
      </c>
      <c r="AJ77" s="496">
        <f ca="1"/>
        <v>0</v>
      </c>
      <c r="AK77" s="618">
        <f ca="1"/>
        <v>0</v>
      </c>
      <c r="AL77" s="495">
        <f ca="1"/>
        <v>2.5698284220228296E-4</v>
      </c>
      <c r="AM77" s="583">
        <f ca="1"/>
        <v>1.2766928641008701E-3</v>
      </c>
      <c r="AN77" s="583">
        <f ca="1"/>
        <v>5.2909073291985617E-3</v>
      </c>
      <c r="AO77" s="583">
        <f ca="1"/>
        <v>0.74064117114199834</v>
      </c>
      <c r="AP77" s="496">
        <f ca="1"/>
        <v>0</v>
      </c>
      <c r="AQ77" s="618">
        <f ca="1"/>
        <v>0</v>
      </c>
      <c r="AR77" s="495">
        <f ca="1"/>
        <v>-7.3435651205892016E-3</v>
      </c>
      <c r="AS77" s="496">
        <f ca="1"/>
        <v>-3.6263484046171801E-2</v>
      </c>
      <c r="AT77" s="618">
        <f ca="1"/>
        <v>0</v>
      </c>
      <c r="AU77" s="495">
        <f ca="1"/>
        <v>-5.8903912426778199E-2</v>
      </c>
      <c r="AV77" s="496">
        <f ca="1"/>
        <v>1.9389554793628298E-2</v>
      </c>
      <c r="AW77" s="618">
        <f ca="1"/>
        <v>0</v>
      </c>
    </row>
    <row r="78" spans="2:49">
      <c r="B78" s="533" t="s">
        <v>534</v>
      </c>
      <c r="C78" s="534" t="s">
        <v>66</v>
      </c>
      <c r="D78" s="534" t="s">
        <v>59</v>
      </c>
      <c r="E78" s="534" t="s">
        <v>647</v>
      </c>
      <c r="F78" s="534" t="s">
        <v>646</v>
      </c>
      <c r="G78" s="535">
        <v>0.01</v>
      </c>
      <c r="H78" s="535">
        <v>1.3018E-2</v>
      </c>
      <c r="I78" s="536">
        <v>0.4</v>
      </c>
      <c r="J78" s="593">
        <v>4</v>
      </c>
      <c r="K78" s="537">
        <v>18</v>
      </c>
      <c r="L78" s="272"/>
      <c r="M78" s="272"/>
      <c r="P78" s="273"/>
      <c r="Q78" s="273"/>
      <c r="R78" s="273"/>
      <c r="S78" s="273"/>
      <c r="T78" s="575">
        <f ca="1"/>
        <v>0.06</v>
      </c>
      <c r="U78" s="572">
        <f ca="1"/>
        <v>70</v>
      </c>
      <c r="V78" s="484">
        <f ca="1">IF('CDO Bespoke'!O79&lt;&gt;"",'CDO Bespoke'!O79,"")</f>
        <v>9.6877402845365196E-2</v>
      </c>
      <c r="W78" s="641">
        <f t="shared" ca="1" si="1"/>
        <v>0</v>
      </c>
      <c r="X78" s="641">
        <f t="shared" ref="X78:X108" ca="1" si="5">IF(V78&lt;&gt;"",IF($W$8,MAX(V78-W78,0),V78),"")</f>
        <v>9.6877402845365196E-2</v>
      </c>
      <c r="Y78" s="488">
        <f t="shared" ca="1" si="2"/>
        <v>0</v>
      </c>
      <c r="Z78" s="484">
        <f ca="1">IF('CDO Bespoke'!O79&lt;&gt;"",'CDO Bespoke'!O79,"")</f>
        <v>9.6877402845365196E-2</v>
      </c>
      <c r="AA78" s="641">
        <f ca="1">IF(Z78&lt;&gt;"",ABS(MIN(-0.6*'CDO Bespoke'!K79+'CDO Bespoke'!T79*'CDO Bespoke'!K79,0)),"")</f>
        <v>9.3629088501369154E-2</v>
      </c>
      <c r="AB78" s="641">
        <f t="shared" ca="1" si="3"/>
        <v>3.2483143439960421E-3</v>
      </c>
      <c r="AC78" s="488">
        <f t="shared" ca="1" si="4"/>
        <v>0</v>
      </c>
      <c r="AD78" s="272"/>
      <c r="AE78" s="493" t="str">
        <f ca="1">IF('CDO Bespoke'!C103&lt;&gt;"",'CDO Bespoke'!C103,"")</f>
        <v>Electricite de France</v>
      </c>
      <c r="AF78" s="495">
        <f ca="1"/>
        <v>-1.0140828998750351E-3</v>
      </c>
      <c r="AG78" s="583">
        <f ca="1"/>
        <v>-2.3807020999022654E-3</v>
      </c>
      <c r="AH78" s="583">
        <f ca="1"/>
        <v>-5.2603284900198943E-3</v>
      </c>
      <c r="AI78" s="583">
        <f ca="1"/>
        <v>0.821900538079956</v>
      </c>
      <c r="AJ78" s="496">
        <f ca="1"/>
        <v>0</v>
      </c>
      <c r="AK78" s="618">
        <f ca="1"/>
        <v>0</v>
      </c>
      <c r="AL78" s="495">
        <f ca="1"/>
        <v>2.341185862016204E-4</v>
      </c>
      <c r="AM78" s="583">
        <f ca="1"/>
        <v>1.1697098935021383E-3</v>
      </c>
      <c r="AN78" s="583">
        <f ca="1"/>
        <v>4.7311946685998224E-3</v>
      </c>
      <c r="AO78" s="583">
        <f ca="1"/>
        <v>0.75798034410410031</v>
      </c>
      <c r="AP78" s="496">
        <f ca="1"/>
        <v>0</v>
      </c>
      <c r="AQ78" s="618">
        <f ca="1"/>
        <v>0</v>
      </c>
      <c r="AR78" s="495">
        <f ca="1"/>
        <v>-6.3085022530900425E-3</v>
      </c>
      <c r="AS78" s="496">
        <f ca="1"/>
        <v>-3.6991207346255939E-2</v>
      </c>
      <c r="AT78" s="618">
        <f ca="1"/>
        <v>0</v>
      </c>
      <c r="AU78" s="495">
        <f ca="1"/>
        <v>-5.8472994109134036E-2</v>
      </c>
      <c r="AV78" s="496">
        <f ca="1"/>
        <v>2.132927757475464E-2</v>
      </c>
      <c r="AW78" s="618">
        <f ca="1"/>
        <v>0</v>
      </c>
    </row>
    <row r="79" spans="2:49">
      <c r="B79" s="538" t="s">
        <v>535</v>
      </c>
      <c r="C79" s="539" t="s">
        <v>66</v>
      </c>
      <c r="D79" s="539" t="s">
        <v>55</v>
      </c>
      <c r="E79" s="539" t="s">
        <v>647</v>
      </c>
      <c r="F79" s="539" t="s">
        <v>646</v>
      </c>
      <c r="G79" s="540">
        <v>0.01</v>
      </c>
      <c r="H79" s="540">
        <v>4.0559999999999997E-3</v>
      </c>
      <c r="I79" s="541">
        <v>0.4</v>
      </c>
      <c r="J79" s="600">
        <v>4</v>
      </c>
      <c r="K79" s="542">
        <v>19</v>
      </c>
      <c r="L79" s="272"/>
      <c r="M79" s="272"/>
      <c r="P79" s="273"/>
      <c r="Q79" s="273"/>
      <c r="R79" s="273"/>
      <c r="S79" s="273"/>
      <c r="T79" s="575">
        <f ca="1"/>
        <v>0.06</v>
      </c>
      <c r="U79" s="572">
        <f ca="1"/>
        <v>71</v>
      </c>
      <c r="V79" s="484">
        <f ca="1">IF('CDO Bespoke'!O80&lt;&gt;"",'CDO Bespoke'!O80,"")</f>
        <v>9.7426431844811201E-2</v>
      </c>
      <c r="W79" s="641">
        <f t="shared" ca="1" si="1"/>
        <v>0</v>
      </c>
      <c r="X79" s="641">
        <f t="shared" ca="1" si="5"/>
        <v>9.7426431844811201E-2</v>
      </c>
      <c r="Y79" s="488">
        <f t="shared" ca="1" si="2"/>
        <v>0</v>
      </c>
      <c r="Z79" s="484">
        <f ca="1">IF('CDO Bespoke'!O80&lt;&gt;"",'CDO Bespoke'!O80,"")</f>
        <v>9.7426431844811201E-2</v>
      </c>
      <c r="AA79" s="641">
        <f ca="1">IF(Z79&lt;&gt;"",ABS(MIN(-0.6*'CDO Bespoke'!K80+'CDO Bespoke'!T80*'CDO Bespoke'!K80,0)),"")</f>
        <v>9.0400659059489241E-2</v>
      </c>
      <c r="AB79" s="641">
        <f t="shared" ca="1" si="3"/>
        <v>7.0257727853219598E-3</v>
      </c>
      <c r="AC79" s="488">
        <f t="shared" ca="1" si="4"/>
        <v>0</v>
      </c>
      <c r="AD79" s="272"/>
      <c r="AE79" s="493" t="str">
        <f ca="1">IF('CDO Bespoke'!C104&lt;&gt;"",'CDO Bespoke'!C104,"")</f>
        <v>ENEL S.P.A.</v>
      </c>
      <c r="AF79" s="495">
        <f ca="1"/>
        <v>-9.5368497987635692E-4</v>
      </c>
      <c r="AG79" s="583">
        <f ca="1"/>
        <v>-2.207342519877642E-3</v>
      </c>
      <c r="AH79" s="583">
        <f ca="1"/>
        <v>-4.8026694199343467E-3</v>
      </c>
      <c r="AI79" s="583">
        <f ca="1"/>
        <v>0.8047701434299448</v>
      </c>
      <c r="AJ79" s="496">
        <f ca="1"/>
        <v>0</v>
      </c>
      <c r="AK79" s="618">
        <f ca="1"/>
        <v>0</v>
      </c>
      <c r="AL79" s="495">
        <f ca="1"/>
        <v>2.5653613250180285E-4</v>
      </c>
      <c r="AM79" s="583">
        <f ca="1"/>
        <v>1.2732211494012949E-3</v>
      </c>
      <c r="AN79" s="583">
        <f ca="1"/>
        <v>5.231109485798538E-3</v>
      </c>
      <c r="AO79" s="583">
        <f ca="1"/>
        <v>0.74543310529519891</v>
      </c>
      <c r="AP79" s="496">
        <f ca="1"/>
        <v>0</v>
      </c>
      <c r="AQ79" s="618">
        <f ca="1"/>
        <v>0</v>
      </c>
      <c r="AR79" s="495">
        <f ca="1"/>
        <v>-7.1974001773031926E-3</v>
      </c>
      <c r="AS79" s="496">
        <f ca="1"/>
        <v>-3.6485426961795797E-2</v>
      </c>
      <c r="AT79" s="618">
        <f ca="1"/>
        <v>0</v>
      </c>
      <c r="AU79" s="495">
        <f ca="1"/>
        <v>-5.8956938990687588E-2</v>
      </c>
      <c r="AV79" s="496">
        <f ca="1"/>
        <v>1.9516299325365992E-2</v>
      </c>
      <c r="AW79" s="618">
        <f ca="1"/>
        <v>0</v>
      </c>
    </row>
    <row r="80" spans="2:49">
      <c r="B80" s="516" t="s">
        <v>535</v>
      </c>
      <c r="C80" s="517" t="s">
        <v>66</v>
      </c>
      <c r="D80" s="517" t="s">
        <v>57</v>
      </c>
      <c r="E80" s="517" t="s">
        <v>647</v>
      </c>
      <c r="F80" s="517" t="s">
        <v>646</v>
      </c>
      <c r="G80" s="524">
        <v>0.01</v>
      </c>
      <c r="H80" s="524">
        <v>7.1669999999999998E-3</v>
      </c>
      <c r="I80" s="526">
        <v>0.4</v>
      </c>
      <c r="J80" s="592">
        <v>4</v>
      </c>
      <c r="K80" s="518">
        <v>19</v>
      </c>
      <c r="L80" s="272"/>
      <c r="M80" s="272"/>
      <c r="P80" s="273"/>
      <c r="Q80" s="273"/>
      <c r="R80" s="273"/>
      <c r="S80" s="273"/>
      <c r="T80" s="575">
        <f ca="1"/>
        <v>0.06</v>
      </c>
      <c r="U80" s="572">
        <f ca="1"/>
        <v>72</v>
      </c>
      <c r="V80" s="484">
        <f ca="1">IF('CDO Bespoke'!O81&lt;&gt;"",'CDO Bespoke'!O81,"")</f>
        <v>9.7850799035241201E-2</v>
      </c>
      <c r="W80" s="641">
        <f t="shared" ref="W80:W138" ca="1" si="6">IF(V80&lt;&gt;"",0,"")</f>
        <v>0</v>
      </c>
      <c r="X80" s="641">
        <f t="shared" ca="1" si="5"/>
        <v>9.7850799035241201E-2</v>
      </c>
      <c r="Y80" s="488">
        <f t="shared" ref="Y80:Y138" ca="1" si="7">IF(V80&lt;&gt;"",IF($W$8,0,W80),"")</f>
        <v>0</v>
      </c>
      <c r="Z80" s="484">
        <f ca="1">IF('CDO Bespoke'!O81&lt;&gt;"",'CDO Bespoke'!O81,"")</f>
        <v>9.7850799035241201E-2</v>
      </c>
      <c r="AA80" s="641">
        <f ca="1">IF(Z80&lt;&gt;"",ABS(MIN(-0.6*'CDO Bespoke'!K81+'CDO Bespoke'!T81*'CDO Bespoke'!K81,0)),"")</f>
        <v>8.6622396302735521E-2</v>
      </c>
      <c r="AB80" s="641">
        <f t="shared" ref="AB80:AB138" ca="1" si="8">IF(Z80&lt;&gt;"",IF($W$8,MAX(Z80-AA80,0),Z80),"")</f>
        <v>1.122840273250568E-2</v>
      </c>
      <c r="AC80" s="488">
        <f t="shared" ref="AC80:AC138" ca="1" si="9">IF(Z80&lt;&gt;"",IF($W$8,0,AA80),"")</f>
        <v>0</v>
      </c>
      <c r="AD80" s="272"/>
      <c r="AE80" s="493" t="str">
        <f ca="1">IF('CDO Bespoke'!C105&lt;&gt;"",'CDO Bespoke'!C105,"")</f>
        <v>ENGIE</v>
      </c>
      <c r="AF80" s="495">
        <f ca="1"/>
        <v>-5.95881020082345E-4</v>
      </c>
      <c r="AG80" s="583">
        <f ca="1"/>
        <v>-8.034897602815505E-4</v>
      </c>
      <c r="AH80" s="583">
        <f ca="1"/>
        <v>5.3701580016163319E-4</v>
      </c>
      <c r="AI80" s="583">
        <f ca="1"/>
        <v>0.6983935622700832</v>
      </c>
      <c r="AJ80" s="496">
        <f ca="1"/>
        <v>0</v>
      </c>
      <c r="AK80" s="618">
        <f ca="1"/>
        <v>0</v>
      </c>
      <c r="AL80" s="495">
        <f ca="1"/>
        <v>3.2842020409630523E-4</v>
      </c>
      <c r="AM80" s="583">
        <f ca="1"/>
        <v>1.6052790953978435E-3</v>
      </c>
      <c r="AN80" s="583">
        <f ca="1"/>
        <v>6.9772897163004541E-3</v>
      </c>
      <c r="AO80" s="583">
        <f ca="1"/>
        <v>0.66500049270759931</v>
      </c>
      <c r="AP80" s="496">
        <f ca="1"/>
        <v>0</v>
      </c>
      <c r="AQ80" s="618">
        <f ca="1"/>
        <v>0</v>
      </c>
      <c r="AR80" s="495">
        <f ca="1"/>
        <v>-1.1926707896310951E-2</v>
      </c>
      <c r="AS80" s="496">
        <f ca="1"/>
        <v>-3.2824695196837061E-2</v>
      </c>
      <c r="AT80" s="618">
        <f ca="1"/>
        <v>0</v>
      </c>
      <c r="AU80" s="495">
        <f ca="1"/>
        <v>-6.0960765079176596E-2</v>
      </c>
      <c r="AV80" s="496">
        <f ca="1"/>
        <v>1.2089611904485391E-2</v>
      </c>
      <c r="AW80" s="618">
        <f ca="1"/>
        <v>0</v>
      </c>
    </row>
    <row r="81" spans="2:49">
      <c r="B81" s="533" t="s">
        <v>535</v>
      </c>
      <c r="C81" s="534" t="s">
        <v>66</v>
      </c>
      <c r="D81" s="534" t="s">
        <v>59</v>
      </c>
      <c r="E81" s="534" t="s">
        <v>647</v>
      </c>
      <c r="F81" s="534" t="s">
        <v>646</v>
      </c>
      <c r="G81" s="535">
        <v>0.01</v>
      </c>
      <c r="H81" s="535">
        <v>1.0695E-2</v>
      </c>
      <c r="I81" s="536">
        <v>0.4</v>
      </c>
      <c r="J81" s="593">
        <v>4</v>
      </c>
      <c r="K81" s="537">
        <v>19</v>
      </c>
      <c r="L81" s="272"/>
      <c r="M81" s="272"/>
      <c r="P81" s="273"/>
      <c r="Q81" s="273"/>
      <c r="R81" s="273"/>
      <c r="S81" s="273"/>
      <c r="T81" s="575">
        <f ca="1"/>
        <v>0.06</v>
      </c>
      <c r="U81" s="572">
        <f ca="1"/>
        <v>73</v>
      </c>
      <c r="V81" s="484">
        <f ca="1">IF('CDO Bespoke'!O82&lt;&gt;"",'CDO Bespoke'!O82,"")</f>
        <v>9.7325809701867202E-2</v>
      </c>
      <c r="W81" s="641">
        <f t="shared" ca="1" si="6"/>
        <v>0</v>
      </c>
      <c r="X81" s="641">
        <f t="shared" ca="1" si="5"/>
        <v>9.7325809701867202E-2</v>
      </c>
      <c r="Y81" s="488">
        <f t="shared" ca="1" si="7"/>
        <v>0</v>
      </c>
      <c r="Z81" s="484">
        <f ca="1">IF('CDO Bespoke'!O82&lt;&gt;"",'CDO Bespoke'!O82,"")</f>
        <v>9.7325809701867202E-2</v>
      </c>
      <c r="AA81" s="641">
        <f ca="1">IF(Z81&lt;&gt;"",ABS(MIN(-0.6*'CDO Bespoke'!K82+'CDO Bespoke'!T82*'CDO Bespoke'!K82,0)),"")</f>
        <v>9.1106219703761773E-2</v>
      </c>
      <c r="AB81" s="641">
        <f t="shared" ca="1" si="8"/>
        <v>6.2195899981054292E-3</v>
      </c>
      <c r="AC81" s="488">
        <f t="shared" ca="1" si="9"/>
        <v>0</v>
      </c>
      <c r="AD81" s="272"/>
      <c r="AE81" s="493" t="str">
        <f ca="1">IF('CDO Bespoke'!C106&lt;&gt;"",'CDO Bespoke'!C106,"")</f>
        <v>ENI S.P.A.</v>
      </c>
      <c r="AF81" s="495">
        <f ca="1"/>
        <v>-8.2072334983696038E-4</v>
      </c>
      <c r="AG81" s="583">
        <f ca="1"/>
        <v>-1.6308883399318574E-3</v>
      </c>
      <c r="AH81" s="583">
        <f ca="1"/>
        <v>-2.4191764302905483E-3</v>
      </c>
      <c r="AI81" s="583">
        <f ca="1"/>
        <v>0.76974394795981116</v>
      </c>
      <c r="AJ81" s="496">
        <f ca="1"/>
        <v>0</v>
      </c>
      <c r="AK81" s="618">
        <f ca="1"/>
        <v>0</v>
      </c>
      <c r="AL81" s="495">
        <f ca="1"/>
        <v>2.8416790899977312E-4</v>
      </c>
      <c r="AM81" s="583">
        <f ca="1"/>
        <v>1.4022964865993345E-3</v>
      </c>
      <c r="AN81" s="583">
        <f ca="1"/>
        <v>5.9193773384010398E-3</v>
      </c>
      <c r="AO81" s="583">
        <f ca="1"/>
        <v>0.71962756509929848</v>
      </c>
      <c r="AP81" s="496">
        <f ca="1"/>
        <v>0</v>
      </c>
      <c r="AQ81" s="618">
        <f ca="1"/>
        <v>0</v>
      </c>
      <c r="AR81" s="495">
        <f ca="1"/>
        <v>-8.6838741310403811E-3</v>
      </c>
      <c r="AS81" s="496">
        <f ca="1"/>
        <v>-3.5359164658481601E-2</v>
      </c>
      <c r="AT81" s="618">
        <f ca="1"/>
        <v>0</v>
      </c>
      <c r="AU81" s="495">
        <f ca="1"/>
        <v>-0.11093415909189933</v>
      </c>
      <c r="AV81" s="496">
        <f ca="1"/>
        <v>6.0568406464084415E-3</v>
      </c>
      <c r="AW81" s="618">
        <f ca="1"/>
        <v>0</v>
      </c>
    </row>
    <row r="82" spans="2:49">
      <c r="B82" s="538" t="s">
        <v>611</v>
      </c>
      <c r="C82" s="539" t="s">
        <v>66</v>
      </c>
      <c r="D82" s="539" t="s">
        <v>55</v>
      </c>
      <c r="E82" s="539" t="s">
        <v>648</v>
      </c>
      <c r="F82" s="539" t="s">
        <v>670</v>
      </c>
      <c r="G82" s="540">
        <v>0.01</v>
      </c>
      <c r="H82" s="540">
        <v>1.191E-3</v>
      </c>
      <c r="I82" s="541">
        <v>0.4</v>
      </c>
      <c r="J82" s="600">
        <v>4</v>
      </c>
      <c r="K82" s="542">
        <v>20</v>
      </c>
      <c r="L82" s="272"/>
      <c r="M82" s="272"/>
      <c r="P82" s="273"/>
      <c r="Q82" s="273"/>
      <c r="R82" s="273"/>
      <c r="S82" s="273"/>
      <c r="T82" s="575">
        <f ca="1"/>
        <v>0.06</v>
      </c>
      <c r="U82" s="572">
        <f ca="1"/>
        <v>74</v>
      </c>
      <c r="V82" s="484">
        <f ca="1">IF('CDO Bespoke'!O83&lt;&gt;"",'CDO Bespoke'!O83,"")</f>
        <v>9.8409913054991194E-2</v>
      </c>
      <c r="W82" s="641">
        <f t="shared" ca="1" si="6"/>
        <v>0</v>
      </c>
      <c r="X82" s="641">
        <f t="shared" ca="1" si="5"/>
        <v>9.8409913054991194E-2</v>
      </c>
      <c r="Y82" s="488">
        <f t="shared" ca="1" si="7"/>
        <v>0</v>
      </c>
      <c r="Z82" s="484">
        <f ca="1">IF('CDO Bespoke'!O83&lt;&gt;"",'CDO Bespoke'!O83,"")</f>
        <v>9.8409913054991194E-2</v>
      </c>
      <c r="AA82" s="641">
        <f ca="1">IF(Z82&lt;&gt;"",ABS(MIN(-0.6*'CDO Bespoke'!K83+'CDO Bespoke'!T83*'CDO Bespoke'!K83,0)),"")</f>
        <v>7.8254500479193176E-2</v>
      </c>
      <c r="AB82" s="641">
        <f t="shared" ca="1" si="8"/>
        <v>2.0155412575798018E-2</v>
      </c>
      <c r="AC82" s="488">
        <f t="shared" ca="1" si="9"/>
        <v>0</v>
      </c>
      <c r="AD82" s="272"/>
      <c r="AE82" s="493" t="str">
        <f ca="1">IF('CDO Bespoke'!C107&lt;&gt;"",'CDO Bespoke'!C107,"")</f>
        <v>EQUINOR ASA</v>
      </c>
      <c r="AF82" s="495">
        <f ca="1"/>
        <v>-2.2712244029943207E-4</v>
      </c>
      <c r="AG82" s="583">
        <f ca="1"/>
        <v>5.1159872005435147E-4</v>
      </c>
      <c r="AH82" s="583">
        <f ca="1"/>
        <v>4.959719999697576E-3</v>
      </c>
      <c r="AI82" s="583">
        <f ca="1"/>
        <v>0.55418651353000836</v>
      </c>
      <c r="AJ82" s="496">
        <f ca="1"/>
        <v>0</v>
      </c>
      <c r="AK82" s="618">
        <f ca="1"/>
        <v>0</v>
      </c>
      <c r="AL82" s="495">
        <f ca="1"/>
        <v>3.5149180220052367E-4</v>
      </c>
      <c r="AM82" s="583">
        <f ca="1"/>
        <v>1.7024122498992753E-3</v>
      </c>
      <c r="AN82" s="583">
        <f ca="1"/>
        <v>7.6033251305987828E-3</v>
      </c>
      <c r="AO82" s="583">
        <f ca="1"/>
        <v>0.5467295397687012</v>
      </c>
      <c r="AP82" s="496">
        <f ca="1"/>
        <v>0</v>
      </c>
      <c r="AQ82" s="618">
        <f ca="1"/>
        <v>0</v>
      </c>
      <c r="AR82" s="495">
        <f ca="1"/>
        <v>-1.839950486352393E-2</v>
      </c>
      <c r="AS82" s="496">
        <f ca="1"/>
        <v>-2.6997166795605043E-2</v>
      </c>
      <c r="AT82" s="618">
        <f ca="1"/>
        <v>0</v>
      </c>
      <c r="AU82" s="495">
        <f ca="1"/>
        <v>-0.11887155916819271</v>
      </c>
      <c r="AV82" s="496">
        <f ca="1"/>
        <v>-3.1024202000449926E-3</v>
      </c>
      <c r="AW82" s="618">
        <f ca="1"/>
        <v>0</v>
      </c>
    </row>
    <row r="83" spans="2:49">
      <c r="B83" s="516" t="s">
        <v>611</v>
      </c>
      <c r="C83" s="517" t="s">
        <v>66</v>
      </c>
      <c r="D83" s="517" t="s">
        <v>57</v>
      </c>
      <c r="E83" s="517" t="s">
        <v>648</v>
      </c>
      <c r="F83" s="517" t="s">
        <v>670</v>
      </c>
      <c r="G83" s="524">
        <v>0.01</v>
      </c>
      <c r="H83" s="524">
        <v>1.908E-3</v>
      </c>
      <c r="I83" s="526">
        <v>0.4</v>
      </c>
      <c r="J83" s="592">
        <v>4</v>
      </c>
      <c r="K83" s="518">
        <v>20</v>
      </c>
      <c r="L83" s="272"/>
      <c r="M83" s="272"/>
      <c r="P83" s="273"/>
      <c r="Q83" s="273"/>
      <c r="R83" s="273"/>
      <c r="S83" s="273"/>
      <c r="T83" s="575">
        <f ca="1"/>
        <v>0.02</v>
      </c>
      <c r="U83" s="572">
        <f ca="1"/>
        <v>75</v>
      </c>
      <c r="V83" s="484">
        <f ca="1">IF('CDO Bespoke'!O84&lt;&gt;"",'CDO Bespoke'!O84,"")</f>
        <v>9.7912882319173195E-2</v>
      </c>
      <c r="W83" s="641">
        <f t="shared" ca="1" si="6"/>
        <v>0</v>
      </c>
      <c r="X83" s="641">
        <f t="shared" ca="1" si="5"/>
        <v>9.7912882319173195E-2</v>
      </c>
      <c r="Y83" s="488">
        <f t="shared" ca="1" si="7"/>
        <v>0</v>
      </c>
      <c r="Z83" s="484">
        <f ca="1">IF('CDO Bespoke'!O84&lt;&gt;"",'CDO Bespoke'!O84,"")</f>
        <v>9.7912882319173195E-2</v>
      </c>
      <c r="AA83" s="641">
        <f ca="1">IF(Z83&lt;&gt;"",ABS(MIN(-0.6*'CDO Bespoke'!K84+'CDO Bespoke'!T84*'CDO Bespoke'!K84,0)),"")</f>
        <v>8.5930554638875598E-2</v>
      </c>
      <c r="AB83" s="641">
        <f t="shared" ca="1" si="8"/>
        <v>1.1982327680297597E-2</v>
      </c>
      <c r="AC83" s="488">
        <f t="shared" ca="1" si="9"/>
        <v>0</v>
      </c>
      <c r="AD83" s="272"/>
      <c r="AE83" s="493" t="str">
        <f ca="1">IF('CDO Bespoke'!C108&lt;&gt;"",'CDO Bespoke'!C108,"")</f>
        <v>Fortum Oyj</v>
      </c>
      <c r="AF83" s="495">
        <f ca="1"/>
        <v>-6.2882535012409591E-4</v>
      </c>
      <c r="AG83" s="583">
        <f ca="1"/>
        <v>-9.5526593024697348E-4</v>
      </c>
      <c r="AH83" s="583">
        <f ca="1"/>
        <v>-9.1381799904866057E-5</v>
      </c>
      <c r="AI83" s="583">
        <f ca="1"/>
        <v>0.70747493603973144</v>
      </c>
      <c r="AJ83" s="496">
        <f ca="1"/>
        <v>0</v>
      </c>
      <c r="AK83" s="618">
        <f ca="1"/>
        <v>0</v>
      </c>
      <c r="AL83" s="495">
        <f ca="1"/>
        <v>3.2521987169704253E-4</v>
      </c>
      <c r="AM83" s="583">
        <f ca="1"/>
        <v>1.5904574208981323E-3</v>
      </c>
      <c r="AN83" s="583">
        <f ca="1"/>
        <v>6.8886519161972734E-3</v>
      </c>
      <c r="AO83" s="583">
        <f ca="1"/>
        <v>0.67199285897160099</v>
      </c>
      <c r="AP83" s="496">
        <f ca="1"/>
        <v>0</v>
      </c>
      <c r="AQ83" s="618">
        <f ca="1"/>
        <v>0</v>
      </c>
      <c r="AR83" s="495">
        <f ca="1"/>
        <v>-1.1557210137376206E-2</v>
      </c>
      <c r="AS83" s="496">
        <f ca="1"/>
        <v>-3.3154906879997781E-2</v>
      </c>
      <c r="AT83" s="618">
        <f ca="1"/>
        <v>0</v>
      </c>
      <c r="AU83" s="495">
        <f ca="1"/>
        <v>-6.0826430511081699E-2</v>
      </c>
      <c r="AV83" s="496">
        <f ca="1"/>
        <v>1.2565925952060799E-2</v>
      </c>
      <c r="AW83" s="618">
        <f ca="1"/>
        <v>0</v>
      </c>
    </row>
    <row r="84" spans="2:49">
      <c r="B84" s="533" t="s">
        <v>611</v>
      </c>
      <c r="C84" s="534" t="s">
        <v>66</v>
      </c>
      <c r="D84" s="534" t="s">
        <v>59</v>
      </c>
      <c r="E84" s="534" t="s">
        <v>648</v>
      </c>
      <c r="F84" s="534" t="s">
        <v>670</v>
      </c>
      <c r="G84" s="535">
        <v>0.01</v>
      </c>
      <c r="H84" s="535">
        <v>2.9069999999999999E-3</v>
      </c>
      <c r="I84" s="536">
        <v>0.4</v>
      </c>
      <c r="J84" s="593">
        <v>4</v>
      </c>
      <c r="K84" s="537">
        <v>20</v>
      </c>
      <c r="L84" s="272"/>
      <c r="M84" s="272"/>
      <c r="P84" s="273"/>
      <c r="Q84" s="273"/>
      <c r="R84" s="273"/>
      <c r="S84" s="273"/>
      <c r="T84" s="575">
        <f ca="1"/>
        <v>0.03</v>
      </c>
      <c r="U84" s="572">
        <f ca="1"/>
        <v>76</v>
      </c>
      <c r="V84" s="484">
        <f ca="1">IF('CDO Bespoke'!O85&lt;&gt;"",'CDO Bespoke'!O85,"")</f>
        <v>9.8093815910684196E-2</v>
      </c>
      <c r="W84" s="641">
        <f t="shared" ca="1" si="6"/>
        <v>0</v>
      </c>
      <c r="X84" s="641">
        <f t="shared" ca="1" si="5"/>
        <v>9.8093815910684196E-2</v>
      </c>
      <c r="Y84" s="488">
        <f t="shared" ca="1" si="7"/>
        <v>0</v>
      </c>
      <c r="Z84" s="484">
        <f ca="1">IF('CDO Bespoke'!O85&lt;&gt;"",'CDO Bespoke'!O85,"")</f>
        <v>9.8093815910684196E-2</v>
      </c>
      <c r="AA84" s="641">
        <f ca="1">IF(Z84&lt;&gt;"",ABS(MIN(-0.6*'CDO Bespoke'!K85+'CDO Bespoke'!T85*'CDO Bespoke'!K85,0)),"")</f>
        <v>8.3638274168441731E-2</v>
      </c>
      <c r="AB84" s="641">
        <f t="shared" ca="1" si="8"/>
        <v>1.4455541742242464E-2</v>
      </c>
      <c r="AC84" s="488">
        <f t="shared" ca="1" si="9"/>
        <v>0</v>
      </c>
      <c r="AD84" s="272"/>
      <c r="AE84" s="493" t="str">
        <f ca="1">IF('CDO Bespoke'!C109&lt;&gt;"",'CDO Bespoke'!C109,"")</f>
        <v>Iberdrola, S.A.</v>
      </c>
      <c r="AF84" s="495">
        <f ca="1"/>
        <v>-4.8233036009648345E-4</v>
      </c>
      <c r="AG84" s="583">
        <f ca="1"/>
        <v>-4.0463419004321821E-4</v>
      </c>
      <c r="AH84" s="583">
        <f ca="1"/>
        <v>1.8867405798816961E-3</v>
      </c>
      <c r="AI84" s="583">
        <f ca="1"/>
        <v>0.656720987829984</v>
      </c>
      <c r="AJ84" s="496">
        <f ca="1"/>
        <v>0</v>
      </c>
      <c r="AK84" s="618">
        <f ca="1"/>
        <v>0</v>
      </c>
      <c r="AL84" s="495">
        <f ca="1"/>
        <v>3.4321074680182528E-4</v>
      </c>
      <c r="AM84" s="583">
        <f ca="1"/>
        <v>1.6715168569018599E-3</v>
      </c>
      <c r="AN84" s="583">
        <f ca="1"/>
        <v>7.3407317512010767E-3</v>
      </c>
      <c r="AO84" s="583">
        <f ca="1"/>
        <v>0.63166335704569954</v>
      </c>
      <c r="AP84" s="496">
        <f ca="1"/>
        <v>0</v>
      </c>
      <c r="AQ84" s="618">
        <f ca="1"/>
        <v>0</v>
      </c>
      <c r="AR84" s="495">
        <f ca="1"/>
        <v>-1.3816378416738717E-2</v>
      </c>
      <c r="AS84" s="496">
        <f ca="1"/>
        <v>-3.1217424384766268E-2</v>
      </c>
      <c r="AT84" s="618">
        <f ca="1"/>
        <v>0</v>
      </c>
      <c r="AU84" s="495">
        <f ca="1"/>
        <v>-6.1759247315394436E-2</v>
      </c>
      <c r="AV84" s="496">
        <f ca="1"/>
        <v>9.7367582115584338E-3</v>
      </c>
      <c r="AW84" s="618">
        <f ca="1"/>
        <v>0</v>
      </c>
    </row>
    <row r="85" spans="2:49">
      <c r="B85" s="538" t="s">
        <v>520</v>
      </c>
      <c r="C85" s="539" t="s">
        <v>66</v>
      </c>
      <c r="D85" s="539" t="s">
        <v>55</v>
      </c>
      <c r="E85" s="539" t="s">
        <v>645</v>
      </c>
      <c r="F85" s="539" t="s">
        <v>670</v>
      </c>
      <c r="G85" s="540">
        <v>0.01</v>
      </c>
      <c r="H85" s="540">
        <v>1.2049999999999999E-3</v>
      </c>
      <c r="I85" s="541">
        <v>0.4</v>
      </c>
      <c r="J85" s="600">
        <v>4</v>
      </c>
      <c r="K85" s="542">
        <v>21</v>
      </c>
      <c r="L85" s="272"/>
      <c r="M85" s="272"/>
      <c r="P85" s="273"/>
      <c r="Q85" s="273"/>
      <c r="R85" s="273"/>
      <c r="S85" s="273"/>
      <c r="T85" s="575">
        <f ca="1"/>
        <v>0.06</v>
      </c>
      <c r="U85" s="572">
        <f ca="1"/>
        <v>77</v>
      </c>
      <c r="V85" s="484">
        <f ca="1">IF('CDO Bespoke'!O86&lt;&gt;"",'CDO Bespoke'!O86,"")</f>
        <v>9.7132453026711196E-2</v>
      </c>
      <c r="W85" s="641">
        <f t="shared" ca="1" si="6"/>
        <v>0</v>
      </c>
      <c r="X85" s="641">
        <f t="shared" ca="1" si="5"/>
        <v>9.7132453026711196E-2</v>
      </c>
      <c r="Y85" s="488">
        <f t="shared" ca="1" si="7"/>
        <v>0</v>
      </c>
      <c r="Z85" s="484">
        <f ca="1">IF('CDO Bespoke'!O86&lt;&gt;"",'CDO Bespoke'!O86,"")</f>
        <v>9.7132453026711196E-2</v>
      </c>
      <c r="AA85" s="641">
        <f ca="1">IF(Z85&lt;&gt;"",ABS(MIN(-0.6*'CDO Bespoke'!K86+'CDO Bespoke'!T86*'CDO Bespoke'!K86,0)),"")</f>
        <v>9.230670147404571E-2</v>
      </c>
      <c r="AB85" s="641">
        <f t="shared" ca="1" si="8"/>
        <v>4.8257515526654859E-3</v>
      </c>
      <c r="AC85" s="488">
        <f t="shared" ca="1" si="9"/>
        <v>0</v>
      </c>
      <c r="AD85" s="272"/>
      <c r="AE85" s="493" t="str">
        <f ca="1">IF('CDO Bespoke'!C110&lt;&gt;"",'CDO Bespoke'!C110,"")</f>
        <v>NATIONAL GRID PLC</v>
      </c>
      <c r="AF85" s="495">
        <f ca="1"/>
        <v>-8.5843570030164074E-4</v>
      </c>
      <c r="AG85" s="583">
        <f ca="1"/>
        <v>-1.7585862299718258E-3</v>
      </c>
      <c r="AH85" s="583">
        <f ca="1"/>
        <v>-2.8335282797886663E-3</v>
      </c>
      <c r="AI85" s="583">
        <f ca="1"/>
        <v>0.78088082111016366</v>
      </c>
      <c r="AJ85" s="496">
        <f ca="1"/>
        <v>0</v>
      </c>
      <c r="AK85" s="618">
        <f ca="1"/>
        <v>0</v>
      </c>
      <c r="AL85" s="495">
        <f ca="1"/>
        <v>2.7387970300083581E-4</v>
      </c>
      <c r="AM85" s="583">
        <f ca="1"/>
        <v>1.3548739600990206E-3</v>
      </c>
      <c r="AN85" s="583">
        <f ca="1"/>
        <v>5.6830796250992993E-3</v>
      </c>
      <c r="AO85" s="583">
        <f ca="1"/>
        <v>0.72799193329880008</v>
      </c>
      <c r="AP85" s="496">
        <f ca="1"/>
        <v>0</v>
      </c>
      <c r="AQ85" s="618">
        <f ca="1"/>
        <v>0</v>
      </c>
      <c r="AR85" s="495">
        <f ca="1"/>
        <v>-8.1497700453129207E-3</v>
      </c>
      <c r="AS85" s="496">
        <f ca="1"/>
        <v>-3.5724053593723049E-2</v>
      </c>
      <c r="AT85" s="618">
        <f ca="1"/>
        <v>0</v>
      </c>
      <c r="AU85" s="495">
        <f ca="1"/>
        <v>-5.9290007263535414E-2</v>
      </c>
      <c r="AV85" s="496">
        <f ca="1"/>
        <v>1.7906585392612112E-2</v>
      </c>
      <c r="AW85" s="618">
        <f ca="1"/>
        <v>0</v>
      </c>
    </row>
    <row r="86" spans="2:49">
      <c r="B86" s="516" t="s">
        <v>520</v>
      </c>
      <c r="C86" s="517" t="s">
        <v>66</v>
      </c>
      <c r="D86" s="517" t="s">
        <v>57</v>
      </c>
      <c r="E86" s="517" t="s">
        <v>645</v>
      </c>
      <c r="F86" s="517" t="s">
        <v>670</v>
      </c>
      <c r="G86" s="524">
        <v>0.01</v>
      </c>
      <c r="H86" s="524">
        <v>1.9740000000000001E-3</v>
      </c>
      <c r="I86" s="526">
        <v>0.4</v>
      </c>
      <c r="J86" s="592">
        <v>4</v>
      </c>
      <c r="K86" s="518">
        <v>21</v>
      </c>
      <c r="L86" s="272"/>
      <c r="M86" s="272"/>
      <c r="P86" s="273"/>
      <c r="Q86" s="273"/>
      <c r="R86" s="273"/>
      <c r="S86" s="273"/>
      <c r="T86" s="575">
        <f ca="1"/>
        <v>0.06</v>
      </c>
      <c r="U86" s="572">
        <f ca="1"/>
        <v>78</v>
      </c>
      <c r="V86" s="484">
        <f ca="1">IF('CDO Bespoke'!O87&lt;&gt;"",'CDO Bespoke'!O87,"")</f>
        <v>9.7650141954244193E-2</v>
      </c>
      <c r="W86" s="641">
        <f t="shared" ca="1" si="6"/>
        <v>0</v>
      </c>
      <c r="X86" s="641">
        <f t="shared" ca="1" si="5"/>
        <v>9.7650141954244193E-2</v>
      </c>
      <c r="Y86" s="488">
        <f t="shared" ca="1" si="7"/>
        <v>0</v>
      </c>
      <c r="Z86" s="484">
        <f ca="1">IF('CDO Bespoke'!O87&lt;&gt;"",'CDO Bespoke'!O87,"")</f>
        <v>9.7650141954244193E-2</v>
      </c>
      <c r="AA86" s="641">
        <f ca="1">IF(Z86&lt;&gt;"",ABS(MIN(-0.6*'CDO Bespoke'!K87+'CDO Bespoke'!T87*'CDO Bespoke'!K87,0)),"")</f>
        <v>8.8592429993710087E-2</v>
      </c>
      <c r="AB86" s="641">
        <f t="shared" ca="1" si="8"/>
        <v>9.0577119605341067E-3</v>
      </c>
      <c r="AC86" s="488">
        <f t="shared" ca="1" si="9"/>
        <v>0</v>
      </c>
      <c r="AD86" s="272"/>
      <c r="AE86" s="493" t="str">
        <f ca="1">IF('CDO Bespoke'!C111&lt;&gt;"",'CDO Bespoke'!C111,"")</f>
        <v>NATURGY ENERGY GROUP, S.A.</v>
      </c>
      <c r="AF86" s="495">
        <f ca="1"/>
        <v>-6.3952212026041622E-4</v>
      </c>
      <c r="AG86" s="583">
        <f ca="1"/>
        <v>-9.3753497021342724E-4</v>
      </c>
      <c r="AH86" s="583">
        <f ca="1"/>
        <v>1.46631959907495E-4</v>
      </c>
      <c r="AI86" s="583">
        <f ca="1"/>
        <v>0.7146002295599363</v>
      </c>
      <c r="AJ86" s="496">
        <f ca="1"/>
        <v>0</v>
      </c>
      <c r="AK86" s="618">
        <f ca="1"/>
        <v>0</v>
      </c>
      <c r="AL86" s="495">
        <f ca="1"/>
        <v>3.1979732200045075E-4</v>
      </c>
      <c r="AM86" s="583">
        <f ca="1"/>
        <v>1.5664062895989067E-3</v>
      </c>
      <c r="AN86" s="583">
        <f ca="1"/>
        <v>6.777995100997608E-3</v>
      </c>
      <c r="AO86" s="583">
        <f ca="1"/>
        <v>0.67783307163359929</v>
      </c>
      <c r="AP86" s="496">
        <f ca="1"/>
        <v>0</v>
      </c>
      <c r="AQ86" s="618">
        <f ca="1"/>
        <v>0</v>
      </c>
      <c r="AR86" s="495">
        <f ca="1"/>
        <v>-1.1160365072258482E-2</v>
      </c>
      <c r="AS86" s="496">
        <f ca="1"/>
        <v>-3.3431243745066508E-2</v>
      </c>
      <c r="AT86" s="618">
        <f ca="1"/>
        <v>0</v>
      </c>
      <c r="AU86" s="495">
        <f ca="1"/>
        <v>-6.0612795480084455E-2</v>
      </c>
      <c r="AV86" s="496">
        <f ca="1"/>
        <v>1.3158938854425858E-2</v>
      </c>
      <c r="AW86" s="618">
        <f ca="1"/>
        <v>0</v>
      </c>
    </row>
    <row r="87" spans="2:49">
      <c r="B87" s="533" t="s">
        <v>520</v>
      </c>
      <c r="C87" s="534" t="s">
        <v>66</v>
      </c>
      <c r="D87" s="534" t="s">
        <v>59</v>
      </c>
      <c r="E87" s="534" t="s">
        <v>645</v>
      </c>
      <c r="F87" s="534" t="s">
        <v>670</v>
      </c>
      <c r="G87" s="535">
        <v>0.01</v>
      </c>
      <c r="H87" s="535">
        <v>3.055E-3</v>
      </c>
      <c r="I87" s="536">
        <v>0.4</v>
      </c>
      <c r="J87" s="593">
        <v>4</v>
      </c>
      <c r="K87" s="537">
        <v>21</v>
      </c>
      <c r="L87" s="272"/>
      <c r="M87" s="272"/>
      <c r="P87" s="273"/>
      <c r="Q87" s="273"/>
      <c r="R87" s="273"/>
      <c r="S87" s="273"/>
      <c r="T87" s="575">
        <f ca="1"/>
        <v>0.06</v>
      </c>
      <c r="U87" s="572">
        <f ca="1"/>
        <v>79</v>
      </c>
      <c r="V87" s="484">
        <f ca="1">IF('CDO Bespoke'!O88&lt;&gt;"",'CDO Bespoke'!O88,"")</f>
        <v>9.6956074413302201E-2</v>
      </c>
      <c r="W87" s="641">
        <f t="shared" ca="1" si="6"/>
        <v>0</v>
      </c>
      <c r="X87" s="641">
        <f t="shared" ca="1" si="5"/>
        <v>9.6956074413302201E-2</v>
      </c>
      <c r="Y87" s="488">
        <f t="shared" ca="1" si="7"/>
        <v>0</v>
      </c>
      <c r="Z87" s="484">
        <f ca="1">IF('CDO Bespoke'!O88&lt;&gt;"",'CDO Bespoke'!O88,"")</f>
        <v>9.6956074413302201E-2</v>
      </c>
      <c r="AA87" s="641">
        <f ca="1">IF(Z87&lt;&gt;"",ABS(MIN(-0.6*'CDO Bespoke'!K88+'CDO Bespoke'!T88*'CDO Bespoke'!K88,0)),"")</f>
        <v>9.3249334172094328E-2</v>
      </c>
      <c r="AB87" s="641">
        <f t="shared" ca="1" si="8"/>
        <v>3.7067402412078732E-3</v>
      </c>
      <c r="AC87" s="488">
        <f t="shared" ca="1" si="9"/>
        <v>0</v>
      </c>
      <c r="AD87" s="272"/>
      <c r="AE87" s="493" t="str">
        <f ca="1">IF('CDO Bespoke'!C112&lt;&gt;"",'CDO Bespoke'!C112,"")</f>
        <v>REPSOL, S.A.</v>
      </c>
      <c r="AF87" s="495">
        <f ca="1"/>
        <v>-9.0557546017500101E-4</v>
      </c>
      <c r="AG87" s="583">
        <f ca="1"/>
        <v>-1.9321440702935178E-3</v>
      </c>
      <c r="AH87" s="583">
        <f ca="1"/>
        <v>-3.4513777702471771E-3</v>
      </c>
      <c r="AI87" s="583">
        <f ca="1"/>
        <v>0.79390321518990614</v>
      </c>
      <c r="AJ87" s="496">
        <f ca="1"/>
        <v>0</v>
      </c>
      <c r="AK87" s="618">
        <f ca="1"/>
        <v>0</v>
      </c>
      <c r="AL87" s="495">
        <f ca="1"/>
        <v>2.6139544890158711E-4</v>
      </c>
      <c r="AM87" s="583">
        <f ca="1"/>
        <v>1.2970867554031387E-3</v>
      </c>
      <c r="AN87" s="583">
        <f ca="1"/>
        <v>5.3917747147016679E-3</v>
      </c>
      <c r="AO87" s="583">
        <f ca="1"/>
        <v>0.73763724862560287</v>
      </c>
      <c r="AP87" s="496">
        <f ca="1"/>
        <v>0</v>
      </c>
      <c r="AQ87" s="618">
        <f ca="1"/>
        <v>0</v>
      </c>
      <c r="AR87" s="495">
        <f ca="1"/>
        <v>-7.541013230690452E-3</v>
      </c>
      <c r="AS87" s="496">
        <f ca="1"/>
        <v>-3.6137652055509506E-2</v>
      </c>
      <c r="AT87" s="618">
        <f ca="1"/>
        <v>0</v>
      </c>
      <c r="AU87" s="495">
        <f ca="1"/>
        <v>-0.10987691441692413</v>
      </c>
      <c r="AV87" s="496">
        <f ca="1"/>
        <v>7.8443169082680238E-3</v>
      </c>
      <c r="AW87" s="618">
        <f ca="1"/>
        <v>0</v>
      </c>
    </row>
    <row r="88" spans="2:49">
      <c r="B88" s="538" t="s">
        <v>612</v>
      </c>
      <c r="C88" s="539" t="s">
        <v>66</v>
      </c>
      <c r="D88" s="539" t="s">
        <v>55</v>
      </c>
      <c r="E88" s="539" t="s">
        <v>647</v>
      </c>
      <c r="F88" s="539" t="s">
        <v>670</v>
      </c>
      <c r="G88" s="540">
        <v>0.01</v>
      </c>
      <c r="H88" s="540">
        <v>1.1557E-2</v>
      </c>
      <c r="I88" s="541">
        <v>0.4</v>
      </c>
      <c r="J88" s="600">
        <v>4</v>
      </c>
      <c r="K88" s="542">
        <v>22</v>
      </c>
      <c r="L88" s="272"/>
      <c r="M88" s="272"/>
      <c r="P88" s="273"/>
      <c r="Q88" s="273"/>
      <c r="R88" s="273"/>
      <c r="S88" s="273"/>
      <c r="T88" s="575">
        <f ca="1"/>
        <v>0.06</v>
      </c>
      <c r="U88" s="572">
        <f ca="1"/>
        <v>80</v>
      </c>
      <c r="V88" s="484">
        <f ca="1">IF('CDO Bespoke'!O89&lt;&gt;"",'CDO Bespoke'!O89,"")</f>
        <v>9.83195606102302E-2</v>
      </c>
      <c r="W88" s="641">
        <f t="shared" ca="1" si="6"/>
        <v>0</v>
      </c>
      <c r="X88" s="641">
        <f t="shared" ca="1" si="5"/>
        <v>9.83195606102302E-2</v>
      </c>
      <c r="Y88" s="488">
        <f t="shared" ca="1" si="7"/>
        <v>0</v>
      </c>
      <c r="Z88" s="484">
        <f ca="1">IF('CDO Bespoke'!O89&lt;&gt;"",'CDO Bespoke'!O89,"")</f>
        <v>9.83195606102302E-2</v>
      </c>
      <c r="AA88" s="641">
        <f ca="1">IF(Z88&lt;&gt;"",ABS(MIN(-0.6*'CDO Bespoke'!K89+'CDO Bespoke'!T89*'CDO Bespoke'!K89,0)),"")</f>
        <v>8.0023052275700751E-2</v>
      </c>
      <c r="AB88" s="641">
        <f t="shared" ca="1" si="8"/>
        <v>1.8296508334529449E-2</v>
      </c>
      <c r="AC88" s="488">
        <f t="shared" ca="1" si="9"/>
        <v>0</v>
      </c>
      <c r="AD88" s="272"/>
      <c r="AE88" s="493" t="str">
        <f ca="1">IF('CDO Bespoke'!C113&lt;&gt;"",'CDO Bespoke'!C113,"")</f>
        <v>SHELL PLC</v>
      </c>
      <c r="AF88" s="495">
        <f ca="1"/>
        <v>-3.171871598706133E-4</v>
      </c>
      <c r="AG88" s="583">
        <f ca="1"/>
        <v>1.8728384010291421E-4</v>
      </c>
      <c r="AH88" s="583">
        <f ca="1"/>
        <v>3.8857892398214133E-3</v>
      </c>
      <c r="AI88" s="583">
        <f ca="1"/>
        <v>0.59181147294973258</v>
      </c>
      <c r="AJ88" s="496">
        <f ca="1"/>
        <v>0</v>
      </c>
      <c r="AK88" s="618">
        <f ca="1"/>
        <v>0</v>
      </c>
      <c r="AL88" s="495">
        <f ca="1"/>
        <v>3.5247864249750294E-4</v>
      </c>
      <c r="AM88" s="583">
        <f ca="1"/>
        <v>1.7100329869962003E-3</v>
      </c>
      <c r="AN88" s="583">
        <f ca="1"/>
        <v>7.598425610798494E-3</v>
      </c>
      <c r="AO88" s="583">
        <f ca="1"/>
        <v>0.57836620816699602</v>
      </c>
      <c r="AP88" s="496">
        <f ca="1"/>
        <v>0</v>
      </c>
      <c r="AQ88" s="618">
        <f ca="1"/>
        <v>0</v>
      </c>
      <c r="AR88" s="495">
        <f ca="1"/>
        <v>-1.6722295346437654E-2</v>
      </c>
      <c r="AS88" s="496">
        <f ca="1"/>
        <v>-2.8583718483623288E-2</v>
      </c>
      <c r="AT88" s="618">
        <f ca="1"/>
        <v>0</v>
      </c>
      <c r="AU88" s="495">
        <f ca="1"/>
        <v>-0.11756469836614644</v>
      </c>
      <c r="AV88" s="496">
        <f ca="1"/>
        <v>-2.1100736845000474E-3</v>
      </c>
      <c r="AW88" s="618">
        <f ca="1"/>
        <v>0</v>
      </c>
    </row>
    <row r="89" spans="2:49">
      <c r="B89" s="516" t="s">
        <v>612</v>
      </c>
      <c r="C89" s="517" t="s">
        <v>66</v>
      </c>
      <c r="D89" s="517" t="s">
        <v>57</v>
      </c>
      <c r="E89" s="517" t="s">
        <v>647</v>
      </c>
      <c r="F89" s="517" t="s">
        <v>670</v>
      </c>
      <c r="G89" s="524">
        <v>0.01</v>
      </c>
      <c r="H89" s="524">
        <v>1.7305000000000001E-2</v>
      </c>
      <c r="I89" s="526">
        <v>0.4</v>
      </c>
      <c r="J89" s="592">
        <v>4</v>
      </c>
      <c r="K89" s="518">
        <v>22</v>
      </c>
      <c r="L89" s="272"/>
      <c r="M89" s="272"/>
      <c r="P89" s="273"/>
      <c r="Q89" s="273"/>
      <c r="R89" s="273"/>
      <c r="S89" s="273"/>
      <c r="T89" s="575">
        <f ca="1"/>
        <v>0.06</v>
      </c>
      <c r="U89" s="572">
        <f ca="1"/>
        <v>81</v>
      </c>
      <c r="V89" s="484">
        <f ca="1">IF('CDO Bespoke'!O90&lt;&gt;"",'CDO Bespoke'!O90,"")</f>
        <v>9.8421568222774203E-2</v>
      </c>
      <c r="W89" s="641">
        <f t="shared" ca="1" si="6"/>
        <v>0</v>
      </c>
      <c r="X89" s="641">
        <f t="shared" ca="1" si="5"/>
        <v>9.8421568222774203E-2</v>
      </c>
      <c r="Y89" s="488">
        <f t="shared" ca="1" si="7"/>
        <v>0</v>
      </c>
      <c r="Z89" s="484">
        <f ca="1">IF('CDO Bespoke'!O90&lt;&gt;"",'CDO Bespoke'!O90,"")</f>
        <v>9.8421568222774203E-2</v>
      </c>
      <c r="AA89" s="641">
        <f ca="1">IF(Z89&lt;&gt;"",ABS(MIN(-0.6*'CDO Bespoke'!K90+'CDO Bespoke'!T90*'CDO Bespoke'!K90,0)),"")</f>
        <v>7.8009539197698013E-2</v>
      </c>
      <c r="AB89" s="641">
        <f t="shared" ca="1" si="8"/>
        <v>2.0412029025076189E-2</v>
      </c>
      <c r="AC89" s="488">
        <f t="shared" ca="1" si="9"/>
        <v>0</v>
      </c>
      <c r="AD89" s="272"/>
      <c r="AE89" s="493" t="str">
        <f ca="1">IF('CDO Bespoke'!C114&lt;&gt;"",'CDO Bespoke'!C114,"")</f>
        <v>TotalEnergies SE</v>
      </c>
      <c r="AF89" s="495">
        <f ca="1"/>
        <v>-2.8949463992677948E-4</v>
      </c>
      <c r="AG89" s="583">
        <f ca="1"/>
        <v>2.5617797994037517E-4</v>
      </c>
      <c r="AH89" s="583">
        <f ca="1"/>
        <v>4.0311569199369401E-3</v>
      </c>
      <c r="AI89" s="583">
        <f ca="1"/>
        <v>0.57663529280993497</v>
      </c>
      <c r="AJ89" s="496">
        <f ca="1"/>
        <v>0</v>
      </c>
      <c r="AK89" s="618">
        <f ca="1"/>
        <v>0</v>
      </c>
      <c r="AL89" s="495">
        <f ca="1"/>
        <v>3.5295424710094642E-4</v>
      </c>
      <c r="AM89" s="583">
        <f ca="1"/>
        <v>1.7107309929981565E-3</v>
      </c>
      <c r="AN89" s="583">
        <f ca="1"/>
        <v>7.6147593526011692E-3</v>
      </c>
      <c r="AO89" s="583">
        <f ca="1"/>
        <v>0.56545540708940156</v>
      </c>
      <c r="AP89" s="496">
        <f ca="1"/>
        <v>0</v>
      </c>
      <c r="AQ89" s="618">
        <f ca="1"/>
        <v>0</v>
      </c>
      <c r="AR89" s="495">
        <f ca="1"/>
        <v>-1.7431447940222722E-2</v>
      </c>
      <c r="AS89" s="496">
        <f ca="1"/>
        <v>-2.7934181196998253E-2</v>
      </c>
      <c r="AT89" s="618">
        <f ca="1"/>
        <v>0</v>
      </c>
      <c r="AU89" s="495">
        <f ca="1"/>
        <v>-0.11814247176879555</v>
      </c>
      <c r="AV89" s="496">
        <f ca="1"/>
        <v>-2.569863560506952E-3</v>
      </c>
      <c r="AW89" s="618">
        <f ca="1"/>
        <v>0</v>
      </c>
    </row>
    <row r="90" spans="2:49">
      <c r="B90" s="533" t="s">
        <v>612</v>
      </c>
      <c r="C90" s="534" t="s">
        <v>66</v>
      </c>
      <c r="D90" s="534" t="s">
        <v>59</v>
      </c>
      <c r="E90" s="534" t="s">
        <v>647</v>
      </c>
      <c r="F90" s="534" t="s">
        <v>670</v>
      </c>
      <c r="G90" s="535">
        <v>0.01</v>
      </c>
      <c r="H90" s="535">
        <v>2.0903000000000001E-2</v>
      </c>
      <c r="I90" s="536">
        <v>0.4</v>
      </c>
      <c r="J90" s="593">
        <v>4</v>
      </c>
      <c r="K90" s="537">
        <v>22</v>
      </c>
      <c r="L90" s="272"/>
      <c r="M90" s="272"/>
      <c r="P90" s="273"/>
      <c r="Q90" s="273"/>
      <c r="R90" s="273"/>
      <c r="S90" s="273"/>
      <c r="T90" s="575">
        <f ca="1"/>
        <v>0.06</v>
      </c>
      <c r="U90" s="572">
        <f ca="1"/>
        <v>82</v>
      </c>
      <c r="V90" s="484">
        <f ca="1">IF('CDO Bespoke'!O91&lt;&gt;"",'CDO Bespoke'!O91,"")</f>
        <v>9.7966750355202206E-2</v>
      </c>
      <c r="W90" s="641">
        <f t="shared" ca="1" si="6"/>
        <v>0</v>
      </c>
      <c r="X90" s="641">
        <f t="shared" ca="1" si="5"/>
        <v>9.7966750355202206E-2</v>
      </c>
      <c r="Y90" s="488">
        <f t="shared" ca="1" si="7"/>
        <v>0</v>
      </c>
      <c r="Z90" s="484">
        <f ca="1">IF('CDO Bespoke'!O91&lt;&gt;"",'CDO Bespoke'!O91,"")</f>
        <v>9.7966750355202206E-2</v>
      </c>
      <c r="AA90" s="641">
        <f ca="1">IF(Z90&lt;&gt;"",ABS(MIN(-0.6*'CDO Bespoke'!K91+'CDO Bespoke'!T91*'CDO Bespoke'!K91,0)),"")</f>
        <v>8.5293660739548305E-2</v>
      </c>
      <c r="AB90" s="641">
        <f t="shared" ca="1" si="8"/>
        <v>1.2673089615653901E-2</v>
      </c>
      <c r="AC90" s="488">
        <f t="shared" ca="1" si="9"/>
        <v>0</v>
      </c>
      <c r="AD90" s="272"/>
      <c r="AE90" s="493" t="str">
        <f ca="1">IF('CDO Bespoke'!C115&lt;&gt;"",'CDO Bespoke'!C115,"")</f>
        <v>VEOLIA ENVIRONNEMENT</v>
      </c>
      <c r="AF90" s="495">
        <f ca="1"/>
        <v>-5.6154855987422536E-4</v>
      </c>
      <c r="AG90" s="583">
        <f ca="1"/>
        <v>-6.9243707989663505E-4</v>
      </c>
      <c r="AH90" s="583">
        <f ca="1"/>
        <v>8.8525172969866617E-4</v>
      </c>
      <c r="AI90" s="583">
        <f ca="1"/>
        <v>0.68542739968979749</v>
      </c>
      <c r="AJ90" s="496">
        <f ca="1"/>
        <v>0</v>
      </c>
      <c r="AK90" s="618">
        <f ca="1"/>
        <v>0</v>
      </c>
      <c r="AL90" s="495">
        <f ca="1"/>
        <v>3.3410472519666834E-4</v>
      </c>
      <c r="AM90" s="583">
        <f ca="1"/>
        <v>1.6308133620000081E-3</v>
      </c>
      <c r="AN90" s="583">
        <f ca="1"/>
        <v>7.1120229492996692E-3</v>
      </c>
      <c r="AO90" s="583">
        <f ca="1"/>
        <v>0.65466215454269572</v>
      </c>
      <c r="AP90" s="496">
        <f ca="1"/>
        <v>0</v>
      </c>
      <c r="AQ90" s="618">
        <f ca="1"/>
        <v>0</v>
      </c>
      <c r="AR90" s="495">
        <f ca="1"/>
        <v>-1.2528095684606722E-2</v>
      </c>
      <c r="AS90" s="496">
        <f ca="1"/>
        <v>-3.2330192470039265E-2</v>
      </c>
      <c r="AT90" s="618">
        <f ca="1"/>
        <v>0</v>
      </c>
      <c r="AU90" s="495">
        <f ca="1"/>
        <v>-6.1224060159945526E-2</v>
      </c>
      <c r="AV90" s="496">
        <f ca="1"/>
        <v>1.129900051980252E-2</v>
      </c>
      <c r="AW90" s="618">
        <f ca="1"/>
        <v>0</v>
      </c>
    </row>
    <row r="91" spans="2:49">
      <c r="B91" s="538" t="s">
        <v>536</v>
      </c>
      <c r="C91" s="539" t="s">
        <v>66</v>
      </c>
      <c r="D91" s="539" t="s">
        <v>55</v>
      </c>
      <c r="E91" s="539" t="s">
        <v>647</v>
      </c>
      <c r="F91" s="539" t="s">
        <v>646</v>
      </c>
      <c r="G91" s="540">
        <v>0.01</v>
      </c>
      <c r="H91" s="540">
        <v>3.4970000000000001E-3</v>
      </c>
      <c r="I91" s="541">
        <v>0.4</v>
      </c>
      <c r="J91" s="600">
        <v>4</v>
      </c>
      <c r="K91" s="542">
        <v>23</v>
      </c>
      <c r="L91" s="272"/>
      <c r="M91" s="272"/>
      <c r="P91" s="273"/>
      <c r="Q91" s="273"/>
      <c r="R91" s="273"/>
      <c r="S91" s="273"/>
      <c r="T91" s="575">
        <f ca="1"/>
        <v>0.06</v>
      </c>
      <c r="U91" s="572">
        <f ca="1"/>
        <v>83</v>
      </c>
      <c r="V91" s="484">
        <f ca="1">IF('CDO Bespoke'!O92&lt;&gt;"",'CDO Bespoke'!O92,"")</f>
        <v>9.8196040385388206E-2</v>
      </c>
      <c r="W91" s="641">
        <f t="shared" ca="1" si="6"/>
        <v>0</v>
      </c>
      <c r="X91" s="641">
        <f t="shared" ca="1" si="5"/>
        <v>9.8196040385388206E-2</v>
      </c>
      <c r="Y91" s="488">
        <f t="shared" ca="1" si="7"/>
        <v>0</v>
      </c>
      <c r="Z91" s="484">
        <f ca="1">IF('CDO Bespoke'!O92&lt;&gt;"",'CDO Bespoke'!O92,"")</f>
        <v>9.8196040385388206E-2</v>
      </c>
      <c r="AA91" s="641">
        <f ca="1">IF(Z91&lt;&gt;"",ABS(MIN(-0.6*'CDO Bespoke'!K92+'CDO Bespoke'!T92*'CDO Bespoke'!K92,0)),"")</f>
        <v>8.2123516967449781E-2</v>
      </c>
      <c r="AB91" s="641">
        <f t="shared" ca="1" si="8"/>
        <v>1.6072523417938425E-2</v>
      </c>
      <c r="AC91" s="488">
        <f t="shared" ca="1" si="9"/>
        <v>0</v>
      </c>
      <c r="AD91" s="272"/>
      <c r="AE91" s="493" t="str">
        <f ca="1">IF('CDO Bespoke'!C116&lt;&gt;"",'CDO Bespoke'!C116,"")</f>
        <v>Bertelsmann SE &amp; Co. KGaA</v>
      </c>
      <c r="AF91" s="495">
        <f ca="1"/>
        <v>-3.5063425996018083E-4</v>
      </c>
      <c r="AG91" s="583">
        <f ca="1"/>
        <v>9.7652499975175999E-5</v>
      </c>
      <c r="AH91" s="583">
        <f ca="1"/>
        <v>3.6752825099961584E-3</v>
      </c>
      <c r="AI91" s="583">
        <f ca="1"/>
        <v>0.60862249515014621</v>
      </c>
      <c r="AJ91" s="496">
        <f ca="1"/>
        <v>0</v>
      </c>
      <c r="AK91" s="618">
        <f ca="1"/>
        <v>0</v>
      </c>
      <c r="AL91" s="495">
        <f ca="1"/>
        <v>3.510083868007996E-4</v>
      </c>
      <c r="AM91" s="583">
        <f ca="1"/>
        <v>1.7047815597994592E-3</v>
      </c>
      <c r="AN91" s="583">
        <f ca="1"/>
        <v>7.559093408299189E-3</v>
      </c>
      <c r="AO91" s="583">
        <f ca="1"/>
        <v>0.59252350919849683</v>
      </c>
      <c r="AP91" s="496">
        <f ca="1"/>
        <v>0</v>
      </c>
      <c r="AQ91" s="618">
        <f ca="1"/>
        <v>0</v>
      </c>
      <c r="AR91" s="495">
        <f ca="1"/>
        <v>-1.593780511074111E-2</v>
      </c>
      <c r="AS91" s="496">
        <f ca="1"/>
        <v>-2.9292103554694859E-2</v>
      </c>
      <c r="AT91" s="618">
        <f ca="1"/>
        <v>0</v>
      </c>
      <c r="AU91" s="495">
        <f ca="1"/>
        <v>-0.1169194951197372</v>
      </c>
      <c r="AV91" s="496">
        <f ca="1"/>
        <v>-1.5554276688182871E-3</v>
      </c>
      <c r="AW91" s="618">
        <f ca="1"/>
        <v>0</v>
      </c>
    </row>
    <row r="92" spans="2:49">
      <c r="B92" s="516" t="s">
        <v>536</v>
      </c>
      <c r="C92" s="517" t="s">
        <v>66</v>
      </c>
      <c r="D92" s="517" t="s">
        <v>57</v>
      </c>
      <c r="E92" s="517" t="s">
        <v>647</v>
      </c>
      <c r="F92" s="517" t="s">
        <v>646</v>
      </c>
      <c r="G92" s="524">
        <v>0.01</v>
      </c>
      <c r="H92" s="524">
        <v>6.7010000000000004E-3</v>
      </c>
      <c r="I92" s="526">
        <v>0.4</v>
      </c>
      <c r="J92" s="592">
        <v>4</v>
      </c>
      <c r="K92" s="518">
        <v>23</v>
      </c>
      <c r="L92" s="272"/>
      <c r="M92" s="272"/>
      <c r="P92" s="273"/>
      <c r="Q92" s="273"/>
      <c r="R92" s="273"/>
      <c r="S92" s="273"/>
      <c r="T92" s="575">
        <f ca="1"/>
        <v>0.06</v>
      </c>
      <c r="U92" s="572">
        <f ca="1"/>
        <v>84</v>
      </c>
      <c r="V92" s="484">
        <f ca="1">IF('CDO Bespoke'!O93&lt;&gt;"",'CDO Bespoke'!O93,"")</f>
        <v>9.7112886470318197E-2</v>
      </c>
      <c r="W92" s="641">
        <f t="shared" ca="1" si="6"/>
        <v>0</v>
      </c>
      <c r="X92" s="641">
        <f t="shared" ca="1" si="5"/>
        <v>9.7112886470318197E-2</v>
      </c>
      <c r="Y92" s="488">
        <f t="shared" ca="1" si="7"/>
        <v>0</v>
      </c>
      <c r="Z92" s="484">
        <f ca="1">IF('CDO Bespoke'!O93&lt;&gt;"",'CDO Bespoke'!O93,"")</f>
        <v>9.7112886470318197E-2</v>
      </c>
      <c r="AA92" s="641">
        <f ca="1">IF(Z92&lt;&gt;"",ABS(MIN(-0.6*'CDO Bespoke'!K93+'CDO Bespoke'!T93*'CDO Bespoke'!K93,0)),"")</f>
        <v>9.2417956750118171E-2</v>
      </c>
      <c r="AB92" s="641">
        <f t="shared" ca="1" si="8"/>
        <v>4.6949297202000251E-3</v>
      </c>
      <c r="AC92" s="488">
        <f t="shared" ca="1" si="9"/>
        <v>0</v>
      </c>
      <c r="AD92" s="272"/>
      <c r="AE92" s="493" t="str">
        <f ca="1">IF('CDO Bespoke'!C117&lt;&gt;"",'CDO Bespoke'!C117,"")</f>
        <v>BRITISH TELECOMMUNICATIONS public limited company</v>
      </c>
      <c r="AF92" s="495">
        <f ca="1"/>
        <v>-1.1764303098349416E-3</v>
      </c>
      <c r="AG92" s="583">
        <f ca="1"/>
        <v>-3.1034255898454433E-3</v>
      </c>
      <c r="AH92" s="583">
        <f ca="1"/>
        <v>-8.3635968700646046E-3</v>
      </c>
      <c r="AI92" s="583">
        <f ca="1"/>
        <v>0.86054829177006908</v>
      </c>
      <c r="AJ92" s="496">
        <f ca="1"/>
        <v>0</v>
      </c>
      <c r="AK92" s="618">
        <f ca="1"/>
        <v>0</v>
      </c>
      <c r="AL92" s="495">
        <f ca="1"/>
        <v>1.921155347002837E-4</v>
      </c>
      <c r="AM92" s="583">
        <f ca="1"/>
        <v>9.7218348669991794E-4</v>
      </c>
      <c r="AN92" s="583">
        <f ca="1"/>
        <v>3.6907398206012521E-3</v>
      </c>
      <c r="AO92" s="583">
        <f ca="1"/>
        <v>0.78533076224380094</v>
      </c>
      <c r="AP92" s="496">
        <f ca="1"/>
        <v>0</v>
      </c>
      <c r="AQ92" s="618">
        <f ca="1"/>
        <v>0</v>
      </c>
      <c r="AR92" s="495">
        <f ca="1"/>
        <v>-4.6848601982287796E-3</v>
      </c>
      <c r="AS92" s="496">
        <f ca="1"/>
        <v>-3.8083401018635221E-2</v>
      </c>
      <c r="AT92" s="618">
        <f ca="1"/>
        <v>0</v>
      </c>
      <c r="AU92" s="495">
        <f ca="1"/>
        <v>-7.5265954977330352E-2</v>
      </c>
      <c r="AV92" s="496">
        <f ca="1"/>
        <v>2.067449841386635E-2</v>
      </c>
      <c r="AW92" s="618">
        <f ca="1"/>
        <v>0</v>
      </c>
    </row>
    <row r="93" spans="2:49">
      <c r="B93" s="533" t="s">
        <v>536</v>
      </c>
      <c r="C93" s="534" t="s">
        <v>66</v>
      </c>
      <c r="D93" s="534" t="s">
        <v>59</v>
      </c>
      <c r="E93" s="534" t="s">
        <v>647</v>
      </c>
      <c r="F93" s="534" t="s">
        <v>646</v>
      </c>
      <c r="G93" s="535">
        <v>0.01</v>
      </c>
      <c r="H93" s="535">
        <v>1.042E-2</v>
      </c>
      <c r="I93" s="536">
        <v>0.4</v>
      </c>
      <c r="J93" s="593">
        <v>4</v>
      </c>
      <c r="K93" s="537">
        <v>23</v>
      </c>
      <c r="L93" s="272"/>
      <c r="M93" s="272"/>
      <c r="P93" s="273"/>
      <c r="Q93" s="273"/>
      <c r="R93" s="273"/>
      <c r="S93" s="273"/>
      <c r="T93" s="575">
        <f ca="1"/>
        <v>0.06</v>
      </c>
      <c r="U93" s="572">
        <f ca="1"/>
        <v>85</v>
      </c>
      <c r="V93" s="484">
        <f ca="1">IF('CDO Bespoke'!O94&lt;&gt;"",'CDO Bespoke'!O94,"")</f>
        <v>9.8199106873026201E-2</v>
      </c>
      <c r="W93" s="641">
        <f t="shared" ca="1" si="6"/>
        <v>0</v>
      </c>
      <c r="X93" s="641">
        <f t="shared" ca="1" si="5"/>
        <v>9.8199106873026201E-2</v>
      </c>
      <c r="Y93" s="488">
        <f t="shared" ca="1" si="7"/>
        <v>0</v>
      </c>
      <c r="Z93" s="484">
        <f ca="1">IF('CDO Bespoke'!O94&lt;&gt;"",'CDO Bespoke'!O94,"")</f>
        <v>9.8199106873026201E-2</v>
      </c>
      <c r="AA93" s="641">
        <f ca="1">IF(Z93&lt;&gt;"",ABS(MIN(-0.6*'CDO Bespoke'!K94+'CDO Bespoke'!T94*'CDO Bespoke'!K94,0)),"")</f>
        <v>8.2075191574477416E-2</v>
      </c>
      <c r="AB93" s="641">
        <f t="shared" ca="1" si="8"/>
        <v>1.6123915298548785E-2</v>
      </c>
      <c r="AC93" s="488">
        <f t="shared" ca="1" si="9"/>
        <v>0</v>
      </c>
      <c r="AD93" s="272"/>
      <c r="AE93" s="493" t="str">
        <f ca="1">IF('CDO Bespoke'!C118&lt;&gt;"",'CDO Bespoke'!C118,"")</f>
        <v>Deutsche Telekom AG</v>
      </c>
      <c r="AF93" s="495">
        <f ca="1"/>
        <v>-3.1901722985505643E-4</v>
      </c>
      <c r="AG93" s="583">
        <f ca="1"/>
        <v>2.2442692981794465E-4</v>
      </c>
      <c r="AH93" s="583">
        <f ca="1"/>
        <v>4.139340639697231E-3</v>
      </c>
      <c r="AI93" s="583">
        <f ca="1"/>
        <v>0.59730885592967908</v>
      </c>
      <c r="AJ93" s="496">
        <f ca="1"/>
        <v>0</v>
      </c>
      <c r="AK93" s="618">
        <f ca="1"/>
        <v>0</v>
      </c>
      <c r="AL93" s="495">
        <f ca="1"/>
        <v>3.5160871929718757E-4</v>
      </c>
      <c r="AM93" s="583">
        <f ca="1"/>
        <v>1.7068590608005502E-3</v>
      </c>
      <c r="AN93" s="583">
        <f ca="1"/>
        <v>7.5834653250972731E-3</v>
      </c>
      <c r="AO93" s="583">
        <f ca="1"/>
        <v>0.58322959269619867</v>
      </c>
      <c r="AP93" s="496">
        <f ca="1"/>
        <v>0</v>
      </c>
      <c r="AQ93" s="618">
        <f ca="1"/>
        <v>0</v>
      </c>
      <c r="AR93" s="495">
        <f ca="1"/>
        <v>-1.642867684907906E-2</v>
      </c>
      <c r="AS93" s="496">
        <f ca="1"/>
        <v>-2.883086993230094E-2</v>
      </c>
      <c r="AT93" s="618">
        <f ca="1"/>
        <v>0</v>
      </c>
      <c r="AU93" s="495">
        <f ca="1"/>
        <v>-8.183640544670652E-2</v>
      </c>
      <c r="AV93" s="496">
        <f ca="1"/>
        <v>4.0412254689388295E-3</v>
      </c>
      <c r="AW93" s="618">
        <f ca="1"/>
        <v>0</v>
      </c>
    </row>
    <row r="94" spans="2:49">
      <c r="B94" s="538" t="s">
        <v>521</v>
      </c>
      <c r="C94" s="539" t="s">
        <v>66</v>
      </c>
      <c r="D94" s="539" t="s">
        <v>55</v>
      </c>
      <c r="E94" s="539" t="s">
        <v>645</v>
      </c>
      <c r="F94" s="539" t="s">
        <v>668</v>
      </c>
      <c r="G94" s="540">
        <v>0.01</v>
      </c>
      <c r="H94" s="540">
        <v>2.7599999999999999E-3</v>
      </c>
      <c r="I94" s="541">
        <v>0.4</v>
      </c>
      <c r="J94" s="600">
        <v>5</v>
      </c>
      <c r="K94" s="542">
        <v>24</v>
      </c>
      <c r="L94" s="272"/>
      <c r="M94" s="272"/>
      <c r="P94" s="273"/>
      <c r="Q94" s="273"/>
      <c r="R94" s="273"/>
      <c r="S94" s="273"/>
      <c r="T94" s="575">
        <f ca="1"/>
        <v>0.06</v>
      </c>
      <c r="U94" s="572">
        <f ca="1"/>
        <v>86</v>
      </c>
      <c r="V94" s="484">
        <f ca="1">IF('CDO Bespoke'!O95&lt;&gt;"",'CDO Bespoke'!O95,"")</f>
        <v>9.6244252951484199E-2</v>
      </c>
      <c r="W94" s="641">
        <f t="shared" ca="1" si="6"/>
        <v>0</v>
      </c>
      <c r="X94" s="641">
        <f t="shared" ca="1" si="5"/>
        <v>9.6244252951484199E-2</v>
      </c>
      <c r="Y94" s="488">
        <f t="shared" ca="1" si="7"/>
        <v>0</v>
      </c>
      <c r="Z94" s="484">
        <f ca="1">IF('CDO Bespoke'!O95&lt;&gt;"",'CDO Bespoke'!O95,"")</f>
        <v>9.6244252951484199E-2</v>
      </c>
      <c r="AA94" s="641">
        <f ca="1">IF(Z94&lt;&gt;"",ABS(MIN(-0.6*'CDO Bespoke'!K95+'CDO Bespoke'!T95*'CDO Bespoke'!K95,0)),"")</f>
        <v>9.5968332283425065E-2</v>
      </c>
      <c r="AB94" s="641">
        <f t="shared" ca="1" si="8"/>
        <v>2.7592066805913473E-4</v>
      </c>
      <c r="AC94" s="488">
        <f t="shared" ca="1" si="9"/>
        <v>0</v>
      </c>
      <c r="AD94" s="272"/>
      <c r="AE94" s="493" t="str">
        <f ca="1">IF('CDO Bespoke'!C119&lt;&gt;"",'CDO Bespoke'!C119,"")</f>
        <v>ITV PLC</v>
      </c>
      <c r="AF94" s="495">
        <f ca="1"/>
        <v>-1.6738685298944844E-3</v>
      </c>
      <c r="AG94" s="583">
        <f ca="1"/>
        <v>-5.1606588002961473E-3</v>
      </c>
      <c r="AH94" s="583">
        <f ca="1"/>
        <v>-1.6388204420181296E-2</v>
      </c>
      <c r="AI94" s="583">
        <f ca="1"/>
        <v>0.95974857197977936</v>
      </c>
      <c r="AJ94" s="496">
        <f ca="1"/>
        <v>0</v>
      </c>
      <c r="AK94" s="618">
        <f ca="1"/>
        <v>0</v>
      </c>
      <c r="AL94" s="495">
        <f ca="1"/>
        <v>5.9535473198504135E-6</v>
      </c>
      <c r="AM94" s="583">
        <f ca="1"/>
        <v>9.5910620710108578E-5</v>
      </c>
      <c r="AN94" s="583">
        <f ca="1"/>
        <v>-2.9212819618016934E-4</v>
      </c>
      <c r="AO94" s="583">
        <f ca="1"/>
        <v>0.85121046946510981</v>
      </c>
      <c r="AP94" s="496">
        <f ca="1"/>
        <v>0</v>
      </c>
      <c r="AQ94" s="618">
        <f ca="1"/>
        <v>0</v>
      </c>
      <c r="AR94" s="495">
        <f ca="1"/>
        <v>-5.8998630577622446E-5</v>
      </c>
      <c r="AS94" s="496">
        <f ca="1"/>
        <v>-4.0010280765991391E-2</v>
      </c>
      <c r="AT94" s="618">
        <f ca="1"/>
        <v>0</v>
      </c>
      <c r="AU94" s="495">
        <f ca="1"/>
        <v>-0.10325134558605742</v>
      </c>
      <c r="AV94" s="496">
        <f ca="1"/>
        <v>2.4397022637184716E-2</v>
      </c>
      <c r="AW94" s="618">
        <f ca="1"/>
        <v>0</v>
      </c>
    </row>
    <row r="95" spans="2:49">
      <c r="B95" s="516" t="s">
        <v>521</v>
      </c>
      <c r="C95" s="517" t="s">
        <v>66</v>
      </c>
      <c r="D95" s="517" t="s">
        <v>57</v>
      </c>
      <c r="E95" s="517" t="s">
        <v>645</v>
      </c>
      <c r="F95" s="517" t="s">
        <v>668</v>
      </c>
      <c r="G95" s="524">
        <v>0.01</v>
      </c>
      <c r="H95" s="524">
        <v>4.8069999999999996E-3</v>
      </c>
      <c r="I95" s="526">
        <v>0.4</v>
      </c>
      <c r="J95" s="592">
        <v>5</v>
      </c>
      <c r="K95" s="518">
        <v>24</v>
      </c>
      <c r="L95" s="272"/>
      <c r="M95" s="272"/>
      <c r="P95" s="273"/>
      <c r="Q95" s="273"/>
      <c r="R95" s="273"/>
      <c r="S95" s="273"/>
      <c r="T95" s="575">
        <f ca="1"/>
        <v>0.03</v>
      </c>
      <c r="U95" s="572">
        <f ca="1"/>
        <v>87</v>
      </c>
      <c r="V95" s="484">
        <f ca="1">IF('CDO Bespoke'!O96&lt;&gt;"",'CDO Bespoke'!O96,"")</f>
        <v>9.7829985456531196E-2</v>
      </c>
      <c r="W95" s="641">
        <f t="shared" ca="1" si="6"/>
        <v>0</v>
      </c>
      <c r="X95" s="641">
        <f t="shared" ca="1" si="5"/>
        <v>9.7829985456531196E-2</v>
      </c>
      <c r="Y95" s="488">
        <f t="shared" ca="1" si="7"/>
        <v>0</v>
      </c>
      <c r="Z95" s="484">
        <f ca="1">IF('CDO Bespoke'!O96&lt;&gt;"",'CDO Bespoke'!O96,"")</f>
        <v>9.7829985456531196E-2</v>
      </c>
      <c r="AA95" s="641">
        <f ca="1">IF(Z95&lt;&gt;"",ABS(MIN(-0.6*'CDO Bespoke'!K96+'CDO Bespoke'!T96*'CDO Bespoke'!K96,0)),"")</f>
        <v>8.6844891787225986E-2</v>
      </c>
      <c r="AB95" s="641">
        <f t="shared" ca="1" si="8"/>
        <v>1.098509366930521E-2</v>
      </c>
      <c r="AC95" s="488">
        <f t="shared" ca="1" si="9"/>
        <v>0</v>
      </c>
      <c r="AD95" s="272"/>
      <c r="AE95" s="493" t="str">
        <f ca="1">IF('CDO Bespoke'!C120&lt;&gt;"",'CDO Bespoke'!C120,"")</f>
        <v>Koninklijke KPN N.V.</v>
      </c>
      <c r="AF95" s="495">
        <f ca="1"/>
        <v>-6.3055029031477972E-4</v>
      </c>
      <c r="AG95" s="583">
        <f ca="1"/>
        <v>-9.4148831009110978E-4</v>
      </c>
      <c r="AH95" s="583">
        <f ca="1"/>
        <v>1.5542059861317625E-5</v>
      </c>
      <c r="AI95" s="583">
        <f ca="1"/>
        <v>0.70942845648014341</v>
      </c>
      <c r="AJ95" s="496">
        <f ca="1"/>
        <v>0</v>
      </c>
      <c r="AK95" s="618">
        <f ca="1"/>
        <v>0</v>
      </c>
      <c r="AL95" s="495">
        <f ca="1"/>
        <v>3.2367278079981077E-4</v>
      </c>
      <c r="AM95" s="583">
        <f ca="1"/>
        <v>1.5836112975987915E-3</v>
      </c>
      <c r="AN95" s="583">
        <f ca="1"/>
        <v>6.8577965112994951E-3</v>
      </c>
      <c r="AO95" s="583">
        <f ca="1"/>
        <v>0.67362258150870102</v>
      </c>
      <c r="AP95" s="496">
        <f ca="1"/>
        <v>0</v>
      </c>
      <c r="AQ95" s="618">
        <f ca="1"/>
        <v>0</v>
      </c>
      <c r="AR95" s="495">
        <f ca="1"/>
        <v>-1.1443524494959056E-2</v>
      </c>
      <c r="AS95" s="496">
        <f ca="1"/>
        <v>-3.3232642369537935E-2</v>
      </c>
      <c r="AT95" s="618">
        <f ca="1"/>
        <v>0</v>
      </c>
      <c r="AU95" s="495">
        <f ca="1"/>
        <v>-7.9139678883149017E-2</v>
      </c>
      <c r="AV95" s="496">
        <f ca="1"/>
        <v>9.322980881699916E-3</v>
      </c>
      <c r="AW95" s="618">
        <f ca="1"/>
        <v>0</v>
      </c>
    </row>
    <row r="96" spans="2:49">
      <c r="B96" s="533" t="s">
        <v>521</v>
      </c>
      <c r="C96" s="534" t="s">
        <v>66</v>
      </c>
      <c r="D96" s="534" t="s">
        <v>59</v>
      </c>
      <c r="E96" s="534" t="s">
        <v>645</v>
      </c>
      <c r="F96" s="534" t="s">
        <v>668</v>
      </c>
      <c r="G96" s="535">
        <v>0.01</v>
      </c>
      <c r="H96" s="535">
        <v>6.9220000000000002E-3</v>
      </c>
      <c r="I96" s="536">
        <v>0.4</v>
      </c>
      <c r="J96" s="593">
        <v>5</v>
      </c>
      <c r="K96" s="537">
        <v>24</v>
      </c>
      <c r="L96" s="272"/>
      <c r="M96" s="272"/>
      <c r="P96" s="273"/>
      <c r="Q96" s="273"/>
      <c r="R96" s="273"/>
      <c r="S96" s="273"/>
      <c r="T96" s="575">
        <f ca="1"/>
        <v>0.06</v>
      </c>
      <c r="U96" s="572">
        <f ca="1"/>
        <v>88</v>
      </c>
      <c r="V96" s="484">
        <f ca="1">IF('CDO Bespoke'!O97&lt;&gt;"",'CDO Bespoke'!O97,"")</f>
        <v>9.8428543418085199E-2</v>
      </c>
      <c r="W96" s="641">
        <f t="shared" ca="1" si="6"/>
        <v>0</v>
      </c>
      <c r="X96" s="641">
        <f t="shared" ca="1" si="5"/>
        <v>9.8428543418085199E-2</v>
      </c>
      <c r="Y96" s="488">
        <f t="shared" ca="1" si="7"/>
        <v>0</v>
      </c>
      <c r="Z96" s="484">
        <f ca="1">IF('CDO Bespoke'!O97&lt;&gt;"",'CDO Bespoke'!O97,"")</f>
        <v>9.8428543418085199E-2</v>
      </c>
      <c r="AA96" s="641">
        <f ca="1">IF(Z96&lt;&gt;"",ABS(MIN(-0.6*'CDO Bespoke'!K97+'CDO Bespoke'!T97*'CDO Bespoke'!K97,0)),"")</f>
        <v>7.7860937058823923E-2</v>
      </c>
      <c r="AB96" s="641">
        <f t="shared" ca="1" si="8"/>
        <v>2.0567606359261276E-2</v>
      </c>
      <c r="AC96" s="488">
        <f t="shared" ca="1" si="9"/>
        <v>0</v>
      </c>
      <c r="AD96" s="272"/>
      <c r="AE96" s="493" t="str">
        <f ca="1">IF('CDO Bespoke'!C121&lt;&gt;"",'CDO Bespoke'!C121,"")</f>
        <v>Orange</v>
      </c>
      <c r="AF96" s="495">
        <f ca="1"/>
        <v>-3.2473132016708206E-4</v>
      </c>
      <c r="AG96" s="583">
        <f ca="1"/>
        <v>1.1121174980921467E-4</v>
      </c>
      <c r="AH96" s="583">
        <f ca="1"/>
        <v>3.5013058596877755E-3</v>
      </c>
      <c r="AI96" s="583">
        <f ca="1"/>
        <v>0.5890369036698484</v>
      </c>
      <c r="AJ96" s="496">
        <f ca="1"/>
        <v>0</v>
      </c>
      <c r="AK96" s="618">
        <f ca="1"/>
        <v>0</v>
      </c>
      <c r="AL96" s="495">
        <f ca="1"/>
        <v>3.5316596829707697E-4</v>
      </c>
      <c r="AM96" s="583">
        <f ca="1"/>
        <v>1.7124788565968038E-3</v>
      </c>
      <c r="AN96" s="583">
        <f ca="1"/>
        <v>7.6069891484986316E-3</v>
      </c>
      <c r="AO96" s="583">
        <f ca="1"/>
        <v>0.57571634677059791</v>
      </c>
      <c r="AP96" s="496">
        <f ca="1"/>
        <v>0</v>
      </c>
      <c r="AQ96" s="618">
        <f ca="1"/>
        <v>0</v>
      </c>
      <c r="AR96" s="495">
        <f ca="1"/>
        <v>-1.6897511295660084E-2</v>
      </c>
      <c r="AS96" s="496">
        <f ca="1"/>
        <v>-2.8445682378626935E-2</v>
      </c>
      <c r="AT96" s="618">
        <f ca="1"/>
        <v>0</v>
      </c>
      <c r="AU96" s="495">
        <f ca="1"/>
        <v>-8.2139468511932989E-2</v>
      </c>
      <c r="AV96" s="496">
        <f ca="1"/>
        <v>3.6060142784258911E-3</v>
      </c>
      <c r="AW96" s="618">
        <f ca="1"/>
        <v>0</v>
      </c>
    </row>
    <row r="97" spans="2:49">
      <c r="B97" s="538" t="s">
        <v>537</v>
      </c>
      <c r="C97" s="539" t="s">
        <v>66</v>
      </c>
      <c r="D97" s="539" t="s">
        <v>55</v>
      </c>
      <c r="E97" s="539" t="s">
        <v>647</v>
      </c>
      <c r="F97" s="539" t="s">
        <v>646</v>
      </c>
      <c r="G97" s="540">
        <v>0.01</v>
      </c>
      <c r="H97" s="540">
        <v>8.0549999999999997E-3</v>
      </c>
      <c r="I97" s="541">
        <v>0.4</v>
      </c>
      <c r="J97" s="600">
        <v>4</v>
      </c>
      <c r="K97" s="542">
        <v>25</v>
      </c>
      <c r="L97" s="272"/>
      <c r="M97" s="272"/>
      <c r="P97" s="273"/>
      <c r="Q97" s="273"/>
      <c r="R97" s="273"/>
      <c r="S97" s="273"/>
      <c r="T97" s="575">
        <f ca="1"/>
        <v>0.06</v>
      </c>
      <c r="U97" s="572">
        <f ca="1"/>
        <v>89</v>
      </c>
      <c r="V97" s="484">
        <f ca="1">IF('CDO Bespoke'!O98&lt;&gt;"",'CDO Bespoke'!O98,"")</f>
        <v>9.7573237966549195E-2</v>
      </c>
      <c r="W97" s="641">
        <f t="shared" ca="1" si="6"/>
        <v>0</v>
      </c>
      <c r="X97" s="641">
        <f t="shared" ca="1" si="5"/>
        <v>9.7573237966549195E-2</v>
      </c>
      <c r="Y97" s="488">
        <f t="shared" ca="1" si="7"/>
        <v>0</v>
      </c>
      <c r="Z97" s="484">
        <f ca="1">IF('CDO Bespoke'!O98&lt;&gt;"",'CDO Bespoke'!O98,"")</f>
        <v>9.7573237966549195E-2</v>
      </c>
      <c r="AA97" s="641">
        <f ca="1">IF(Z97&lt;&gt;"",ABS(MIN(-0.6*'CDO Bespoke'!K98+'CDO Bespoke'!T98*'CDO Bespoke'!K98,0)),"")</f>
        <v>8.9254982021914897E-2</v>
      </c>
      <c r="AB97" s="641">
        <f t="shared" ca="1" si="8"/>
        <v>8.318255944634298E-3</v>
      </c>
      <c r="AC97" s="488">
        <f t="shared" ca="1" si="9"/>
        <v>0</v>
      </c>
      <c r="AD97" s="272"/>
      <c r="AE97" s="493" t="str">
        <f ca="1">IF('CDO Bespoke'!C122&lt;&gt;"",'CDO Bespoke'!C122,"")</f>
        <v>PEARSON plc</v>
      </c>
      <c r="AF97" s="495">
        <f ca="1"/>
        <v>-7.9345574999223345E-4</v>
      </c>
      <c r="AG97" s="583">
        <f ca="1"/>
        <v>-1.5621012500188769E-3</v>
      </c>
      <c r="AH97" s="583">
        <f ca="1"/>
        <v>-2.2772409102866931E-3</v>
      </c>
      <c r="AI97" s="583">
        <f ca="1"/>
        <v>0.76037842322018712</v>
      </c>
      <c r="AJ97" s="496">
        <f ca="1"/>
        <v>0</v>
      </c>
      <c r="AK97" s="618">
        <f ca="1"/>
        <v>0</v>
      </c>
      <c r="AL97" s="495">
        <f ca="1"/>
        <v>2.9325248029812151E-4</v>
      </c>
      <c r="AM97" s="583">
        <f ca="1"/>
        <v>1.4437973303981638E-3</v>
      </c>
      <c r="AN97" s="583">
        <f ca="1"/>
        <v>6.1199304616978839E-3</v>
      </c>
      <c r="AO97" s="583">
        <f ca="1"/>
        <v>0.71284408854469827</v>
      </c>
      <c r="AP97" s="496">
        <f ca="1"/>
        <v>0</v>
      </c>
      <c r="AQ97" s="618">
        <f ca="1"/>
        <v>0</v>
      </c>
      <c r="AR97" s="495">
        <f ca="1"/>
        <v>-9.1612510806565184E-3</v>
      </c>
      <c r="AS97" s="496">
        <f ca="1"/>
        <v>-3.504165844184548E-2</v>
      </c>
      <c r="AT97" s="618">
        <f ca="1"/>
        <v>0</v>
      </c>
      <c r="AU97" s="495">
        <f ca="1"/>
        <v>-0.11139559151018824</v>
      </c>
      <c r="AV97" s="496">
        <f ca="1"/>
        <v>5.3217130185719275E-3</v>
      </c>
      <c r="AW97" s="618">
        <f ca="1"/>
        <v>0</v>
      </c>
    </row>
    <row r="98" spans="2:49">
      <c r="B98" s="516" t="s">
        <v>537</v>
      </c>
      <c r="C98" s="517" t="s">
        <v>66</v>
      </c>
      <c r="D98" s="517" t="s">
        <v>57</v>
      </c>
      <c r="E98" s="517" t="s">
        <v>647</v>
      </c>
      <c r="F98" s="517" t="s">
        <v>646</v>
      </c>
      <c r="G98" s="524">
        <v>0.01</v>
      </c>
      <c r="H98" s="524">
        <v>1.2508999999999999E-2</v>
      </c>
      <c r="I98" s="526">
        <v>0.4</v>
      </c>
      <c r="J98" s="592">
        <v>4</v>
      </c>
      <c r="K98" s="518">
        <v>25</v>
      </c>
      <c r="L98" s="272"/>
      <c r="M98" s="272"/>
      <c r="P98" s="273"/>
      <c r="Q98" s="273"/>
      <c r="R98" s="273"/>
      <c r="S98" s="273"/>
      <c r="T98" s="575">
        <f ca="1"/>
        <v>0.03</v>
      </c>
      <c r="U98" s="572">
        <f ca="1"/>
        <v>90</v>
      </c>
      <c r="V98" s="484">
        <f ca="1">IF('CDO Bespoke'!O99&lt;&gt;"",'CDO Bespoke'!O99,"")</f>
        <v>9.7978874026528204E-2</v>
      </c>
      <c r="W98" s="641">
        <f t="shared" ca="1" si="6"/>
        <v>0</v>
      </c>
      <c r="X98" s="641">
        <f t="shared" ca="1" si="5"/>
        <v>9.7978874026528204E-2</v>
      </c>
      <c r="Y98" s="488">
        <f t="shared" ca="1" si="7"/>
        <v>0</v>
      </c>
      <c r="Z98" s="484">
        <f ca="1">IF('CDO Bespoke'!O99&lt;&gt;"",'CDO Bespoke'!O99,"")</f>
        <v>9.7978874026528204E-2</v>
      </c>
      <c r="AA98" s="641">
        <f ca="1">IF(Z98&lt;&gt;"",ABS(MIN(-0.6*'CDO Bespoke'!K99+'CDO Bespoke'!T99*'CDO Bespoke'!K99,0)),"")</f>
        <v>8.5145318052414418E-2</v>
      </c>
      <c r="AB98" s="641">
        <f t="shared" ca="1" si="8"/>
        <v>1.2833555974113786E-2</v>
      </c>
      <c r="AC98" s="488">
        <f t="shared" ca="1" si="9"/>
        <v>0</v>
      </c>
      <c r="AD98" s="272"/>
      <c r="AE98" s="493" t="str">
        <f ca="1">IF('CDO Bespoke'!C123&lt;&gt;"",'CDO Bespoke'!C123,"")</f>
        <v>PUBLICIS GROUPE SA</v>
      </c>
      <c r="AF98" s="495">
        <f ca="1"/>
        <v>-6.231307603243863E-4</v>
      </c>
      <c r="AG98" s="583">
        <f ca="1"/>
        <v>-9.494517400066016E-4</v>
      </c>
      <c r="AH98" s="583">
        <f ca="1"/>
        <v>-1.1157743007306209E-4</v>
      </c>
      <c r="AI98" s="583">
        <f ca="1"/>
        <v>0.70442931965009059</v>
      </c>
      <c r="AJ98" s="496">
        <f ca="1"/>
        <v>0</v>
      </c>
      <c r="AK98" s="618">
        <f ca="1"/>
        <v>0</v>
      </c>
      <c r="AL98" s="495">
        <f ca="1"/>
        <v>3.2706614269770867E-4</v>
      </c>
      <c r="AM98" s="583">
        <f ca="1"/>
        <v>1.5986940196969709E-3</v>
      </c>
      <c r="AN98" s="583">
        <f ca="1"/>
        <v>6.9287103417973311E-3</v>
      </c>
      <c r="AO98" s="583">
        <f ca="1"/>
        <v>0.66952337772869897</v>
      </c>
      <c r="AP98" s="496">
        <f ca="1"/>
        <v>0</v>
      </c>
      <c r="AQ98" s="618">
        <f ca="1"/>
        <v>0</v>
      </c>
      <c r="AR98" s="495">
        <f ca="1"/>
        <v>-1.1712911316487662E-2</v>
      </c>
      <c r="AS98" s="496">
        <f ca="1"/>
        <v>-3.3037228055889323E-2</v>
      </c>
      <c r="AT98" s="618">
        <f ca="1"/>
        <v>0</v>
      </c>
      <c r="AU98" s="495">
        <f ca="1"/>
        <v>-0.11356682832984488</v>
      </c>
      <c r="AV98" s="496">
        <f ca="1"/>
        <v>2.1706910444533739E-3</v>
      </c>
      <c r="AW98" s="618">
        <f ca="1"/>
        <v>0</v>
      </c>
    </row>
    <row r="99" spans="2:49">
      <c r="B99" s="533" t="s">
        <v>537</v>
      </c>
      <c r="C99" s="534" t="s">
        <v>66</v>
      </c>
      <c r="D99" s="534" t="s">
        <v>59</v>
      </c>
      <c r="E99" s="534" t="s">
        <v>647</v>
      </c>
      <c r="F99" s="534" t="s">
        <v>646</v>
      </c>
      <c r="G99" s="535">
        <v>0.01</v>
      </c>
      <c r="H99" s="535">
        <v>1.5117E-2</v>
      </c>
      <c r="I99" s="536">
        <v>0.4</v>
      </c>
      <c r="J99" s="593">
        <v>4</v>
      </c>
      <c r="K99" s="537">
        <v>25</v>
      </c>
      <c r="L99" s="272"/>
      <c r="M99" s="272"/>
      <c r="P99" s="273"/>
      <c r="Q99" s="273"/>
      <c r="R99" s="273"/>
      <c r="S99" s="273"/>
      <c r="T99" s="575">
        <f ca="1"/>
        <v>0.06</v>
      </c>
      <c r="U99" s="572">
        <f ca="1"/>
        <v>91</v>
      </c>
      <c r="V99" s="484">
        <f ca="1">IF('CDO Bespoke'!O100&lt;&gt;"",'CDO Bespoke'!O100,"")</f>
        <v>9.2761864524586193E-2</v>
      </c>
      <c r="W99" s="641">
        <f t="shared" ca="1" si="6"/>
        <v>0</v>
      </c>
      <c r="X99" s="641">
        <f t="shared" ca="1" si="5"/>
        <v>9.2761864524586193E-2</v>
      </c>
      <c r="Y99" s="488">
        <f t="shared" ca="1" si="7"/>
        <v>0</v>
      </c>
      <c r="Z99" s="484">
        <f ca="1">IF('CDO Bespoke'!O100&lt;&gt;"",'CDO Bespoke'!O100,"")</f>
        <v>9.2761864524586193E-2</v>
      </c>
      <c r="AA99" s="641">
        <f ca="1">IF(Z99&lt;&gt;"",ABS(MIN(-0.6*'CDO Bespoke'!K100+'CDO Bespoke'!T100*'CDO Bespoke'!K100,0)),"")</f>
        <v>9.8247025554554904E-2</v>
      </c>
      <c r="AB99" s="641">
        <f t="shared" ca="1" si="8"/>
        <v>0</v>
      </c>
      <c r="AC99" s="488">
        <f t="shared" ca="1" si="9"/>
        <v>0</v>
      </c>
      <c r="AD99" s="272"/>
      <c r="AE99" s="493" t="str">
        <f ca="1">IF('CDO Bespoke'!C124&lt;&gt;"",'CDO Bespoke'!C124,"")</f>
        <v>SES</v>
      </c>
      <c r="AF99" s="495">
        <f ca="1"/>
        <v>-2.5747363602279805E-3</v>
      </c>
      <c r="AG99" s="583">
        <f ca="1"/>
        <v>-9.0701818800109635E-3</v>
      </c>
      <c r="AH99" s="583">
        <f ca="1"/>
        <v>-3.2924085159868888E-2</v>
      </c>
      <c r="AI99" s="583">
        <f ca="1"/>
        <v>1.0663694654799993</v>
      </c>
      <c r="AJ99" s="496">
        <f ca="1"/>
        <v>0</v>
      </c>
      <c r="AK99" s="618">
        <f ca="1"/>
        <v>0</v>
      </c>
      <c r="AL99" s="495">
        <f ca="1"/>
        <v>-4.3601464539549939E-4</v>
      </c>
      <c r="AM99" s="583">
        <f ca="1"/>
        <v>-2.0120017101953741E-3</v>
      </c>
      <c r="AN99" s="583">
        <f ca="1"/>
        <v>-1.0440728945302138E-2</v>
      </c>
      <c r="AO99" s="583">
        <f ca="1"/>
        <v>0.90232430206839753</v>
      </c>
      <c r="AP99" s="496">
        <f ca="1"/>
        <v>0</v>
      </c>
      <c r="AQ99" s="618">
        <f ca="1"/>
        <v>0</v>
      </c>
      <c r="AR99" s="495">
        <f ca="1"/>
        <v>5.7635577300625962E-3</v>
      </c>
      <c r="AS99" s="496">
        <f ca="1"/>
        <v>-3.8531787046430566E-2</v>
      </c>
      <c r="AT99" s="618">
        <f ca="1"/>
        <v>0</v>
      </c>
      <c r="AU99" s="495">
        <f ca="1"/>
        <v>-6.7569979220732421E-2</v>
      </c>
      <c r="AV99" s="496">
        <f ca="1"/>
        <v>5.9466100526550117E-2</v>
      </c>
      <c r="AW99" s="618">
        <f ca="1"/>
        <v>0</v>
      </c>
    </row>
    <row r="100" spans="2:49">
      <c r="B100" s="538" t="s">
        <v>522</v>
      </c>
      <c r="C100" s="539" t="s">
        <v>66</v>
      </c>
      <c r="D100" s="539" t="s">
        <v>55</v>
      </c>
      <c r="E100" s="539" t="s">
        <v>647</v>
      </c>
      <c r="F100" s="539" t="s">
        <v>646</v>
      </c>
      <c r="G100" s="540">
        <v>0.01</v>
      </c>
      <c r="H100" s="540">
        <v>3.4320000000000002E-3</v>
      </c>
      <c r="I100" s="541">
        <v>0.4</v>
      </c>
      <c r="J100" s="600">
        <v>4</v>
      </c>
      <c r="K100" s="542">
        <v>26</v>
      </c>
      <c r="L100" s="272"/>
      <c r="M100" s="272"/>
      <c r="P100" s="273"/>
      <c r="Q100" s="273"/>
      <c r="R100" s="273"/>
      <c r="S100" s="273"/>
      <c r="T100" s="575">
        <f ca="1"/>
        <v>0.06</v>
      </c>
      <c r="U100" s="572">
        <f ca="1"/>
        <v>92</v>
      </c>
      <c r="V100" s="484">
        <f ca="1">IF('CDO Bespoke'!O101&lt;&gt;"",'CDO Bespoke'!O101,"")</f>
        <v>9.8933696406085195E-2</v>
      </c>
      <c r="W100" s="641">
        <f t="shared" ca="1" si="6"/>
        <v>0</v>
      </c>
      <c r="X100" s="641">
        <f t="shared" ca="1" si="5"/>
        <v>9.8933696406085195E-2</v>
      </c>
      <c r="Y100" s="488">
        <f t="shared" ca="1" si="7"/>
        <v>0</v>
      </c>
      <c r="Z100" s="484">
        <f ca="1">IF('CDO Bespoke'!O101&lt;&gt;"",'CDO Bespoke'!O101,"")</f>
        <v>9.8933696406085195E-2</v>
      </c>
      <c r="AA100" s="641">
        <f ca="1">IF(Z100&lt;&gt;"",ABS(MIN(-0.6*'CDO Bespoke'!K101+'CDO Bespoke'!T101*'CDO Bespoke'!K101,0)),"")</f>
        <v>5.9685129425177522E-2</v>
      </c>
      <c r="AB100" s="641">
        <f t="shared" ca="1" si="8"/>
        <v>3.9248566980907673E-2</v>
      </c>
      <c r="AC100" s="488">
        <f t="shared" ca="1" si="9"/>
        <v>0</v>
      </c>
      <c r="AD100" s="272"/>
      <c r="AE100" s="493" t="str">
        <f ca="1">IF('CDO Bespoke'!C125&lt;&gt;"",'CDO Bespoke'!C125,"")</f>
        <v>SKY LIMITED</v>
      </c>
      <c r="AF100" s="495">
        <f ca="1"/>
        <v>3.2083339873700822E-5</v>
      </c>
      <c r="AG100" s="583">
        <f ca="1"/>
        <v>1.1741110400587118E-3</v>
      </c>
      <c r="AH100" s="583">
        <f ca="1"/>
        <v>6.3360248298005573E-3</v>
      </c>
      <c r="AI100" s="583">
        <f ca="1"/>
        <v>0.38215446601985725</v>
      </c>
      <c r="AJ100" s="496">
        <f ca="1"/>
        <v>0</v>
      </c>
      <c r="AK100" s="618">
        <f ca="1"/>
        <v>0</v>
      </c>
      <c r="AL100" s="495">
        <f ca="1"/>
        <v>3.0051584620077731E-4</v>
      </c>
      <c r="AM100" s="583">
        <f ca="1"/>
        <v>1.4471516628002806E-3</v>
      </c>
      <c r="AN100" s="583">
        <f ca="1"/>
        <v>6.5441342872972486E-3</v>
      </c>
      <c r="AO100" s="583">
        <f ca="1"/>
        <v>0.3925625211037998</v>
      </c>
      <c r="AP100" s="496">
        <f ca="1"/>
        <v>0</v>
      </c>
      <c r="AQ100" s="618">
        <f ca="1"/>
        <v>0</v>
      </c>
      <c r="AR100" s="495">
        <f ca="1"/>
        <v>-2.6336889572846467E-2</v>
      </c>
      <c r="AS100" s="496">
        <f ca="1"/>
        <v>-1.9169787267024507E-2</v>
      </c>
      <c r="AT100" s="618">
        <f ca="1"/>
        <v>0</v>
      </c>
      <c r="AU100" s="495">
        <f ca="1"/>
        <v>-0.12499154311170346</v>
      </c>
      <c r="AV100" s="496">
        <f ca="1"/>
        <v>-5.5361008846971423E-3</v>
      </c>
      <c r="AW100" s="618">
        <f ca="1"/>
        <v>0</v>
      </c>
    </row>
    <row r="101" spans="2:49">
      <c r="B101" s="516" t="s">
        <v>522</v>
      </c>
      <c r="C101" s="517" t="s">
        <v>66</v>
      </c>
      <c r="D101" s="517" t="s">
        <v>57</v>
      </c>
      <c r="E101" s="517" t="s">
        <v>647</v>
      </c>
      <c r="F101" s="517" t="s">
        <v>646</v>
      </c>
      <c r="G101" s="524">
        <v>0.01</v>
      </c>
      <c r="H101" s="524">
        <v>5.6519999999999999E-3</v>
      </c>
      <c r="I101" s="526">
        <v>0.4</v>
      </c>
      <c r="J101" s="592">
        <v>4</v>
      </c>
      <c r="K101" s="518">
        <v>26</v>
      </c>
      <c r="L101" s="272"/>
      <c r="M101" s="272"/>
      <c r="P101" s="273"/>
      <c r="Q101" s="273"/>
      <c r="R101" s="273"/>
      <c r="S101" s="273"/>
      <c r="T101" s="575">
        <f ca="1"/>
        <v>0.06</v>
      </c>
      <c r="U101" s="572">
        <f ca="1"/>
        <v>93</v>
      </c>
      <c r="V101" s="484">
        <f ca="1">IF('CDO Bespoke'!O102&lt;&gt;"",'CDO Bespoke'!O102,"")</f>
        <v>9.8365290385925203E-2</v>
      </c>
      <c r="W101" s="641">
        <f t="shared" ca="1" si="6"/>
        <v>0</v>
      </c>
      <c r="X101" s="641">
        <f t="shared" ca="1" si="5"/>
        <v>9.8365290385925203E-2</v>
      </c>
      <c r="Y101" s="488">
        <f t="shared" ca="1" si="7"/>
        <v>0</v>
      </c>
      <c r="Z101" s="484">
        <f ca="1">IF('CDO Bespoke'!O102&lt;&gt;"",'CDO Bespoke'!O102,"")</f>
        <v>9.8365290385925203E-2</v>
      </c>
      <c r="AA101" s="641">
        <f ca="1">IF(Z101&lt;&gt;"",ABS(MIN(-0.6*'CDO Bespoke'!K102+'CDO Bespoke'!T102*'CDO Bespoke'!K102,0)),"")</f>
        <v>7.9155569249397317E-2</v>
      </c>
      <c r="AB101" s="641">
        <f t="shared" ca="1" si="8"/>
        <v>1.9209721136527885E-2</v>
      </c>
      <c r="AC101" s="488">
        <f t="shared" ca="1" si="9"/>
        <v>0</v>
      </c>
      <c r="AD101" s="272"/>
      <c r="AE101" s="493" t="str">
        <f ca="1">IF('CDO Bespoke'!C126&lt;&gt;"",'CDO Bespoke'!C126,"")</f>
        <v>STMicroelectronics N.V.</v>
      </c>
      <c r="AF101" s="495">
        <f ca="1"/>
        <v>-3.0570210030056444E-4</v>
      </c>
      <c r="AG101" s="583">
        <f ca="1"/>
        <v>2.1506846969998605E-4</v>
      </c>
      <c r="AH101" s="583">
        <f ca="1"/>
        <v>3.940896289855722E-3</v>
      </c>
      <c r="AI101" s="583">
        <f ca="1"/>
        <v>0.5855083443001563</v>
      </c>
      <c r="AJ101" s="496">
        <f ca="1"/>
        <v>0</v>
      </c>
      <c r="AK101" s="618">
        <f ca="1"/>
        <v>0</v>
      </c>
      <c r="AL101" s="495">
        <f ca="1"/>
        <v>3.5279291989934874E-4</v>
      </c>
      <c r="AM101" s="583">
        <f ca="1"/>
        <v>1.7108309899012755E-3</v>
      </c>
      <c r="AN101" s="583">
        <f ca="1"/>
        <v>7.6074833042002327E-3</v>
      </c>
      <c r="AO101" s="583">
        <f ca="1"/>
        <v>0.57301151516420123</v>
      </c>
      <c r="AP101" s="496">
        <f ca="1"/>
        <v>0</v>
      </c>
      <c r="AQ101" s="618">
        <f ca="1"/>
        <v>0</v>
      </c>
      <c r="AR101" s="495">
        <f ca="1"/>
        <v>-1.7017859275940406E-2</v>
      </c>
      <c r="AS101" s="496">
        <f ca="1"/>
        <v>-2.831458020841654E-2</v>
      </c>
      <c r="AT101" s="618">
        <f ca="1"/>
        <v>0</v>
      </c>
      <c r="AU101" s="495">
        <f ca="1"/>
        <v>-8.218365149048755E-2</v>
      </c>
      <c r="AV101" s="496">
        <f ca="1"/>
        <v>3.5198736940579567E-3</v>
      </c>
      <c r="AW101" s="618">
        <f ca="1"/>
        <v>0</v>
      </c>
    </row>
    <row r="102" spans="2:49">
      <c r="B102" s="533" t="s">
        <v>522</v>
      </c>
      <c r="C102" s="534" t="s">
        <v>66</v>
      </c>
      <c r="D102" s="534" t="s">
        <v>59</v>
      </c>
      <c r="E102" s="534" t="s">
        <v>647</v>
      </c>
      <c r="F102" s="534" t="s">
        <v>646</v>
      </c>
      <c r="G102" s="535">
        <v>0.01</v>
      </c>
      <c r="H102" s="535">
        <v>8.0560000000000007E-3</v>
      </c>
      <c r="I102" s="536">
        <v>0.4</v>
      </c>
      <c r="J102" s="593">
        <v>4</v>
      </c>
      <c r="K102" s="537">
        <v>26</v>
      </c>
      <c r="L102" s="272"/>
      <c r="M102" s="272"/>
      <c r="P102" s="273"/>
      <c r="Q102" s="273"/>
      <c r="R102" s="273"/>
      <c r="S102" s="273"/>
      <c r="T102" s="575">
        <f ca="1"/>
        <v>0.06</v>
      </c>
      <c r="U102" s="572">
        <f ca="1"/>
        <v>94</v>
      </c>
      <c r="V102" s="484">
        <f ca="1">IF('CDO Bespoke'!O103&lt;&gt;"",'CDO Bespoke'!O103,"")</f>
        <v>9.7044886766454203E-2</v>
      </c>
      <c r="W102" s="641">
        <f t="shared" ca="1" si="6"/>
        <v>0</v>
      </c>
      <c r="X102" s="641">
        <f t="shared" ca="1" si="5"/>
        <v>9.7044886766454203E-2</v>
      </c>
      <c r="Y102" s="488">
        <f t="shared" ca="1" si="7"/>
        <v>0</v>
      </c>
      <c r="Z102" s="484">
        <f ca="1">IF('CDO Bespoke'!O103&lt;&gt;"",'CDO Bespoke'!O103,"")</f>
        <v>9.7044886766454203E-2</v>
      </c>
      <c r="AA102" s="641">
        <f ca="1">IF(Z102&lt;&gt;"",ABS(MIN(-0.6*'CDO Bespoke'!K103+'CDO Bespoke'!T103*'CDO Bespoke'!K103,0)),"")</f>
        <v>9.2791273569832106E-2</v>
      </c>
      <c r="AB102" s="641">
        <f t="shared" ca="1" si="8"/>
        <v>4.2536131966220969E-3</v>
      </c>
      <c r="AC102" s="488">
        <f t="shared" ca="1" si="9"/>
        <v>0</v>
      </c>
      <c r="AD102" s="272"/>
      <c r="AE102" s="493" t="str">
        <f ca="1">IF('CDO Bespoke'!C127&lt;&gt;"",'CDO Bespoke'!C127,"")</f>
        <v>TELEFONICA, S.A.</v>
      </c>
      <c r="AF102" s="495">
        <f ca="1"/>
        <v>-1.0410421202866615E-3</v>
      </c>
      <c r="AG102" s="583">
        <f ca="1"/>
        <v>-2.5172552697849682E-3</v>
      </c>
      <c r="AH102" s="583">
        <f ca="1"/>
        <v>-5.9006413799522761E-3</v>
      </c>
      <c r="AI102" s="583">
        <f ca="1"/>
        <v>0.82836994343971071</v>
      </c>
      <c r="AJ102" s="496">
        <f ca="1"/>
        <v>0</v>
      </c>
      <c r="AK102" s="618">
        <f ca="1"/>
        <v>0</v>
      </c>
      <c r="AL102" s="495">
        <f ca="1"/>
        <v>2.2913917739793288E-4</v>
      </c>
      <c r="AM102" s="583">
        <f ca="1"/>
        <v>1.1459644056995358E-3</v>
      </c>
      <c r="AN102" s="583">
        <f ca="1"/>
        <v>4.5954614924991963E-3</v>
      </c>
      <c r="AO102" s="583">
        <f ca="1"/>
        <v>0.76260469943529707</v>
      </c>
      <c r="AP102" s="496">
        <f ca="1"/>
        <v>0</v>
      </c>
      <c r="AQ102" s="618">
        <f ca="1"/>
        <v>0</v>
      </c>
      <c r="AR102" s="495">
        <f ca="1"/>
        <v>-6.0696894693766379E-3</v>
      </c>
      <c r="AS102" s="496">
        <f ca="1"/>
        <v>-3.7187373052076311E-2</v>
      </c>
      <c r="AT102" s="618">
        <f ca="1"/>
        <v>0</v>
      </c>
      <c r="AU102" s="495">
        <f ca="1"/>
        <v>-7.6025177067389135E-2</v>
      </c>
      <c r="AV102" s="496">
        <f ca="1"/>
        <v>1.7911039464719624E-2</v>
      </c>
      <c r="AW102" s="618">
        <f ca="1"/>
        <v>0</v>
      </c>
    </row>
    <row r="103" spans="2:49">
      <c r="B103" s="538" t="s">
        <v>523</v>
      </c>
      <c r="C103" s="539" t="s">
        <v>66</v>
      </c>
      <c r="D103" s="539" t="s">
        <v>55</v>
      </c>
      <c r="E103" s="539" t="s">
        <v>649</v>
      </c>
      <c r="F103" s="539" t="s">
        <v>669</v>
      </c>
      <c r="G103" s="540">
        <v>0.01</v>
      </c>
      <c r="H103" s="540">
        <v>2.0699999999999998E-3</v>
      </c>
      <c r="I103" s="541">
        <v>0.4</v>
      </c>
      <c r="J103" s="600">
        <v>7</v>
      </c>
      <c r="K103" s="542">
        <v>27</v>
      </c>
      <c r="L103" s="272"/>
      <c r="M103" s="272"/>
      <c r="P103" s="273"/>
      <c r="Q103" s="273"/>
      <c r="R103" s="273"/>
      <c r="S103" s="273"/>
      <c r="T103" s="575">
        <f ca="1"/>
        <v>0.06</v>
      </c>
      <c r="U103" s="572">
        <f ca="1"/>
        <v>95</v>
      </c>
      <c r="V103" s="484">
        <f ca="1">IF('CDO Bespoke'!O104&lt;&gt;"",'CDO Bespoke'!O104,"")</f>
        <v>9.8676701892642202E-2</v>
      </c>
      <c r="W103" s="641">
        <f t="shared" ca="1" si="6"/>
        <v>0</v>
      </c>
      <c r="X103" s="641">
        <f t="shared" ca="1" si="5"/>
        <v>9.8676701892642202E-2</v>
      </c>
      <c r="Y103" s="488">
        <f t="shared" ca="1" si="7"/>
        <v>0</v>
      </c>
      <c r="Z103" s="484">
        <f ca="1">IF('CDO Bespoke'!O104&lt;&gt;"",'CDO Bespoke'!O104,"")</f>
        <v>9.8676701892642202E-2</v>
      </c>
      <c r="AA103" s="641">
        <f ca="1">IF(Z103&lt;&gt;"",ABS(MIN(-0.6*'CDO Bespoke'!K104+'CDO Bespoke'!T104*'CDO Bespoke'!K104,0)),"")</f>
        <v>7.1318961746504594E-2</v>
      </c>
      <c r="AB103" s="641">
        <f t="shared" ca="1" si="8"/>
        <v>2.7357740146137607E-2</v>
      </c>
      <c r="AC103" s="488">
        <f t="shared" ca="1" si="9"/>
        <v>0</v>
      </c>
      <c r="AD103" s="272"/>
      <c r="AE103" s="493" t="str">
        <f ca="1">IF('CDO Bespoke'!C128&lt;&gt;"",'CDO Bespoke'!C128,"")</f>
        <v>Telekom Austria Aktiengesellschaft</v>
      </c>
      <c r="AF103" s="495">
        <f ca="1"/>
        <v>-1.599098498061835E-4</v>
      </c>
      <c r="AG103" s="583">
        <f ca="1"/>
        <v>6.3818488993394595E-4</v>
      </c>
      <c r="AH103" s="583">
        <f ca="1"/>
        <v>5.064522040076902E-3</v>
      </c>
      <c r="AI103" s="583">
        <f ca="1"/>
        <v>0.50739457776005636</v>
      </c>
      <c r="AJ103" s="496">
        <f ca="1"/>
        <v>0</v>
      </c>
      <c r="AK103" s="618">
        <f ca="1"/>
        <v>0</v>
      </c>
      <c r="AL103" s="495">
        <f ca="1"/>
        <v>3.4532913940291815E-4</v>
      </c>
      <c r="AM103" s="583">
        <f ca="1"/>
        <v>1.6687108784010918E-3</v>
      </c>
      <c r="AN103" s="583">
        <f ca="1"/>
        <v>7.4814062954019905E-3</v>
      </c>
      <c r="AO103" s="583">
        <f ca="1"/>
        <v>0.50571729675710164</v>
      </c>
      <c r="AP103" s="496">
        <f ca="1"/>
        <v>0</v>
      </c>
      <c r="AQ103" s="618">
        <f ca="1"/>
        <v>0</v>
      </c>
      <c r="AR103" s="495">
        <f ca="1"/>
        <v>-2.0598562602515968E-2</v>
      </c>
      <c r="AS103" s="496">
        <f ca="1"/>
        <v>-2.4911320822858019E-2</v>
      </c>
      <c r="AT103" s="618">
        <f ca="1"/>
        <v>0</v>
      </c>
      <c r="AU103" s="495">
        <f ca="1"/>
        <v>-8.4085476387465358E-2</v>
      </c>
      <c r="AV103" s="496">
        <f ca="1"/>
        <v>9.9004972446424706E-4</v>
      </c>
      <c r="AW103" s="618">
        <f ca="1"/>
        <v>0</v>
      </c>
    </row>
    <row r="104" spans="2:49">
      <c r="B104" s="516" t="s">
        <v>523</v>
      </c>
      <c r="C104" s="517" t="s">
        <v>66</v>
      </c>
      <c r="D104" s="517" t="s">
        <v>57</v>
      </c>
      <c r="E104" s="517" t="s">
        <v>649</v>
      </c>
      <c r="F104" s="517" t="s">
        <v>669</v>
      </c>
      <c r="G104" s="524">
        <v>0.01</v>
      </c>
      <c r="H104" s="524">
        <v>3.297E-3</v>
      </c>
      <c r="I104" s="526">
        <v>0.4</v>
      </c>
      <c r="J104" s="592">
        <v>7</v>
      </c>
      <c r="K104" s="518">
        <v>27</v>
      </c>
      <c r="L104" s="272"/>
      <c r="M104" s="272"/>
      <c r="P104" s="273"/>
      <c r="Q104" s="273"/>
      <c r="R104" s="273"/>
      <c r="S104" s="273"/>
      <c r="T104" s="575">
        <f ca="1"/>
        <v>0.15</v>
      </c>
      <c r="U104" s="572">
        <f ca="1"/>
        <v>96</v>
      </c>
      <c r="V104" s="484">
        <f ca="1">IF('CDO Bespoke'!O105&lt;&gt;"",'CDO Bespoke'!O105,"")</f>
        <v>9.85455247656912E-2</v>
      </c>
      <c r="W104" s="641">
        <f t="shared" ca="1" si="6"/>
        <v>0</v>
      </c>
      <c r="X104" s="641">
        <f t="shared" ca="1" si="5"/>
        <v>9.85455247656912E-2</v>
      </c>
      <c r="Y104" s="488">
        <f t="shared" ca="1" si="7"/>
        <v>0</v>
      </c>
      <c r="Z104" s="484">
        <f ca="1">IF('CDO Bespoke'!O105&lt;&gt;"",'CDO Bespoke'!O105,"")</f>
        <v>9.85455247656912E-2</v>
      </c>
      <c r="AA104" s="641">
        <f ca="1">IF(Z104&lt;&gt;"",ABS(MIN(-0.6*'CDO Bespoke'!K105+'CDO Bespoke'!T105*'CDO Bespoke'!K105,0)),"")</f>
        <v>7.5117404768179491E-2</v>
      </c>
      <c r="AB104" s="641">
        <f t="shared" ca="1" si="8"/>
        <v>2.3428119997511709E-2</v>
      </c>
      <c r="AC104" s="488">
        <f t="shared" ca="1" si="9"/>
        <v>0</v>
      </c>
      <c r="AD104" s="272"/>
      <c r="AE104" s="493" t="str">
        <f ca="1">IF('CDO Bespoke'!C129&lt;&gt;"",'CDO Bespoke'!C129,"")</f>
        <v>TELENOR ASA</v>
      </c>
      <c r="AF104" s="495">
        <f ca="1"/>
        <v>-2.0037981995901788E-4</v>
      </c>
      <c r="AG104" s="583">
        <f ca="1"/>
        <v>5.5329857973074326E-4</v>
      </c>
      <c r="AH104" s="583">
        <f ca="1"/>
        <v>4.9451315897730552E-3</v>
      </c>
      <c r="AI104" s="583">
        <f ca="1"/>
        <v>0.53512262444987968</v>
      </c>
      <c r="AJ104" s="496">
        <f ca="1"/>
        <v>0</v>
      </c>
      <c r="AK104" s="618">
        <f ca="1"/>
        <v>0</v>
      </c>
      <c r="AL104" s="495">
        <f ca="1"/>
        <v>3.4986469840160572E-4</v>
      </c>
      <c r="AM104" s="583">
        <f ca="1"/>
        <v>1.6927381024005664E-3</v>
      </c>
      <c r="AN104" s="583">
        <f ca="1"/>
        <v>7.5717824966990005E-3</v>
      </c>
      <c r="AO104" s="583">
        <f ca="1"/>
        <v>0.53008339331949916</v>
      </c>
      <c r="AP104" s="496">
        <f ca="1"/>
        <v>0</v>
      </c>
      <c r="AQ104" s="618">
        <f ca="1"/>
        <v>0</v>
      </c>
      <c r="AR104" s="495">
        <f ca="1"/>
        <v>-1.9304474300389785E-2</v>
      </c>
      <c r="AS104" s="496">
        <f ca="1"/>
        <v>-2.6151250958182215E-2</v>
      </c>
      <c r="AT104" s="618">
        <f ca="1"/>
        <v>0</v>
      </c>
      <c r="AU104" s="495">
        <f ca="1"/>
        <v>-8.3396190663460795E-2</v>
      </c>
      <c r="AV104" s="496">
        <f ca="1"/>
        <v>1.8146393034373966E-3</v>
      </c>
      <c r="AW104" s="618">
        <f ca="1"/>
        <v>0</v>
      </c>
    </row>
    <row r="105" spans="2:49">
      <c r="B105" s="533" t="s">
        <v>523</v>
      </c>
      <c r="C105" s="534" t="s">
        <v>66</v>
      </c>
      <c r="D105" s="534" t="s">
        <v>59</v>
      </c>
      <c r="E105" s="534" t="s">
        <v>649</v>
      </c>
      <c r="F105" s="534" t="s">
        <v>669</v>
      </c>
      <c r="G105" s="535">
        <v>0.01</v>
      </c>
      <c r="H105" s="535">
        <v>4.411E-3</v>
      </c>
      <c r="I105" s="536">
        <v>0.4</v>
      </c>
      <c r="J105" s="593">
        <v>7</v>
      </c>
      <c r="K105" s="537">
        <v>27</v>
      </c>
      <c r="L105" s="272"/>
      <c r="M105" s="272"/>
      <c r="P105" s="273"/>
      <c r="Q105" s="273"/>
      <c r="R105" s="273"/>
      <c r="S105" s="273"/>
      <c r="T105" s="575">
        <f ca="1"/>
        <v>0.15</v>
      </c>
      <c r="U105" s="572">
        <f ca="1"/>
        <v>97</v>
      </c>
      <c r="V105" s="484">
        <f ca="1">IF('CDO Bespoke'!O106&lt;&gt;"",'CDO Bespoke'!O106,"")</f>
        <v>9.8512859065170197E-2</v>
      </c>
      <c r="W105" s="641">
        <f t="shared" ca="1" si="6"/>
        <v>0</v>
      </c>
      <c r="X105" s="641">
        <f t="shared" ca="1" si="5"/>
        <v>9.8512859065170197E-2</v>
      </c>
      <c r="Y105" s="488">
        <f t="shared" ca="1" si="7"/>
        <v>0</v>
      </c>
      <c r="Z105" s="484">
        <f ca="1">IF('CDO Bespoke'!O106&lt;&gt;"",'CDO Bespoke'!O106,"")</f>
        <v>9.8512859065170197E-2</v>
      </c>
      <c r="AA105" s="641">
        <f ca="1">IF(Z105&lt;&gt;"",ABS(MIN(-0.6*'CDO Bespoke'!K106+'CDO Bespoke'!T106*'CDO Bespoke'!K106,0)),"")</f>
        <v>7.5935193007083748E-2</v>
      </c>
      <c r="AB105" s="641">
        <f t="shared" ca="1" si="8"/>
        <v>2.2577666058086449E-2</v>
      </c>
      <c r="AC105" s="488">
        <f t="shared" ca="1" si="9"/>
        <v>0</v>
      </c>
      <c r="AD105" s="272"/>
      <c r="AE105" s="493" t="str">
        <f ca="1">IF('CDO Bespoke'!C130&lt;&gt;"",'CDO Bespoke'!C130,"")</f>
        <v>Telia Company AB</v>
      </c>
      <c r="AF105" s="495">
        <f ca="1"/>
        <v>-2.224592099420164E-4</v>
      </c>
      <c r="AG105" s="583">
        <f ca="1"/>
        <v>4.8189219004068917E-4</v>
      </c>
      <c r="AH105" s="583">
        <f ca="1"/>
        <v>4.7336579300782944E-3</v>
      </c>
      <c r="AI105" s="583">
        <f ca="1"/>
        <v>0.54593662407009802</v>
      </c>
      <c r="AJ105" s="496">
        <f ca="1"/>
        <v>0</v>
      </c>
      <c r="AK105" s="618">
        <f ca="1"/>
        <v>0</v>
      </c>
      <c r="AL105" s="495">
        <f ca="1"/>
        <v>3.5114035359939955E-4</v>
      </c>
      <c r="AM105" s="583">
        <f ca="1"/>
        <v>1.6996477413986841E-3</v>
      </c>
      <c r="AN105" s="583">
        <f ca="1"/>
        <v>7.593844669798698E-3</v>
      </c>
      <c r="AO105" s="583">
        <f ca="1"/>
        <v>0.53937727984819983</v>
      </c>
      <c r="AP105" s="496">
        <f ca="1"/>
        <v>0</v>
      </c>
      <c r="AQ105" s="618">
        <f ca="1"/>
        <v>0</v>
      </c>
      <c r="AR105" s="495">
        <f ca="1"/>
        <v>-1.8814814919640266E-2</v>
      </c>
      <c r="AS105" s="496">
        <f ca="1"/>
        <v>-2.6621107373701769E-2</v>
      </c>
      <c r="AT105" s="618">
        <f ca="1"/>
        <v>0</v>
      </c>
      <c r="AU105" s="495">
        <f ca="1"/>
        <v>-8.3139189762908475E-2</v>
      </c>
      <c r="AV105" s="496">
        <f ca="1"/>
        <v>2.1504028347639672E-3</v>
      </c>
      <c r="AW105" s="618">
        <f ca="1"/>
        <v>0</v>
      </c>
    </row>
    <row r="106" spans="2:49">
      <c r="B106" s="538" t="s">
        <v>524</v>
      </c>
      <c r="C106" s="539" t="s">
        <v>66</v>
      </c>
      <c r="D106" s="539" t="s">
        <v>55</v>
      </c>
      <c r="E106" s="539" t="s">
        <v>649</v>
      </c>
      <c r="F106" s="539" t="s">
        <v>669</v>
      </c>
      <c r="G106" s="540">
        <v>0.01</v>
      </c>
      <c r="H106" s="540">
        <v>2.3649999999999999E-3</v>
      </c>
      <c r="I106" s="541">
        <v>0.4</v>
      </c>
      <c r="J106" s="600">
        <v>7</v>
      </c>
      <c r="K106" s="542">
        <v>28</v>
      </c>
      <c r="L106" s="272"/>
      <c r="M106" s="272"/>
      <c r="P106" s="273"/>
      <c r="Q106" s="273"/>
      <c r="R106" s="273"/>
      <c r="S106" s="273"/>
      <c r="T106" s="575">
        <f ca="1"/>
        <v>0.15</v>
      </c>
      <c r="U106" s="572">
        <f ca="1"/>
        <v>98</v>
      </c>
      <c r="V106" s="484">
        <f ca="1">IF('CDO Bespoke'!O107&lt;&gt;"",'CDO Bespoke'!O107,"")</f>
        <v>9.7623466218957206E-2</v>
      </c>
      <c r="W106" s="641">
        <f t="shared" ca="1" si="6"/>
        <v>0</v>
      </c>
      <c r="X106" s="641">
        <f t="shared" ca="1" si="5"/>
        <v>9.7623466218957206E-2</v>
      </c>
      <c r="Y106" s="488">
        <f t="shared" ca="1" si="7"/>
        <v>0</v>
      </c>
      <c r="Z106" s="484">
        <f ca="1">IF('CDO Bespoke'!O107&lt;&gt;"",'CDO Bespoke'!O107,"")</f>
        <v>9.7623466218957206E-2</v>
      </c>
      <c r="AA106" s="641">
        <f ca="1">IF(Z106&lt;&gt;"",ABS(MIN(-0.6*'CDO Bespoke'!K107+'CDO Bespoke'!T107*'CDO Bespoke'!K107,0)),"")</f>
        <v>8.8827502169399733E-2</v>
      </c>
      <c r="AB106" s="641">
        <f t="shared" ca="1" si="8"/>
        <v>8.7959640495574726E-3</v>
      </c>
      <c r="AC106" s="488">
        <f t="shared" ca="1" si="9"/>
        <v>0</v>
      </c>
      <c r="AD106" s="272"/>
      <c r="AE106" s="493" t="str">
        <f ca="1">IF('CDO Bespoke'!C131&lt;&gt;"",'CDO Bespoke'!C131,"")</f>
        <v>Vivendi SE</v>
      </c>
      <c r="AF106" s="495">
        <f ca="1"/>
        <v>-8.2613742014014946E-4</v>
      </c>
      <c r="AG106" s="583">
        <f ca="1"/>
        <v>-1.7089625398147845E-3</v>
      </c>
      <c r="AH106" s="583">
        <f ca="1"/>
        <v>-2.890304259817178E-3</v>
      </c>
      <c r="AI106" s="583">
        <f ca="1"/>
        <v>0.7690244696101356</v>
      </c>
      <c r="AJ106" s="496">
        <f ca="1"/>
        <v>0</v>
      </c>
      <c r="AK106" s="618">
        <f ca="1"/>
        <v>0</v>
      </c>
      <c r="AL106" s="495">
        <f ca="1"/>
        <v>2.8757247159949539E-4</v>
      </c>
      <c r="AM106" s="583">
        <f ca="1"/>
        <v>1.41720882679882E-3</v>
      </c>
      <c r="AN106" s="583">
        <f ca="1"/>
        <v>5.975114898601995E-3</v>
      </c>
      <c r="AO106" s="583">
        <f ca="1"/>
        <v>0.71889113951620165</v>
      </c>
      <c r="AP106" s="496">
        <f ca="1"/>
        <v>0</v>
      </c>
      <c r="AQ106" s="618">
        <f ca="1"/>
        <v>0</v>
      </c>
      <c r="AR106" s="495">
        <f ca="1"/>
        <v>-8.8033554210148468E-3</v>
      </c>
      <c r="AS106" s="496">
        <f ca="1"/>
        <v>-3.5331127799000162E-2</v>
      </c>
      <c r="AT106" s="618">
        <f ca="1"/>
        <v>0</v>
      </c>
      <c r="AU106" s="495">
        <f ca="1"/>
        <v>-0.11113952454547354</v>
      </c>
      <c r="AV106" s="496">
        <f ca="1"/>
        <v>5.8043900796680425E-3</v>
      </c>
      <c r="AW106" s="618">
        <f ca="1"/>
        <v>0</v>
      </c>
    </row>
    <row r="107" spans="2:49">
      <c r="B107" s="516" t="s">
        <v>524</v>
      </c>
      <c r="C107" s="517" t="s">
        <v>66</v>
      </c>
      <c r="D107" s="517" t="s">
        <v>57</v>
      </c>
      <c r="E107" s="517" t="s">
        <v>649</v>
      </c>
      <c r="F107" s="517" t="s">
        <v>669</v>
      </c>
      <c r="G107" s="524">
        <v>0.01</v>
      </c>
      <c r="H107" s="524">
        <v>3.4499999999999999E-3</v>
      </c>
      <c r="I107" s="526">
        <v>0.4</v>
      </c>
      <c r="J107" s="592">
        <v>7</v>
      </c>
      <c r="K107" s="518">
        <v>28</v>
      </c>
      <c r="L107" s="272"/>
      <c r="M107" s="272"/>
      <c r="P107" s="273"/>
      <c r="Q107" s="273"/>
      <c r="R107" s="273"/>
      <c r="S107" s="273"/>
      <c r="T107" s="575">
        <f ca="1"/>
        <v>0.15</v>
      </c>
      <c r="U107" s="572">
        <f ca="1"/>
        <v>99</v>
      </c>
      <c r="V107" s="484">
        <f ca="1">IF('CDO Bespoke'!O108&lt;&gt;"",'CDO Bespoke'!O108,"")</f>
        <v>9.7140132118393202E-2</v>
      </c>
      <c r="W107" s="641">
        <f t="shared" ca="1" si="6"/>
        <v>0</v>
      </c>
      <c r="X107" s="641">
        <f t="shared" ca="1" si="5"/>
        <v>9.7140132118393202E-2</v>
      </c>
      <c r="Y107" s="488">
        <f t="shared" ca="1" si="7"/>
        <v>0</v>
      </c>
      <c r="Z107" s="484">
        <f ca="1">IF('CDO Bespoke'!O108&lt;&gt;"",'CDO Bespoke'!O108,"")</f>
        <v>9.7140132118393202E-2</v>
      </c>
      <c r="AA107" s="641">
        <f ca="1">IF(Z107&lt;&gt;"",ABS(MIN(-0.6*'CDO Bespoke'!K108+'CDO Bespoke'!T108*'CDO Bespoke'!K108,0)),"")</f>
        <v>9.2262555563956211E-2</v>
      </c>
      <c r="AB107" s="641">
        <f t="shared" ca="1" si="8"/>
        <v>4.8775765544369909E-3</v>
      </c>
      <c r="AC107" s="488">
        <f t="shared" ca="1" si="9"/>
        <v>0</v>
      </c>
      <c r="AD107" s="272"/>
      <c r="AE107" s="493" t="str">
        <f ca="1">IF('CDO Bespoke'!C132&lt;&gt;"",'CDO Bespoke'!C132,"")</f>
        <v>VODAFONE GROUP PUBLIC LIMITED COMPANY</v>
      </c>
      <c r="AF107" s="495">
        <f ca="1"/>
        <v>-1.0302962499819657E-3</v>
      </c>
      <c r="AG107" s="583">
        <f ca="1"/>
        <v>-2.4852522001461708E-3</v>
      </c>
      <c r="AH107" s="583">
        <f ca="1"/>
        <v>-5.8107672001872501E-3</v>
      </c>
      <c r="AI107" s="583">
        <f ca="1"/>
        <v>0.82547749368000467</v>
      </c>
      <c r="AJ107" s="496">
        <f ca="1"/>
        <v>0</v>
      </c>
      <c r="AK107" s="618">
        <f ca="1"/>
        <v>0</v>
      </c>
      <c r="AL107" s="495">
        <f ca="1"/>
        <v>2.3322679450037131E-4</v>
      </c>
      <c r="AM107" s="583">
        <f ca="1"/>
        <v>1.1648887691039986E-3</v>
      </c>
      <c r="AN107" s="583">
        <f ca="1"/>
        <v>4.6869525142023347E-3</v>
      </c>
      <c r="AO107" s="583">
        <f ca="1"/>
        <v>0.7605161486140023</v>
      </c>
      <c r="AP107" s="496">
        <f ca="1"/>
        <v>0</v>
      </c>
      <c r="AQ107" s="618">
        <f ca="1"/>
        <v>0</v>
      </c>
      <c r="AR107" s="495">
        <f ca="1"/>
        <v>-6.2201083019215453E-3</v>
      </c>
      <c r="AS107" s="496">
        <f ca="1"/>
        <v>-3.7105958412764484E-2</v>
      </c>
      <c r="AT107" s="618">
        <f ca="1"/>
        <v>0</v>
      </c>
      <c r="AU107" s="495">
        <f ca="1"/>
        <v>-7.6133933663670827E-2</v>
      </c>
      <c r="AV107" s="496">
        <f ca="1"/>
        <v>1.7600321479941221E-2</v>
      </c>
      <c r="AW107" s="618">
        <f ca="1"/>
        <v>0</v>
      </c>
    </row>
    <row r="108" spans="2:49">
      <c r="B108" s="533" t="s">
        <v>524</v>
      </c>
      <c r="C108" s="534" t="s">
        <v>66</v>
      </c>
      <c r="D108" s="534" t="s">
        <v>59</v>
      </c>
      <c r="E108" s="534" t="s">
        <v>649</v>
      </c>
      <c r="F108" s="534" t="s">
        <v>669</v>
      </c>
      <c r="G108" s="535">
        <v>0.01</v>
      </c>
      <c r="H108" s="535">
        <v>4.6579999999999998E-3</v>
      </c>
      <c r="I108" s="536">
        <v>0.4</v>
      </c>
      <c r="J108" s="593">
        <v>7</v>
      </c>
      <c r="K108" s="537">
        <v>28</v>
      </c>
      <c r="L108" s="272"/>
      <c r="M108" s="272"/>
      <c r="P108" s="273"/>
      <c r="Q108" s="273"/>
      <c r="R108" s="273"/>
      <c r="S108" s="273"/>
      <c r="T108" s="575">
        <f ca="1"/>
        <v>0.15</v>
      </c>
      <c r="U108" s="572">
        <f ca="1"/>
        <v>100</v>
      </c>
      <c r="V108" s="484">
        <f ca="1">IF('CDO Bespoke'!O109&lt;&gt;"",'CDO Bespoke'!O109,"")</f>
        <v>9.7065251177891207E-2</v>
      </c>
      <c r="W108" s="641">
        <f t="shared" ca="1" si="6"/>
        <v>0</v>
      </c>
      <c r="X108" s="641">
        <f t="shared" ca="1" si="5"/>
        <v>9.7065251177891207E-2</v>
      </c>
      <c r="Y108" s="488">
        <f t="shared" ca="1" si="7"/>
        <v>0</v>
      </c>
      <c r="Z108" s="484">
        <f ca="1">IF('CDO Bespoke'!O109&lt;&gt;"",'CDO Bespoke'!O109,"")</f>
        <v>9.7065251177891207E-2</v>
      </c>
      <c r="AA108" s="641">
        <f ca="1">IF(Z108&lt;&gt;"",ABS(MIN(-0.6*'CDO Bespoke'!K109+'CDO Bespoke'!T109*'CDO Bespoke'!K109,0)),"")</f>
        <v>9.2681599237693785E-2</v>
      </c>
      <c r="AB108" s="641">
        <f t="shared" ca="1" si="8"/>
        <v>4.3836519401974222E-3</v>
      </c>
      <c r="AC108" s="488">
        <f t="shared" ca="1" si="9"/>
        <v>0</v>
      </c>
      <c r="AD108" s="272"/>
      <c r="AE108" s="493" t="str">
        <f ca="1">IF('CDO Bespoke'!C133&lt;&gt;"",'CDO Bespoke'!C133,"")</f>
        <v>WPP 2005 LIMITED</v>
      </c>
      <c r="AF108" s="495">
        <f ca="1"/>
        <v>-9.9340576986683971E-4</v>
      </c>
      <c r="AG108" s="583">
        <f ca="1"/>
        <v>-2.3181296199270562E-3</v>
      </c>
      <c r="AH108" s="583">
        <f ca="1"/>
        <v>-5.0885182700799447E-3</v>
      </c>
      <c r="AI108" s="583">
        <f ca="1"/>
        <v>0.81641329383985717</v>
      </c>
      <c r="AJ108" s="496">
        <f ca="1"/>
        <v>0</v>
      </c>
      <c r="AK108" s="618">
        <f ca="1"/>
        <v>0</v>
      </c>
      <c r="AL108" s="495">
        <f ca="1"/>
        <v>2.4165781689969301E-4</v>
      </c>
      <c r="AM108" s="583">
        <f ca="1"/>
        <v>1.2045579396002121E-3</v>
      </c>
      <c r="AN108" s="583">
        <f ca="1"/>
        <v>4.8991483196994534E-3</v>
      </c>
      <c r="AO108" s="583">
        <f ca="1"/>
        <v>0.75400528482200047</v>
      </c>
      <c r="AP108" s="496">
        <f ca="1"/>
        <v>0</v>
      </c>
      <c r="AQ108" s="618">
        <f ca="1"/>
        <v>0</v>
      </c>
      <c r="AR108" s="495">
        <f ca="1"/>
        <v>-6.5940286230018463E-3</v>
      </c>
      <c r="AS108" s="496">
        <f ca="1"/>
        <v>-3.683455901430116E-2</v>
      </c>
      <c r="AT108" s="618">
        <f ca="1"/>
        <v>0</v>
      </c>
      <c r="AU108" s="495">
        <f ca="1"/>
        <v>-0.10914498944387661</v>
      </c>
      <c r="AV108" s="496">
        <f ca="1"/>
        <v>9.3241833425011071E-3</v>
      </c>
      <c r="AW108" s="618">
        <f ca="1"/>
        <v>0</v>
      </c>
    </row>
    <row r="109" spans="2:49">
      <c r="B109" s="538" t="s">
        <v>538</v>
      </c>
      <c r="C109" s="539" t="s">
        <v>66</v>
      </c>
      <c r="D109" s="539" t="s">
        <v>55</v>
      </c>
      <c r="E109" s="539" t="s">
        <v>647</v>
      </c>
      <c r="F109" s="539" t="s">
        <v>646</v>
      </c>
      <c r="G109" s="540">
        <v>0.01</v>
      </c>
      <c r="H109" s="540">
        <v>2.9680000000000002E-3</v>
      </c>
      <c r="I109" s="541">
        <v>0.4</v>
      </c>
      <c r="J109" s="600">
        <v>4</v>
      </c>
      <c r="K109" s="542">
        <v>29</v>
      </c>
      <c r="L109" s="272"/>
      <c r="M109" s="272"/>
      <c r="P109" s="273"/>
      <c r="Q109" s="273"/>
      <c r="R109" s="273"/>
      <c r="S109" s="273"/>
      <c r="T109" s="575">
        <f ca="1"/>
        <v>0.15</v>
      </c>
      <c r="U109" s="572">
        <f ca="1"/>
        <v>101</v>
      </c>
      <c r="V109" s="484" t="str">
        <f ca="1">IF('CDO Bespoke'!O110&lt;&gt;"",'CDO Bespoke'!O110,"")</f>
        <v/>
      </c>
      <c r="W109" s="641" t="str">
        <f t="shared" ca="1" si="6"/>
        <v/>
      </c>
      <c r="X109" s="641" t="str">
        <f ca="1">IF(V109&lt;&gt;"",IF($W$8,MAX(V109-W109,0),V109),"")</f>
        <v/>
      </c>
      <c r="Y109" s="488" t="str">
        <f t="shared" ca="1" si="7"/>
        <v/>
      </c>
      <c r="Z109" s="484" t="str">
        <f ca="1">IF('CDO Bespoke'!O110&lt;&gt;"",'CDO Bespoke'!O110,"")</f>
        <v/>
      </c>
      <c r="AA109" s="641" t="str">
        <f ca="1">IF(Z109&lt;&gt;"",ABS(MIN(-0.6*'CDO Bespoke'!K110+'CDO Bespoke'!T110*'CDO Bespoke'!K110,0)),"")</f>
        <v/>
      </c>
      <c r="AB109" s="641" t="str">
        <f t="shared" ca="1" si="8"/>
        <v/>
      </c>
      <c r="AC109" s="488" t="str">
        <f t="shared" ca="1" si="9"/>
        <v/>
      </c>
      <c r="AD109" s="272"/>
      <c r="AE109" s="493" t="str">
        <f ca="1">IF('CDO Bespoke'!C134&lt;&gt;"",'CDO Bespoke'!C134,"")</f>
        <v/>
      </c>
      <c r="AF109" s="495"/>
      <c r="AG109" s="583"/>
      <c r="AH109" s="583"/>
      <c r="AI109" s="583"/>
      <c r="AJ109" s="496"/>
      <c r="AK109" s="618"/>
      <c r="AL109" s="495"/>
      <c r="AM109" s="583"/>
      <c r="AN109" s="583"/>
      <c r="AO109" s="583"/>
      <c r="AP109" s="496"/>
      <c r="AQ109" s="618"/>
      <c r="AR109" s="495"/>
      <c r="AS109" s="496"/>
      <c r="AT109" s="618"/>
      <c r="AU109" s="495"/>
      <c r="AV109" s="496"/>
      <c r="AW109" s="618"/>
    </row>
    <row r="110" spans="2:49">
      <c r="B110" s="516" t="s">
        <v>538</v>
      </c>
      <c r="C110" s="517" t="s">
        <v>66</v>
      </c>
      <c r="D110" s="517" t="s">
        <v>57</v>
      </c>
      <c r="E110" s="517" t="s">
        <v>647</v>
      </c>
      <c r="F110" s="517" t="s">
        <v>646</v>
      </c>
      <c r="G110" s="524">
        <v>0.01</v>
      </c>
      <c r="H110" s="524">
        <v>4.8170000000000001E-3</v>
      </c>
      <c r="I110" s="526">
        <v>0.4</v>
      </c>
      <c r="J110" s="592">
        <v>4</v>
      </c>
      <c r="K110" s="518">
        <v>29</v>
      </c>
      <c r="L110" s="272"/>
      <c r="M110" s="272"/>
      <c r="P110" s="273"/>
      <c r="Q110" s="273"/>
      <c r="R110" s="273"/>
      <c r="S110" s="273"/>
      <c r="T110" s="575">
        <f ca="1"/>
        <v>0.15</v>
      </c>
      <c r="U110" s="572">
        <f ca="1"/>
        <v>102</v>
      </c>
      <c r="V110" s="484" t="str">
        <f ca="1">IF('CDO Bespoke'!O111&lt;&gt;"",'CDO Bespoke'!O111,"")</f>
        <v/>
      </c>
      <c r="W110" s="641" t="str">
        <f t="shared" ca="1" si="6"/>
        <v/>
      </c>
      <c r="X110" s="641" t="str">
        <f t="shared" ref="X110:X138" ca="1" si="10">IF(V110&lt;&gt;"",IF($W$8,MAX(V110-W110,0),V110),"")</f>
        <v/>
      </c>
      <c r="Y110" s="488" t="str">
        <f t="shared" ca="1" si="7"/>
        <v/>
      </c>
      <c r="Z110" s="484" t="str">
        <f ca="1">IF('CDO Bespoke'!O111&lt;&gt;"",'CDO Bespoke'!O111,"")</f>
        <v/>
      </c>
      <c r="AA110" s="641" t="str">
        <f ca="1">IF(Z110&lt;&gt;"",ABS(MIN(-0.6*'CDO Bespoke'!K111+'CDO Bespoke'!T111*'CDO Bespoke'!K111,0)),"")</f>
        <v/>
      </c>
      <c r="AB110" s="641" t="str">
        <f t="shared" ca="1" si="8"/>
        <v/>
      </c>
      <c r="AC110" s="488" t="str">
        <f t="shared" ca="1" si="9"/>
        <v/>
      </c>
      <c r="AD110" s="272"/>
      <c r="AE110" s="493" t="str">
        <f ca="1">IF('CDO Bespoke'!C135&lt;&gt;"",'CDO Bespoke'!C135,"")</f>
        <v/>
      </c>
      <c r="AF110" s="495"/>
      <c r="AG110" s="583"/>
      <c r="AH110" s="583"/>
      <c r="AI110" s="583"/>
      <c r="AJ110" s="496"/>
      <c r="AK110" s="618"/>
      <c r="AL110" s="495"/>
      <c r="AM110" s="583"/>
      <c r="AN110" s="583"/>
      <c r="AO110" s="583"/>
      <c r="AP110" s="496"/>
      <c r="AQ110" s="618"/>
      <c r="AR110" s="627"/>
      <c r="AS110" s="628"/>
      <c r="AT110" s="618"/>
      <c r="AU110" s="627"/>
      <c r="AV110" s="628"/>
      <c r="AW110" s="618"/>
    </row>
    <row r="111" spans="2:49">
      <c r="B111" s="533" t="s">
        <v>538</v>
      </c>
      <c r="C111" s="534" t="s">
        <v>66</v>
      </c>
      <c r="D111" s="534" t="s">
        <v>59</v>
      </c>
      <c r="E111" s="534" t="s">
        <v>647</v>
      </c>
      <c r="F111" s="534" t="s">
        <v>646</v>
      </c>
      <c r="G111" s="535">
        <v>0.01</v>
      </c>
      <c r="H111" s="535">
        <v>7.1079999999999997E-3</v>
      </c>
      <c r="I111" s="536">
        <v>0.4</v>
      </c>
      <c r="J111" s="593">
        <v>4</v>
      </c>
      <c r="K111" s="537">
        <v>29</v>
      </c>
      <c r="L111" s="272"/>
      <c r="M111" s="272"/>
      <c r="P111" s="273"/>
      <c r="Q111" s="273"/>
      <c r="R111" s="273"/>
      <c r="S111" s="273"/>
      <c r="T111" s="575">
        <f ca="1"/>
        <v>0.15</v>
      </c>
      <c r="U111" s="572">
        <f ca="1"/>
        <v>103</v>
      </c>
      <c r="V111" s="484" t="str">
        <f ca="1">IF('CDO Bespoke'!O112&lt;&gt;"",'CDO Bespoke'!O112,"")</f>
        <v/>
      </c>
      <c r="W111" s="641" t="str">
        <f t="shared" ca="1" si="6"/>
        <v/>
      </c>
      <c r="X111" s="641" t="str">
        <f t="shared" ca="1" si="10"/>
        <v/>
      </c>
      <c r="Y111" s="488" t="str">
        <f t="shared" ca="1" si="7"/>
        <v/>
      </c>
      <c r="Z111" s="484" t="str">
        <f ca="1">IF('CDO Bespoke'!O112&lt;&gt;"",'CDO Bespoke'!O112,"")</f>
        <v/>
      </c>
      <c r="AA111" s="641" t="str">
        <f ca="1">IF(Z111&lt;&gt;"",ABS(MIN(-0.6*'CDO Bespoke'!K112+'CDO Bespoke'!T112*'CDO Bespoke'!K112,0)),"")</f>
        <v/>
      </c>
      <c r="AB111" s="641" t="str">
        <f t="shared" ca="1" si="8"/>
        <v/>
      </c>
      <c r="AC111" s="488" t="str">
        <f t="shared" ca="1" si="9"/>
        <v/>
      </c>
      <c r="AD111" s="272"/>
      <c r="AE111" s="493" t="str">
        <f ca="1">IF('CDO Bespoke'!C136&lt;&gt;"",'CDO Bespoke'!C136,"")</f>
        <v/>
      </c>
      <c r="AF111" s="495"/>
      <c r="AG111" s="583"/>
      <c r="AH111" s="583"/>
      <c r="AI111" s="583"/>
      <c r="AJ111" s="496"/>
      <c r="AK111" s="618"/>
      <c r="AL111" s="495"/>
      <c r="AM111" s="583"/>
      <c r="AN111" s="583"/>
      <c r="AO111" s="583"/>
      <c r="AP111" s="496"/>
      <c r="AQ111" s="618"/>
      <c r="AR111" s="505"/>
      <c r="AS111" s="629"/>
      <c r="AT111" s="618"/>
      <c r="AU111" s="505"/>
      <c r="AV111" s="581"/>
      <c r="AW111" s="618"/>
    </row>
    <row r="112" spans="2:49">
      <c r="B112" s="538" t="s">
        <v>539</v>
      </c>
      <c r="C112" s="539" t="s">
        <v>66</v>
      </c>
      <c r="D112" s="539" t="s">
        <v>55</v>
      </c>
      <c r="E112" s="539" t="s">
        <v>647</v>
      </c>
      <c r="F112" s="539" t="s">
        <v>670</v>
      </c>
      <c r="G112" s="540">
        <v>0.01</v>
      </c>
      <c r="H112" s="540">
        <v>5.1580000000000003E-3</v>
      </c>
      <c r="I112" s="541">
        <v>0.4</v>
      </c>
      <c r="J112" s="600">
        <v>4</v>
      </c>
      <c r="K112" s="542">
        <v>30</v>
      </c>
      <c r="L112" s="272"/>
      <c r="M112" s="272"/>
      <c r="P112" s="273"/>
      <c r="Q112" s="273"/>
      <c r="R112" s="273"/>
      <c r="S112" s="273"/>
      <c r="T112" s="575">
        <f ca="1"/>
        <v>0.15</v>
      </c>
      <c r="U112" s="572">
        <f ca="1"/>
        <v>104</v>
      </c>
      <c r="V112" s="484" t="str">
        <f ca="1">IF('CDO Bespoke'!O113&lt;&gt;"",'CDO Bespoke'!O113,"")</f>
        <v/>
      </c>
      <c r="W112" s="641" t="str">
        <f t="shared" ca="1" si="6"/>
        <v/>
      </c>
      <c r="X112" s="641" t="str">
        <f t="shared" ca="1" si="10"/>
        <v/>
      </c>
      <c r="Y112" s="488" t="str">
        <f t="shared" ca="1" si="7"/>
        <v/>
      </c>
      <c r="Z112" s="484" t="str">
        <f ca="1">IF('CDO Bespoke'!O113&lt;&gt;"",'CDO Bespoke'!O113,"")</f>
        <v/>
      </c>
      <c r="AA112" s="641" t="str">
        <f ca="1">IF(Z112&lt;&gt;"",ABS(MIN(-0.6*'CDO Bespoke'!K113+'CDO Bespoke'!T113*'CDO Bespoke'!K113,0)),"")</f>
        <v/>
      </c>
      <c r="AB112" s="641" t="str">
        <f t="shared" ca="1" si="8"/>
        <v/>
      </c>
      <c r="AC112" s="488" t="str">
        <f t="shared" ca="1" si="9"/>
        <v/>
      </c>
      <c r="AD112" s="272"/>
      <c r="AE112" s="493" t="str">
        <f ca="1">IF('CDO Bespoke'!C137&lt;&gt;"",'CDO Bespoke'!C137,"")</f>
        <v/>
      </c>
      <c r="AF112" s="495"/>
      <c r="AG112" s="583"/>
      <c r="AH112" s="583"/>
      <c r="AI112" s="583"/>
      <c r="AJ112" s="496"/>
      <c r="AK112" s="618"/>
      <c r="AL112" s="495"/>
      <c r="AM112" s="583"/>
      <c r="AN112" s="583"/>
      <c r="AO112" s="583"/>
      <c r="AP112" s="496"/>
      <c r="AQ112" s="618"/>
      <c r="AR112" s="505"/>
      <c r="AS112" s="629"/>
      <c r="AT112" s="618"/>
      <c r="AU112" s="505"/>
      <c r="AV112" s="581"/>
      <c r="AW112" s="618"/>
    </row>
    <row r="113" spans="2:49">
      <c r="B113" s="516" t="s">
        <v>539</v>
      </c>
      <c r="C113" s="517" t="s">
        <v>66</v>
      </c>
      <c r="D113" s="517" t="s">
        <v>57</v>
      </c>
      <c r="E113" s="517" t="s">
        <v>647</v>
      </c>
      <c r="F113" s="517" t="s">
        <v>670</v>
      </c>
      <c r="G113" s="524">
        <v>0.01</v>
      </c>
      <c r="H113" s="524">
        <v>8.1840000000000003E-3</v>
      </c>
      <c r="I113" s="526">
        <v>0.4</v>
      </c>
      <c r="J113" s="592">
        <v>4</v>
      </c>
      <c r="K113" s="518">
        <v>30</v>
      </c>
      <c r="L113" s="272"/>
      <c r="M113" s="272"/>
      <c r="P113" s="273"/>
      <c r="Q113" s="273"/>
      <c r="R113" s="273"/>
      <c r="S113" s="273"/>
      <c r="T113" s="575">
        <f ca="1"/>
        <v>0.15</v>
      </c>
      <c r="U113" s="572">
        <f ca="1"/>
        <v>105</v>
      </c>
      <c r="V113" s="484" t="str">
        <f ca="1">IF('CDO Bespoke'!O114&lt;&gt;"",'CDO Bespoke'!O114,"")</f>
        <v/>
      </c>
      <c r="W113" s="641" t="str">
        <f t="shared" ca="1" si="6"/>
        <v/>
      </c>
      <c r="X113" s="641" t="str">
        <f t="shared" ca="1" si="10"/>
        <v/>
      </c>
      <c r="Y113" s="488" t="str">
        <f t="shared" ca="1" si="7"/>
        <v/>
      </c>
      <c r="Z113" s="484" t="str">
        <f ca="1">IF('CDO Bespoke'!O114&lt;&gt;"",'CDO Bespoke'!O114,"")</f>
        <v/>
      </c>
      <c r="AA113" s="641" t="str">
        <f ca="1">IF(Z113&lt;&gt;"",ABS(MIN(-0.6*'CDO Bespoke'!K114+'CDO Bespoke'!T114*'CDO Bespoke'!K114,0)),"")</f>
        <v/>
      </c>
      <c r="AB113" s="641" t="str">
        <f t="shared" ca="1" si="8"/>
        <v/>
      </c>
      <c r="AC113" s="488" t="str">
        <f t="shared" ca="1" si="9"/>
        <v/>
      </c>
      <c r="AD113" s="272"/>
      <c r="AE113" s="493" t="str">
        <f ca="1">IF('CDO Bespoke'!C138&lt;&gt;"",'CDO Bespoke'!C138,"")</f>
        <v/>
      </c>
      <c r="AF113" s="495"/>
      <c r="AG113" s="583"/>
      <c r="AH113" s="583"/>
      <c r="AI113" s="583"/>
      <c r="AJ113" s="496"/>
      <c r="AK113" s="618"/>
      <c r="AL113" s="495"/>
      <c r="AM113" s="583"/>
      <c r="AN113" s="583"/>
      <c r="AO113" s="583"/>
      <c r="AP113" s="496"/>
      <c r="AQ113" s="618"/>
      <c r="AR113" s="505"/>
      <c r="AS113" s="629"/>
      <c r="AT113" s="618"/>
      <c r="AU113" s="505"/>
      <c r="AV113" s="581"/>
      <c r="AW113" s="618"/>
    </row>
    <row r="114" spans="2:49">
      <c r="B114" s="533" t="s">
        <v>539</v>
      </c>
      <c r="C114" s="534" t="s">
        <v>66</v>
      </c>
      <c r="D114" s="534" t="s">
        <v>59</v>
      </c>
      <c r="E114" s="534" t="s">
        <v>647</v>
      </c>
      <c r="F114" s="534" t="s">
        <v>670</v>
      </c>
      <c r="G114" s="535">
        <v>0.01</v>
      </c>
      <c r="H114" s="535">
        <v>1.0449999999999999E-2</v>
      </c>
      <c r="I114" s="536">
        <v>0.4</v>
      </c>
      <c r="J114" s="593">
        <v>4</v>
      </c>
      <c r="K114" s="537">
        <v>30</v>
      </c>
      <c r="L114" s="272"/>
      <c r="M114" s="272"/>
      <c r="P114" s="273"/>
      <c r="Q114" s="273"/>
      <c r="R114" s="273"/>
      <c r="S114" s="273"/>
      <c r="T114" s="575">
        <f ca="1"/>
        <v>0.15</v>
      </c>
      <c r="U114" s="572">
        <f ca="1"/>
        <v>106</v>
      </c>
      <c r="V114" s="484" t="str">
        <f ca="1">IF('CDO Bespoke'!O115&lt;&gt;"",'CDO Bespoke'!O115,"")</f>
        <v/>
      </c>
      <c r="W114" s="641" t="str">
        <f t="shared" ca="1" si="6"/>
        <v/>
      </c>
      <c r="X114" s="641" t="str">
        <f t="shared" ca="1" si="10"/>
        <v/>
      </c>
      <c r="Y114" s="488" t="str">
        <f t="shared" ca="1" si="7"/>
        <v/>
      </c>
      <c r="Z114" s="484" t="str">
        <f ca="1">IF('CDO Bespoke'!O115&lt;&gt;"",'CDO Bespoke'!O115,"")</f>
        <v/>
      </c>
      <c r="AA114" s="641" t="str">
        <f ca="1">IF(Z114&lt;&gt;"",ABS(MIN(-0.6*'CDO Bespoke'!K115+'CDO Bespoke'!T115*'CDO Bespoke'!K115,0)),"")</f>
        <v/>
      </c>
      <c r="AB114" s="641" t="str">
        <f t="shared" ca="1" si="8"/>
        <v/>
      </c>
      <c r="AC114" s="488" t="str">
        <f t="shared" ca="1" si="9"/>
        <v/>
      </c>
      <c r="AD114" s="272"/>
      <c r="AE114" s="493" t="str">
        <f ca="1">IF('CDO Bespoke'!C139&lt;&gt;"",'CDO Bespoke'!C139,"")</f>
        <v/>
      </c>
      <c r="AF114" s="495"/>
      <c r="AG114" s="583"/>
      <c r="AH114" s="583"/>
      <c r="AI114" s="583"/>
      <c r="AJ114" s="496"/>
      <c r="AK114" s="618"/>
      <c r="AL114" s="495"/>
      <c r="AM114" s="583"/>
      <c r="AN114" s="583"/>
      <c r="AO114" s="583"/>
      <c r="AP114" s="496"/>
      <c r="AQ114" s="618"/>
      <c r="AR114" s="505"/>
      <c r="AS114" s="629"/>
      <c r="AT114" s="618"/>
      <c r="AU114" s="505"/>
      <c r="AV114" s="581"/>
      <c r="AW114" s="618"/>
    </row>
    <row r="115" spans="2:49">
      <c r="B115" s="538" t="s">
        <v>540</v>
      </c>
      <c r="C115" s="539" t="s">
        <v>66</v>
      </c>
      <c r="D115" s="539" t="s">
        <v>55</v>
      </c>
      <c r="E115" s="539" t="s">
        <v>647</v>
      </c>
      <c r="F115" s="539" t="s">
        <v>668</v>
      </c>
      <c r="G115" s="540">
        <v>0.01</v>
      </c>
      <c r="H115" s="540">
        <v>5.8869999999999999E-3</v>
      </c>
      <c r="I115" s="541">
        <v>0.4</v>
      </c>
      <c r="J115" s="600">
        <v>5</v>
      </c>
      <c r="K115" s="542">
        <v>31</v>
      </c>
      <c r="L115" s="272"/>
      <c r="M115" s="272"/>
      <c r="P115" s="273"/>
      <c r="Q115" s="273"/>
      <c r="R115" s="273"/>
      <c r="S115" s="273"/>
      <c r="T115" s="575">
        <f ca="1"/>
        <v>0.15</v>
      </c>
      <c r="U115" s="572">
        <f ca="1"/>
        <v>107</v>
      </c>
      <c r="V115" s="484" t="str">
        <f ca="1">IF('CDO Bespoke'!O116&lt;&gt;"",'CDO Bespoke'!O116,"")</f>
        <v/>
      </c>
      <c r="W115" s="641" t="str">
        <f t="shared" ca="1" si="6"/>
        <v/>
      </c>
      <c r="X115" s="641" t="str">
        <f t="shared" ca="1" si="10"/>
        <v/>
      </c>
      <c r="Y115" s="488" t="str">
        <f t="shared" ca="1" si="7"/>
        <v/>
      </c>
      <c r="Z115" s="484" t="str">
        <f ca="1">IF('CDO Bespoke'!O116&lt;&gt;"",'CDO Bespoke'!O116,"")</f>
        <v/>
      </c>
      <c r="AA115" s="641" t="str">
        <f ca="1">IF(Z115&lt;&gt;"",ABS(MIN(-0.6*'CDO Bespoke'!K116+'CDO Bespoke'!T116*'CDO Bespoke'!K116,0)),"")</f>
        <v/>
      </c>
      <c r="AB115" s="641" t="str">
        <f t="shared" ca="1" si="8"/>
        <v/>
      </c>
      <c r="AC115" s="488" t="str">
        <f t="shared" ca="1" si="9"/>
        <v/>
      </c>
      <c r="AD115" s="272"/>
      <c r="AE115" s="493" t="str">
        <f ca="1">IF('CDO Bespoke'!C140&lt;&gt;"",'CDO Bespoke'!C140,"")</f>
        <v/>
      </c>
      <c r="AF115" s="495"/>
      <c r="AG115" s="583"/>
      <c r="AH115" s="583"/>
      <c r="AI115" s="583"/>
      <c r="AJ115" s="496"/>
      <c r="AK115" s="618"/>
      <c r="AL115" s="495"/>
      <c r="AM115" s="583"/>
      <c r="AN115" s="583"/>
      <c r="AO115" s="583"/>
      <c r="AP115" s="496"/>
      <c r="AQ115" s="618"/>
      <c r="AR115" s="505"/>
      <c r="AS115" s="629"/>
      <c r="AT115" s="618"/>
      <c r="AU115" s="505"/>
      <c r="AV115" s="581"/>
      <c r="AW115" s="618"/>
    </row>
    <row r="116" spans="2:49">
      <c r="B116" s="516" t="s">
        <v>540</v>
      </c>
      <c r="C116" s="517" t="s">
        <v>66</v>
      </c>
      <c r="D116" s="517" t="s">
        <v>57</v>
      </c>
      <c r="E116" s="517" t="s">
        <v>647</v>
      </c>
      <c r="F116" s="517" t="s">
        <v>668</v>
      </c>
      <c r="G116" s="524">
        <v>0.01</v>
      </c>
      <c r="H116" s="524">
        <v>1.0245000000000001E-2</v>
      </c>
      <c r="I116" s="526">
        <v>0.4</v>
      </c>
      <c r="J116" s="592">
        <v>5</v>
      </c>
      <c r="K116" s="518">
        <v>31</v>
      </c>
      <c r="L116" s="272"/>
      <c r="M116" s="272"/>
      <c r="P116" s="273"/>
      <c r="Q116" s="273"/>
      <c r="R116" s="273"/>
      <c r="S116" s="273"/>
      <c r="T116" s="575">
        <f ca="1"/>
        <v>0.15</v>
      </c>
      <c r="U116" s="572">
        <f ca="1"/>
        <v>108</v>
      </c>
      <c r="V116" s="484" t="str">
        <f ca="1">IF('CDO Bespoke'!O117&lt;&gt;"",'CDO Bespoke'!O117,"")</f>
        <v/>
      </c>
      <c r="W116" s="641" t="str">
        <f t="shared" ca="1" si="6"/>
        <v/>
      </c>
      <c r="X116" s="641" t="str">
        <f t="shared" ca="1" si="10"/>
        <v/>
      </c>
      <c r="Y116" s="488" t="str">
        <f t="shared" ca="1" si="7"/>
        <v/>
      </c>
      <c r="Z116" s="484" t="str">
        <f ca="1">IF('CDO Bespoke'!O117&lt;&gt;"",'CDO Bespoke'!O117,"")</f>
        <v/>
      </c>
      <c r="AA116" s="641" t="str">
        <f ca="1">IF(Z116&lt;&gt;"",ABS(MIN(-0.6*'CDO Bespoke'!K117+'CDO Bespoke'!T117*'CDO Bespoke'!K117,0)),"")</f>
        <v/>
      </c>
      <c r="AB116" s="641" t="str">
        <f t="shared" ca="1" si="8"/>
        <v/>
      </c>
      <c r="AC116" s="488" t="str">
        <f t="shared" ca="1" si="9"/>
        <v/>
      </c>
      <c r="AD116" s="272"/>
      <c r="AE116" s="493" t="str">
        <f ca="1">IF('CDO Bespoke'!C141&lt;&gt;"",'CDO Bespoke'!C141,"")</f>
        <v/>
      </c>
      <c r="AF116" s="495"/>
      <c r="AG116" s="583"/>
      <c r="AH116" s="583"/>
      <c r="AI116" s="583"/>
      <c r="AJ116" s="496"/>
      <c r="AK116" s="618"/>
      <c r="AL116" s="495"/>
      <c r="AM116" s="583"/>
      <c r="AN116" s="583"/>
      <c r="AO116" s="583"/>
      <c r="AP116" s="496"/>
      <c r="AQ116" s="618"/>
      <c r="AR116" s="505"/>
      <c r="AS116" s="629"/>
      <c r="AT116" s="618"/>
      <c r="AU116" s="505"/>
      <c r="AV116" s="581"/>
      <c r="AW116" s="618"/>
    </row>
    <row r="117" spans="2:49">
      <c r="B117" s="533" t="s">
        <v>540</v>
      </c>
      <c r="C117" s="534" t="s">
        <v>66</v>
      </c>
      <c r="D117" s="534" t="s">
        <v>59</v>
      </c>
      <c r="E117" s="534" t="s">
        <v>647</v>
      </c>
      <c r="F117" s="534" t="s">
        <v>668</v>
      </c>
      <c r="G117" s="535">
        <v>0.01</v>
      </c>
      <c r="H117" s="535">
        <v>1.4839E-2</v>
      </c>
      <c r="I117" s="536">
        <v>0.4</v>
      </c>
      <c r="J117" s="593">
        <v>5</v>
      </c>
      <c r="K117" s="537">
        <v>31</v>
      </c>
      <c r="L117" s="272"/>
      <c r="M117" s="272"/>
      <c r="P117" s="273"/>
      <c r="Q117" s="273"/>
      <c r="R117" s="273"/>
      <c r="S117" s="273"/>
      <c r="T117" s="575">
        <f ca="1"/>
        <v>0.15</v>
      </c>
      <c r="U117" s="572">
        <f ca="1"/>
        <v>109</v>
      </c>
      <c r="V117" s="484" t="str">
        <f ca="1">IF('CDO Bespoke'!O118&lt;&gt;"",'CDO Bespoke'!O118,"")</f>
        <v/>
      </c>
      <c r="W117" s="641" t="str">
        <f t="shared" ca="1" si="6"/>
        <v/>
      </c>
      <c r="X117" s="641" t="str">
        <f t="shared" ca="1" si="10"/>
        <v/>
      </c>
      <c r="Y117" s="488" t="str">
        <f t="shared" ca="1" si="7"/>
        <v/>
      </c>
      <c r="Z117" s="484" t="str">
        <f ca="1">IF('CDO Bespoke'!O118&lt;&gt;"",'CDO Bespoke'!O118,"")</f>
        <v/>
      </c>
      <c r="AA117" s="641" t="str">
        <f ca="1">IF(Z117&lt;&gt;"",ABS(MIN(-0.6*'CDO Bespoke'!K118+'CDO Bespoke'!T118*'CDO Bespoke'!K118,0)),"")</f>
        <v/>
      </c>
      <c r="AB117" s="641" t="str">
        <f t="shared" ca="1" si="8"/>
        <v/>
      </c>
      <c r="AC117" s="488" t="str">
        <f t="shared" ca="1" si="9"/>
        <v/>
      </c>
      <c r="AD117" s="272"/>
      <c r="AE117" s="493" t="str">
        <f ca="1">IF('CDO Bespoke'!C142&lt;&gt;"",'CDO Bespoke'!C142,"")</f>
        <v/>
      </c>
      <c r="AF117" s="495"/>
      <c r="AG117" s="583"/>
      <c r="AH117" s="583"/>
      <c r="AI117" s="583"/>
      <c r="AJ117" s="496"/>
      <c r="AK117" s="618"/>
      <c r="AL117" s="495"/>
      <c r="AM117" s="583"/>
      <c r="AN117" s="583"/>
      <c r="AO117" s="583"/>
      <c r="AP117" s="496"/>
      <c r="AQ117" s="618"/>
      <c r="AR117" s="505"/>
      <c r="AS117" s="629"/>
      <c r="AT117" s="618"/>
      <c r="AU117" s="505"/>
      <c r="AV117" s="581"/>
      <c r="AW117" s="618"/>
    </row>
    <row r="118" spans="2:49">
      <c r="B118" s="538" t="s">
        <v>525</v>
      </c>
      <c r="C118" s="539" t="s">
        <v>66</v>
      </c>
      <c r="D118" s="539" t="s">
        <v>55</v>
      </c>
      <c r="E118" s="539" t="s">
        <v>647</v>
      </c>
      <c r="F118" s="539" t="s">
        <v>670</v>
      </c>
      <c r="G118" s="540">
        <v>0.01</v>
      </c>
      <c r="H118" s="540">
        <v>4.9649999999999998E-3</v>
      </c>
      <c r="I118" s="541">
        <v>0.4</v>
      </c>
      <c r="J118" s="600">
        <v>4</v>
      </c>
      <c r="K118" s="542">
        <v>32</v>
      </c>
      <c r="L118" s="272"/>
      <c r="M118" s="272"/>
      <c r="P118" s="273"/>
      <c r="Q118" s="273"/>
      <c r="R118" s="273"/>
      <c r="S118" s="273"/>
      <c r="T118" s="575">
        <f ca="1"/>
        <v>0.15</v>
      </c>
      <c r="U118" s="572">
        <f ca="1"/>
        <v>110</v>
      </c>
      <c r="V118" s="484" t="str">
        <f ca="1">IF('CDO Bespoke'!O119&lt;&gt;"",'CDO Bespoke'!O119,"")</f>
        <v/>
      </c>
      <c r="W118" s="641" t="str">
        <f t="shared" ca="1" si="6"/>
        <v/>
      </c>
      <c r="X118" s="641" t="str">
        <f t="shared" ca="1" si="10"/>
        <v/>
      </c>
      <c r="Y118" s="488" t="str">
        <f t="shared" ca="1" si="7"/>
        <v/>
      </c>
      <c r="Z118" s="484" t="str">
        <f ca="1">IF('CDO Bespoke'!O119&lt;&gt;"",'CDO Bespoke'!O119,"")</f>
        <v/>
      </c>
      <c r="AA118" s="641" t="str">
        <f ca="1">IF(Z118&lt;&gt;"",ABS(MIN(-0.6*'CDO Bespoke'!K119+'CDO Bespoke'!T119*'CDO Bespoke'!K119,0)),"")</f>
        <v/>
      </c>
      <c r="AB118" s="641" t="str">
        <f t="shared" ca="1" si="8"/>
        <v/>
      </c>
      <c r="AC118" s="488" t="str">
        <f t="shared" ca="1" si="9"/>
        <v/>
      </c>
      <c r="AD118" s="272"/>
      <c r="AE118" s="493" t="str">
        <f ca="1">IF('CDO Bespoke'!C143&lt;&gt;"",'CDO Bespoke'!C143,"")</f>
        <v/>
      </c>
      <c r="AF118" s="495"/>
      <c r="AG118" s="583"/>
      <c r="AH118" s="583"/>
      <c r="AI118" s="583"/>
      <c r="AJ118" s="496"/>
      <c r="AK118" s="618"/>
      <c r="AL118" s="495"/>
      <c r="AM118" s="583"/>
      <c r="AN118" s="583"/>
      <c r="AO118" s="583"/>
      <c r="AP118" s="496"/>
      <c r="AQ118" s="618"/>
      <c r="AR118" s="505"/>
      <c r="AS118" s="629"/>
      <c r="AT118" s="618"/>
      <c r="AU118" s="505"/>
      <c r="AV118" s="581"/>
      <c r="AW118" s="618"/>
    </row>
    <row r="119" spans="2:49">
      <c r="B119" s="516" t="s">
        <v>525</v>
      </c>
      <c r="C119" s="517" t="s">
        <v>66</v>
      </c>
      <c r="D119" s="517" t="s">
        <v>57</v>
      </c>
      <c r="E119" s="517" t="s">
        <v>647</v>
      </c>
      <c r="F119" s="517" t="s">
        <v>670</v>
      </c>
      <c r="G119" s="524">
        <v>0.01</v>
      </c>
      <c r="H119" s="524">
        <v>8.1279999999999998E-3</v>
      </c>
      <c r="I119" s="526">
        <v>0.4</v>
      </c>
      <c r="J119" s="592">
        <v>4</v>
      </c>
      <c r="K119" s="518">
        <v>32</v>
      </c>
      <c r="L119" s="272"/>
      <c r="M119" s="272"/>
      <c r="P119" s="273"/>
      <c r="Q119" s="273"/>
      <c r="R119" s="273"/>
      <c r="S119" s="273"/>
      <c r="T119" s="575">
        <f ca="1"/>
        <v>0.15</v>
      </c>
      <c r="U119" s="572">
        <f ca="1"/>
        <v>111</v>
      </c>
      <c r="V119" s="484" t="str">
        <f ca="1">IF('CDO Bespoke'!O120&lt;&gt;"",'CDO Bespoke'!O120,"")</f>
        <v/>
      </c>
      <c r="W119" s="641" t="str">
        <f t="shared" ca="1" si="6"/>
        <v/>
      </c>
      <c r="X119" s="641" t="str">
        <f t="shared" ca="1" si="10"/>
        <v/>
      </c>
      <c r="Y119" s="488" t="str">
        <f t="shared" ca="1" si="7"/>
        <v/>
      </c>
      <c r="Z119" s="484" t="str">
        <f ca="1">IF('CDO Bespoke'!O120&lt;&gt;"",'CDO Bespoke'!O120,"")</f>
        <v/>
      </c>
      <c r="AA119" s="641" t="str">
        <f ca="1">IF(Z119&lt;&gt;"",ABS(MIN(-0.6*'CDO Bespoke'!K120+'CDO Bespoke'!T120*'CDO Bespoke'!K120,0)),"")</f>
        <v/>
      </c>
      <c r="AB119" s="641" t="str">
        <f t="shared" ca="1" si="8"/>
        <v/>
      </c>
      <c r="AC119" s="488" t="str">
        <f t="shared" ca="1" si="9"/>
        <v/>
      </c>
      <c r="AD119" s="272"/>
      <c r="AE119" s="493" t="str">
        <f ca="1">IF('CDO Bespoke'!C144&lt;&gt;"",'CDO Bespoke'!C144,"")</f>
        <v/>
      </c>
      <c r="AF119" s="495"/>
      <c r="AG119" s="583"/>
      <c r="AH119" s="583"/>
      <c r="AI119" s="583"/>
      <c r="AJ119" s="496"/>
      <c r="AK119" s="618"/>
      <c r="AL119" s="495"/>
      <c r="AM119" s="583"/>
      <c r="AN119" s="583"/>
      <c r="AO119" s="583"/>
      <c r="AP119" s="496"/>
      <c r="AQ119" s="618"/>
      <c r="AR119" s="505"/>
      <c r="AS119" s="629"/>
      <c r="AT119" s="618"/>
      <c r="AU119" s="505"/>
      <c r="AV119" s="581"/>
      <c r="AW119" s="618"/>
    </row>
    <row r="120" spans="2:49">
      <c r="B120" s="533" t="s">
        <v>525</v>
      </c>
      <c r="C120" s="534" t="s">
        <v>66</v>
      </c>
      <c r="D120" s="534" t="s">
        <v>59</v>
      </c>
      <c r="E120" s="534" t="s">
        <v>647</v>
      </c>
      <c r="F120" s="534" t="s">
        <v>670</v>
      </c>
      <c r="G120" s="535">
        <v>0.01</v>
      </c>
      <c r="H120" s="535">
        <v>1.1227000000000001E-2</v>
      </c>
      <c r="I120" s="536">
        <v>0.4</v>
      </c>
      <c r="J120" s="593">
        <v>4</v>
      </c>
      <c r="K120" s="537">
        <v>32</v>
      </c>
      <c r="L120" s="272"/>
      <c r="M120" s="272"/>
      <c r="P120" s="273"/>
      <c r="Q120" s="273"/>
      <c r="R120" s="273"/>
      <c r="S120" s="273"/>
      <c r="T120" s="575">
        <f ca="1"/>
        <v>0.15</v>
      </c>
      <c r="U120" s="572">
        <f ca="1"/>
        <v>112</v>
      </c>
      <c r="V120" s="484" t="str">
        <f ca="1">IF('CDO Bespoke'!O121&lt;&gt;"",'CDO Bespoke'!O121,"")</f>
        <v/>
      </c>
      <c r="W120" s="641" t="str">
        <f t="shared" ca="1" si="6"/>
        <v/>
      </c>
      <c r="X120" s="641" t="str">
        <f t="shared" ca="1" si="10"/>
        <v/>
      </c>
      <c r="Y120" s="488" t="str">
        <f t="shared" ca="1" si="7"/>
        <v/>
      </c>
      <c r="Z120" s="484" t="str">
        <f ca="1">IF('CDO Bespoke'!O121&lt;&gt;"",'CDO Bespoke'!O121,"")</f>
        <v/>
      </c>
      <c r="AA120" s="641" t="str">
        <f ca="1">IF(Z120&lt;&gt;"",ABS(MIN(-0.6*'CDO Bespoke'!K121+'CDO Bespoke'!T121*'CDO Bespoke'!K121,0)),"")</f>
        <v/>
      </c>
      <c r="AB120" s="641" t="str">
        <f t="shared" ca="1" si="8"/>
        <v/>
      </c>
      <c r="AC120" s="488" t="str">
        <f t="shared" ca="1" si="9"/>
        <v/>
      </c>
      <c r="AD120" s="272"/>
      <c r="AE120" s="493" t="str">
        <f ca="1">IF('CDO Bespoke'!C145&lt;&gt;"",'CDO Bespoke'!C145,"")</f>
        <v/>
      </c>
      <c r="AF120" s="495"/>
      <c r="AG120" s="583"/>
      <c r="AH120" s="583"/>
      <c r="AI120" s="583"/>
      <c r="AJ120" s="496"/>
      <c r="AK120" s="618"/>
      <c r="AL120" s="495"/>
      <c r="AM120" s="583"/>
      <c r="AN120" s="583"/>
      <c r="AO120" s="583"/>
      <c r="AP120" s="496"/>
      <c r="AQ120" s="618"/>
      <c r="AR120" s="505"/>
      <c r="AS120" s="629"/>
      <c r="AT120" s="618"/>
      <c r="AU120" s="505"/>
      <c r="AV120" s="581"/>
      <c r="AW120" s="618"/>
    </row>
    <row r="121" spans="2:49">
      <c r="B121" s="538" t="s">
        <v>526</v>
      </c>
      <c r="C121" s="539" t="s">
        <v>66</v>
      </c>
      <c r="D121" s="539" t="s">
        <v>55</v>
      </c>
      <c r="E121" s="539" t="s">
        <v>647</v>
      </c>
      <c r="F121" s="539" t="s">
        <v>671</v>
      </c>
      <c r="G121" s="540">
        <v>0.01</v>
      </c>
      <c r="H121" s="540">
        <v>6.7450000000000001E-3</v>
      </c>
      <c r="I121" s="541">
        <v>0.4</v>
      </c>
      <c r="J121" s="600">
        <v>3</v>
      </c>
      <c r="K121" s="542">
        <v>33</v>
      </c>
      <c r="L121" s="272"/>
      <c r="M121" s="272"/>
      <c r="P121" s="273"/>
      <c r="Q121" s="273"/>
      <c r="R121" s="273"/>
      <c r="S121" s="273"/>
      <c r="T121" s="575">
        <f ca="1"/>
        <v>0.15</v>
      </c>
      <c r="U121" s="572">
        <f ca="1"/>
        <v>113</v>
      </c>
      <c r="V121" s="484" t="str">
        <f ca="1">IF('CDO Bespoke'!O122&lt;&gt;"",'CDO Bespoke'!O122,"")</f>
        <v/>
      </c>
      <c r="W121" s="641" t="str">
        <f t="shared" ca="1" si="6"/>
        <v/>
      </c>
      <c r="X121" s="641" t="str">
        <f t="shared" ca="1" si="10"/>
        <v/>
      </c>
      <c r="Y121" s="488" t="str">
        <f t="shared" ca="1" si="7"/>
        <v/>
      </c>
      <c r="Z121" s="484" t="str">
        <f ca="1">IF('CDO Bespoke'!O122&lt;&gt;"",'CDO Bespoke'!O122,"")</f>
        <v/>
      </c>
      <c r="AA121" s="641" t="str">
        <f ca="1">IF(Z121&lt;&gt;"",ABS(MIN(-0.6*'CDO Bespoke'!K122+'CDO Bespoke'!T122*'CDO Bespoke'!K122,0)),"")</f>
        <v/>
      </c>
      <c r="AB121" s="641" t="str">
        <f t="shared" ca="1" si="8"/>
        <v/>
      </c>
      <c r="AC121" s="488" t="str">
        <f t="shared" ca="1" si="9"/>
        <v/>
      </c>
      <c r="AD121" s="272"/>
      <c r="AE121" s="493" t="str">
        <f ca="1">IF('CDO Bespoke'!C146&lt;&gt;"",'CDO Bespoke'!C146,"")</f>
        <v/>
      </c>
      <c r="AF121" s="495"/>
      <c r="AG121" s="583"/>
      <c r="AH121" s="583"/>
      <c r="AI121" s="583"/>
      <c r="AJ121" s="496"/>
      <c r="AK121" s="618"/>
      <c r="AL121" s="495"/>
      <c r="AM121" s="583"/>
      <c r="AN121" s="583"/>
      <c r="AO121" s="583"/>
      <c r="AP121" s="496"/>
      <c r="AQ121" s="618"/>
      <c r="AR121" s="505"/>
      <c r="AS121" s="629"/>
      <c r="AT121" s="618"/>
      <c r="AU121" s="505"/>
      <c r="AV121" s="581"/>
      <c r="AW121" s="618"/>
    </row>
    <row r="122" spans="2:49">
      <c r="B122" s="516" t="s">
        <v>526</v>
      </c>
      <c r="C122" s="517" t="s">
        <v>66</v>
      </c>
      <c r="D122" s="517" t="s">
        <v>57</v>
      </c>
      <c r="E122" s="517" t="s">
        <v>647</v>
      </c>
      <c r="F122" s="517" t="s">
        <v>671</v>
      </c>
      <c r="G122" s="524">
        <v>0.01</v>
      </c>
      <c r="H122" s="524">
        <v>1.1979999999999999E-2</v>
      </c>
      <c r="I122" s="526">
        <v>0.4</v>
      </c>
      <c r="J122" s="592">
        <v>3</v>
      </c>
      <c r="K122" s="518">
        <v>33</v>
      </c>
      <c r="L122" s="272"/>
      <c r="M122" s="272"/>
      <c r="P122" s="273"/>
      <c r="Q122" s="273"/>
      <c r="R122" s="273"/>
      <c r="S122" s="273"/>
      <c r="T122" s="575">
        <f ca="1"/>
        <v>0.15</v>
      </c>
      <c r="U122" s="572">
        <f ca="1"/>
        <v>114</v>
      </c>
      <c r="V122" s="484" t="str">
        <f ca="1">IF('CDO Bespoke'!O123&lt;&gt;"",'CDO Bespoke'!O123,"")</f>
        <v/>
      </c>
      <c r="W122" s="641" t="str">
        <f t="shared" ca="1" si="6"/>
        <v/>
      </c>
      <c r="X122" s="641" t="str">
        <f t="shared" ca="1" si="10"/>
        <v/>
      </c>
      <c r="Y122" s="488" t="str">
        <f t="shared" ca="1" si="7"/>
        <v/>
      </c>
      <c r="Z122" s="484" t="str">
        <f ca="1">IF('CDO Bespoke'!O123&lt;&gt;"",'CDO Bespoke'!O123,"")</f>
        <v/>
      </c>
      <c r="AA122" s="641" t="str">
        <f ca="1">IF(Z122&lt;&gt;"",ABS(MIN(-0.6*'CDO Bespoke'!K123+'CDO Bespoke'!T123*'CDO Bespoke'!K123,0)),"")</f>
        <v/>
      </c>
      <c r="AB122" s="641" t="str">
        <f t="shared" ca="1" si="8"/>
        <v/>
      </c>
      <c r="AC122" s="488" t="str">
        <f t="shared" ca="1" si="9"/>
        <v/>
      </c>
      <c r="AD122" s="272"/>
      <c r="AE122" s="493" t="str">
        <f ca="1">IF('CDO Bespoke'!C147&lt;&gt;"",'CDO Bespoke'!C147,"")</f>
        <v/>
      </c>
      <c r="AF122" s="495"/>
      <c r="AG122" s="583"/>
      <c r="AH122" s="583"/>
      <c r="AI122" s="583"/>
      <c r="AJ122" s="496"/>
      <c r="AK122" s="618"/>
      <c r="AL122" s="495"/>
      <c r="AM122" s="583"/>
      <c r="AN122" s="583"/>
      <c r="AO122" s="583"/>
      <c r="AP122" s="496"/>
      <c r="AQ122" s="618"/>
      <c r="AR122" s="505"/>
      <c r="AS122" s="629"/>
      <c r="AT122" s="618"/>
      <c r="AU122" s="505"/>
      <c r="AV122" s="581"/>
      <c r="AW122" s="618"/>
    </row>
    <row r="123" spans="2:49">
      <c r="B123" s="533" t="s">
        <v>526</v>
      </c>
      <c r="C123" s="534" t="s">
        <v>66</v>
      </c>
      <c r="D123" s="534" t="s">
        <v>59</v>
      </c>
      <c r="E123" s="534" t="s">
        <v>647</v>
      </c>
      <c r="F123" s="534" t="s">
        <v>671</v>
      </c>
      <c r="G123" s="535">
        <v>0.01</v>
      </c>
      <c r="H123" s="535">
        <v>1.6924999999999999E-2</v>
      </c>
      <c r="I123" s="536">
        <v>0.4</v>
      </c>
      <c r="J123" s="593">
        <v>3</v>
      </c>
      <c r="K123" s="537">
        <v>33</v>
      </c>
      <c r="L123" s="272"/>
      <c r="M123" s="272"/>
      <c r="P123" s="273"/>
      <c r="Q123" s="273"/>
      <c r="R123" s="273"/>
      <c r="S123" s="273"/>
      <c r="T123" s="575">
        <f ca="1"/>
        <v>0.15</v>
      </c>
      <c r="U123" s="572">
        <f ca="1"/>
        <v>115</v>
      </c>
      <c r="V123" s="484" t="str">
        <f ca="1">IF('CDO Bespoke'!O124&lt;&gt;"",'CDO Bespoke'!O124,"")</f>
        <v/>
      </c>
      <c r="W123" s="641" t="str">
        <f t="shared" ca="1" si="6"/>
        <v/>
      </c>
      <c r="X123" s="641" t="str">
        <f t="shared" ca="1" si="10"/>
        <v/>
      </c>
      <c r="Y123" s="488" t="str">
        <f t="shared" ca="1" si="7"/>
        <v/>
      </c>
      <c r="Z123" s="484" t="str">
        <f ca="1">IF('CDO Bespoke'!O124&lt;&gt;"",'CDO Bespoke'!O124,"")</f>
        <v/>
      </c>
      <c r="AA123" s="641" t="str">
        <f ca="1">IF(Z123&lt;&gt;"",ABS(MIN(-0.6*'CDO Bespoke'!K124+'CDO Bespoke'!T124*'CDO Bespoke'!K124,0)),"")</f>
        <v/>
      </c>
      <c r="AB123" s="641" t="str">
        <f t="shared" ca="1" si="8"/>
        <v/>
      </c>
      <c r="AC123" s="488" t="str">
        <f t="shared" ca="1" si="9"/>
        <v/>
      </c>
      <c r="AD123" s="272"/>
      <c r="AE123" s="493" t="str">
        <f ca="1">IF('CDO Bespoke'!C148&lt;&gt;"",'CDO Bespoke'!C148,"")</f>
        <v/>
      </c>
      <c r="AF123" s="495"/>
      <c r="AG123" s="583"/>
      <c r="AH123" s="583"/>
      <c r="AI123" s="583"/>
      <c r="AJ123" s="496"/>
      <c r="AK123" s="618"/>
      <c r="AL123" s="495"/>
      <c r="AM123" s="583"/>
      <c r="AN123" s="583"/>
      <c r="AO123" s="583"/>
      <c r="AP123" s="496"/>
      <c r="AQ123" s="618"/>
      <c r="AR123" s="505"/>
      <c r="AS123" s="629"/>
      <c r="AT123" s="618"/>
      <c r="AU123" s="505"/>
      <c r="AV123" s="581"/>
      <c r="AW123" s="618"/>
    </row>
    <row r="124" spans="2:49">
      <c r="B124" s="538" t="s">
        <v>527</v>
      </c>
      <c r="C124" s="539" t="s">
        <v>66</v>
      </c>
      <c r="D124" s="539" t="s">
        <v>55</v>
      </c>
      <c r="E124" s="539" t="s">
        <v>645</v>
      </c>
      <c r="F124" s="539" t="s">
        <v>646</v>
      </c>
      <c r="G124" s="540">
        <v>0.01</v>
      </c>
      <c r="H124" s="540">
        <v>1.9369999999999999E-3</v>
      </c>
      <c r="I124" s="541">
        <v>0.4</v>
      </c>
      <c r="J124" s="600">
        <v>4</v>
      </c>
      <c r="K124" s="542">
        <v>34</v>
      </c>
      <c r="L124" s="272"/>
      <c r="M124" s="272"/>
      <c r="P124" s="273"/>
      <c r="Q124" s="273"/>
      <c r="R124" s="273"/>
      <c r="S124" s="273"/>
      <c r="T124" s="575">
        <f ca="1"/>
        <v>0.15</v>
      </c>
      <c r="U124" s="572">
        <f ca="1"/>
        <v>116</v>
      </c>
      <c r="V124" s="484" t="str">
        <f ca="1">IF('CDO Bespoke'!O125&lt;&gt;"",'CDO Bespoke'!O125,"")</f>
        <v/>
      </c>
      <c r="W124" s="641" t="str">
        <f t="shared" ca="1" si="6"/>
        <v/>
      </c>
      <c r="X124" s="641" t="str">
        <f t="shared" ca="1" si="10"/>
        <v/>
      </c>
      <c r="Y124" s="488" t="str">
        <f t="shared" ca="1" si="7"/>
        <v/>
      </c>
      <c r="Z124" s="484" t="str">
        <f ca="1">IF('CDO Bespoke'!O125&lt;&gt;"",'CDO Bespoke'!O125,"")</f>
        <v/>
      </c>
      <c r="AA124" s="641" t="str">
        <f ca="1">IF(Z124&lt;&gt;"",ABS(MIN(-0.6*'CDO Bespoke'!K125+'CDO Bespoke'!T125*'CDO Bespoke'!K125,0)),"")</f>
        <v/>
      </c>
      <c r="AB124" s="641" t="str">
        <f t="shared" ca="1" si="8"/>
        <v/>
      </c>
      <c r="AC124" s="488" t="str">
        <f t="shared" ca="1" si="9"/>
        <v/>
      </c>
      <c r="AD124" s="272"/>
      <c r="AE124" s="493" t="str">
        <f ca="1">IF('CDO Bespoke'!C149&lt;&gt;"",'CDO Bespoke'!C149,"")</f>
        <v/>
      </c>
      <c r="AF124" s="495"/>
      <c r="AG124" s="583"/>
      <c r="AH124" s="583"/>
      <c r="AI124" s="583"/>
      <c r="AJ124" s="496"/>
      <c r="AK124" s="618"/>
      <c r="AL124" s="495"/>
      <c r="AM124" s="583"/>
      <c r="AN124" s="583"/>
      <c r="AO124" s="583"/>
      <c r="AP124" s="496"/>
      <c r="AQ124" s="618"/>
      <c r="AR124" s="505"/>
      <c r="AS124" s="629"/>
      <c r="AT124" s="618"/>
      <c r="AU124" s="505"/>
      <c r="AV124" s="581"/>
      <c r="AW124" s="618"/>
    </row>
    <row r="125" spans="2:49">
      <c r="B125" s="516" t="s">
        <v>527</v>
      </c>
      <c r="C125" s="517" t="s">
        <v>66</v>
      </c>
      <c r="D125" s="517" t="s">
        <v>57</v>
      </c>
      <c r="E125" s="517" t="s">
        <v>645</v>
      </c>
      <c r="F125" s="517" t="s">
        <v>646</v>
      </c>
      <c r="G125" s="524">
        <v>0.01</v>
      </c>
      <c r="H125" s="524">
        <v>3.101E-3</v>
      </c>
      <c r="I125" s="526">
        <v>0.4</v>
      </c>
      <c r="J125" s="592">
        <v>4</v>
      </c>
      <c r="K125" s="518">
        <v>34</v>
      </c>
      <c r="L125" s="272"/>
      <c r="M125" s="272"/>
      <c r="P125" s="273"/>
      <c r="Q125" s="273"/>
      <c r="R125" s="273"/>
      <c r="S125" s="273"/>
      <c r="T125" s="575">
        <f ca="1"/>
        <v>0.15</v>
      </c>
      <c r="U125" s="572">
        <f ca="1"/>
        <v>117</v>
      </c>
      <c r="V125" s="484" t="str">
        <f ca="1">IF('CDO Bespoke'!O126&lt;&gt;"",'CDO Bespoke'!O126,"")</f>
        <v/>
      </c>
      <c r="W125" s="641" t="str">
        <f t="shared" ca="1" si="6"/>
        <v/>
      </c>
      <c r="X125" s="641" t="str">
        <f t="shared" ca="1" si="10"/>
        <v/>
      </c>
      <c r="Y125" s="488" t="str">
        <f t="shared" ca="1" si="7"/>
        <v/>
      </c>
      <c r="Z125" s="484" t="str">
        <f ca="1">IF('CDO Bespoke'!O126&lt;&gt;"",'CDO Bespoke'!O126,"")</f>
        <v/>
      </c>
      <c r="AA125" s="641" t="str">
        <f ca="1">IF(Z125&lt;&gt;"",ABS(MIN(-0.6*'CDO Bespoke'!K126+'CDO Bespoke'!T126*'CDO Bespoke'!K126,0)),"")</f>
        <v/>
      </c>
      <c r="AB125" s="641" t="str">
        <f t="shared" ca="1" si="8"/>
        <v/>
      </c>
      <c r="AC125" s="488" t="str">
        <f t="shared" ca="1" si="9"/>
        <v/>
      </c>
      <c r="AD125" s="272"/>
      <c r="AE125" s="493" t="str">
        <f ca="1">IF('CDO Bespoke'!C150&lt;&gt;"",'CDO Bespoke'!C150,"")</f>
        <v/>
      </c>
      <c r="AF125" s="495"/>
      <c r="AG125" s="583"/>
      <c r="AH125" s="583"/>
      <c r="AI125" s="583"/>
      <c r="AJ125" s="496"/>
      <c r="AK125" s="618"/>
      <c r="AL125" s="495"/>
      <c r="AM125" s="583"/>
      <c r="AN125" s="583"/>
      <c r="AO125" s="583"/>
      <c r="AP125" s="496"/>
      <c r="AQ125" s="618"/>
      <c r="AR125" s="505"/>
      <c r="AS125" s="629"/>
      <c r="AT125" s="618"/>
      <c r="AU125" s="505"/>
      <c r="AV125" s="581"/>
      <c r="AW125" s="618"/>
    </row>
    <row r="126" spans="2:49">
      <c r="B126" s="533" t="s">
        <v>527</v>
      </c>
      <c r="C126" s="534" t="s">
        <v>66</v>
      </c>
      <c r="D126" s="534" t="s">
        <v>59</v>
      </c>
      <c r="E126" s="534" t="s">
        <v>645</v>
      </c>
      <c r="F126" s="534" t="s">
        <v>646</v>
      </c>
      <c r="G126" s="535">
        <v>0.01</v>
      </c>
      <c r="H126" s="535">
        <v>4.6010000000000001E-3</v>
      </c>
      <c r="I126" s="536">
        <v>0.4</v>
      </c>
      <c r="J126" s="593">
        <v>4</v>
      </c>
      <c r="K126" s="537">
        <v>34</v>
      </c>
      <c r="L126" s="272"/>
      <c r="M126" s="272"/>
      <c r="P126" s="273"/>
      <c r="Q126" s="273"/>
      <c r="R126" s="273"/>
      <c r="S126" s="273"/>
      <c r="T126" s="575">
        <f ca="1"/>
        <v>0.15</v>
      </c>
      <c r="U126" s="572">
        <f ca="1"/>
        <v>118</v>
      </c>
      <c r="V126" s="484" t="str">
        <f ca="1">IF('CDO Bespoke'!O127&lt;&gt;"",'CDO Bespoke'!O127,"")</f>
        <v/>
      </c>
      <c r="W126" s="641" t="str">
        <f t="shared" ca="1" si="6"/>
        <v/>
      </c>
      <c r="X126" s="641" t="str">
        <f t="shared" ca="1" si="10"/>
        <v/>
      </c>
      <c r="Y126" s="488" t="str">
        <f t="shared" ca="1" si="7"/>
        <v/>
      </c>
      <c r="Z126" s="484" t="str">
        <f ca="1">IF('CDO Bespoke'!O127&lt;&gt;"",'CDO Bespoke'!O127,"")</f>
        <v/>
      </c>
      <c r="AA126" s="641" t="str">
        <f ca="1">IF(Z126&lt;&gt;"",ABS(MIN(-0.6*'CDO Bespoke'!K127+'CDO Bespoke'!T127*'CDO Bespoke'!K127,0)),"")</f>
        <v/>
      </c>
      <c r="AB126" s="641" t="str">
        <f t="shared" ca="1" si="8"/>
        <v/>
      </c>
      <c r="AC126" s="488" t="str">
        <f t="shared" ca="1" si="9"/>
        <v/>
      </c>
      <c r="AD126" s="272"/>
      <c r="AE126" s="493" t="str">
        <f ca="1">IF('CDO Bespoke'!C151&lt;&gt;"",'CDO Bespoke'!C151,"")</f>
        <v/>
      </c>
      <c r="AF126" s="495"/>
      <c r="AG126" s="583"/>
      <c r="AH126" s="583"/>
      <c r="AI126" s="583"/>
      <c r="AJ126" s="496"/>
      <c r="AK126" s="618"/>
      <c r="AL126" s="495"/>
      <c r="AM126" s="583"/>
      <c r="AN126" s="583"/>
      <c r="AO126" s="583"/>
      <c r="AP126" s="496"/>
      <c r="AQ126" s="618"/>
      <c r="AR126" s="505"/>
      <c r="AS126" s="629"/>
      <c r="AT126" s="618"/>
      <c r="AU126" s="505"/>
      <c r="AV126" s="581"/>
      <c r="AW126" s="618"/>
    </row>
    <row r="127" spans="2:49">
      <c r="B127" s="538" t="s">
        <v>541</v>
      </c>
      <c r="C127" s="539" t="s">
        <v>66</v>
      </c>
      <c r="D127" s="539" t="s">
        <v>55</v>
      </c>
      <c r="E127" s="539" t="s">
        <v>645</v>
      </c>
      <c r="F127" s="539" t="s">
        <v>668</v>
      </c>
      <c r="G127" s="540">
        <v>0.01</v>
      </c>
      <c r="H127" s="540">
        <v>4.7990000000000003E-3</v>
      </c>
      <c r="I127" s="541">
        <v>0.4</v>
      </c>
      <c r="J127" s="600">
        <v>5</v>
      </c>
      <c r="K127" s="542">
        <v>35</v>
      </c>
      <c r="L127" s="272"/>
      <c r="M127" s="272"/>
      <c r="P127" s="273"/>
      <c r="Q127" s="273"/>
      <c r="R127" s="273"/>
      <c r="S127" s="273"/>
      <c r="T127" s="575">
        <f ca="1"/>
        <v>0.15</v>
      </c>
      <c r="U127" s="572">
        <f ca="1"/>
        <v>119</v>
      </c>
      <c r="V127" s="484" t="str">
        <f ca="1">IF('CDO Bespoke'!O128&lt;&gt;"",'CDO Bespoke'!O128,"")</f>
        <v/>
      </c>
      <c r="W127" s="641" t="str">
        <f t="shared" ca="1" si="6"/>
        <v/>
      </c>
      <c r="X127" s="641" t="str">
        <f t="shared" ca="1" si="10"/>
        <v/>
      </c>
      <c r="Y127" s="488" t="str">
        <f t="shared" ca="1" si="7"/>
        <v/>
      </c>
      <c r="Z127" s="484" t="str">
        <f ca="1">IF('CDO Bespoke'!O128&lt;&gt;"",'CDO Bespoke'!O128,"")</f>
        <v/>
      </c>
      <c r="AA127" s="641" t="str">
        <f ca="1">IF(Z127&lt;&gt;"",ABS(MIN(-0.6*'CDO Bespoke'!K128+'CDO Bespoke'!T128*'CDO Bespoke'!K128,0)),"")</f>
        <v/>
      </c>
      <c r="AB127" s="641" t="str">
        <f t="shared" ca="1" si="8"/>
        <v/>
      </c>
      <c r="AC127" s="488" t="str">
        <f t="shared" ca="1" si="9"/>
        <v/>
      </c>
      <c r="AD127" s="272"/>
      <c r="AE127" s="493" t="str">
        <f ca="1">IF('CDO Bespoke'!C152&lt;&gt;"",'CDO Bespoke'!C152,"")</f>
        <v/>
      </c>
      <c r="AF127" s="495"/>
      <c r="AG127" s="583"/>
      <c r="AH127" s="583"/>
      <c r="AI127" s="583"/>
      <c r="AJ127" s="496"/>
      <c r="AK127" s="618"/>
      <c r="AL127" s="495"/>
      <c r="AM127" s="583"/>
      <c r="AN127" s="583"/>
      <c r="AO127" s="583"/>
      <c r="AP127" s="496"/>
      <c r="AQ127" s="618"/>
      <c r="AR127" s="505"/>
      <c r="AS127" s="629"/>
      <c r="AT127" s="618"/>
      <c r="AU127" s="505"/>
      <c r="AV127" s="581"/>
      <c r="AW127" s="618"/>
    </row>
    <row r="128" spans="2:49">
      <c r="B128" s="516" t="s">
        <v>541</v>
      </c>
      <c r="C128" s="517" t="s">
        <v>66</v>
      </c>
      <c r="D128" s="517" t="s">
        <v>57</v>
      </c>
      <c r="E128" s="517" t="s">
        <v>645</v>
      </c>
      <c r="F128" s="517" t="s">
        <v>668</v>
      </c>
      <c r="G128" s="524">
        <v>0.01</v>
      </c>
      <c r="H128" s="524">
        <v>8.7480000000000006E-3</v>
      </c>
      <c r="I128" s="526">
        <v>0.4</v>
      </c>
      <c r="J128" s="592">
        <v>5</v>
      </c>
      <c r="K128" s="518">
        <v>35</v>
      </c>
      <c r="L128" s="272"/>
      <c r="M128" s="272"/>
      <c r="P128" s="273"/>
      <c r="Q128" s="273"/>
      <c r="R128" s="273"/>
      <c r="S128" s="273"/>
      <c r="T128" s="575">
        <f ca="1"/>
        <v>0.15</v>
      </c>
      <c r="U128" s="572">
        <f ca="1"/>
        <v>120</v>
      </c>
      <c r="V128" s="484" t="str">
        <f ca="1">IF('CDO Bespoke'!O129&lt;&gt;"",'CDO Bespoke'!O129,"")</f>
        <v/>
      </c>
      <c r="W128" s="641" t="str">
        <f t="shared" ca="1" si="6"/>
        <v/>
      </c>
      <c r="X128" s="641" t="str">
        <f t="shared" ca="1" si="10"/>
        <v/>
      </c>
      <c r="Y128" s="488" t="str">
        <f t="shared" ca="1" si="7"/>
        <v/>
      </c>
      <c r="Z128" s="484" t="str">
        <f ca="1">IF('CDO Bespoke'!O129&lt;&gt;"",'CDO Bespoke'!O129,"")</f>
        <v/>
      </c>
      <c r="AA128" s="641" t="str">
        <f ca="1">IF(Z128&lt;&gt;"",ABS(MIN(-0.6*'CDO Bespoke'!K129+'CDO Bespoke'!T129*'CDO Bespoke'!K129,0)),"")</f>
        <v/>
      </c>
      <c r="AB128" s="641" t="str">
        <f t="shared" ca="1" si="8"/>
        <v/>
      </c>
      <c r="AC128" s="488" t="str">
        <f t="shared" ca="1" si="9"/>
        <v/>
      </c>
      <c r="AD128" s="272"/>
      <c r="AE128" s="493" t="str">
        <f ca="1">IF('CDO Bespoke'!C153&lt;&gt;"",'CDO Bespoke'!C153,"")</f>
        <v/>
      </c>
      <c r="AF128" s="495"/>
      <c r="AG128" s="583"/>
      <c r="AH128" s="583"/>
      <c r="AI128" s="583"/>
      <c r="AJ128" s="496"/>
      <c r="AK128" s="618"/>
      <c r="AL128" s="495"/>
      <c r="AM128" s="583"/>
      <c r="AN128" s="583"/>
      <c r="AO128" s="583"/>
      <c r="AP128" s="496"/>
      <c r="AQ128" s="618"/>
      <c r="AR128" s="505"/>
      <c r="AS128" s="629"/>
      <c r="AT128" s="618"/>
      <c r="AU128" s="505"/>
      <c r="AV128" s="581"/>
      <c r="AW128" s="618"/>
    </row>
    <row r="129" spans="2:49">
      <c r="B129" s="533" t="s">
        <v>541</v>
      </c>
      <c r="C129" s="534" t="s">
        <v>66</v>
      </c>
      <c r="D129" s="534" t="s">
        <v>59</v>
      </c>
      <c r="E129" s="534" t="s">
        <v>645</v>
      </c>
      <c r="F129" s="534" t="s">
        <v>668</v>
      </c>
      <c r="G129" s="535">
        <v>0.01</v>
      </c>
      <c r="H129" s="535">
        <v>1.2120000000000001E-2</v>
      </c>
      <c r="I129" s="536">
        <v>0.4</v>
      </c>
      <c r="J129" s="593">
        <v>5</v>
      </c>
      <c r="K129" s="537">
        <v>35</v>
      </c>
      <c r="L129" s="272"/>
      <c r="M129" s="272"/>
      <c r="P129" s="273"/>
      <c r="Q129" s="273"/>
      <c r="R129" s="273"/>
      <c r="S129" s="273"/>
      <c r="T129" s="575">
        <f ca="1"/>
        <v>0.15</v>
      </c>
      <c r="U129" s="572">
        <f ca="1"/>
        <v>121</v>
      </c>
      <c r="V129" s="484" t="str">
        <f ca="1">IF('CDO Bespoke'!O130&lt;&gt;"",'CDO Bespoke'!O130,"")</f>
        <v/>
      </c>
      <c r="W129" s="641" t="str">
        <f t="shared" ca="1" si="6"/>
        <v/>
      </c>
      <c r="X129" s="641" t="str">
        <f t="shared" ca="1" si="10"/>
        <v/>
      </c>
      <c r="Y129" s="488" t="str">
        <f t="shared" ca="1" si="7"/>
        <v/>
      </c>
      <c r="Z129" s="484" t="str">
        <f ca="1">IF('CDO Bespoke'!O130&lt;&gt;"",'CDO Bespoke'!O130,"")</f>
        <v/>
      </c>
      <c r="AA129" s="641" t="str">
        <f ca="1">IF(Z129&lt;&gt;"",ABS(MIN(-0.6*'CDO Bespoke'!K130+'CDO Bespoke'!T130*'CDO Bespoke'!K130,0)),"")</f>
        <v/>
      </c>
      <c r="AB129" s="641" t="str">
        <f t="shared" ca="1" si="8"/>
        <v/>
      </c>
      <c r="AC129" s="488" t="str">
        <f t="shared" ca="1" si="9"/>
        <v/>
      </c>
      <c r="AD129" s="272"/>
      <c r="AE129" s="493" t="str">
        <f ca="1">IF('CDO Bespoke'!C154&lt;&gt;"",'CDO Bespoke'!C154,"")</f>
        <v/>
      </c>
      <c r="AF129" s="495"/>
      <c r="AG129" s="583"/>
      <c r="AH129" s="583"/>
      <c r="AI129" s="583"/>
      <c r="AJ129" s="496"/>
      <c r="AK129" s="618"/>
      <c r="AL129" s="495"/>
      <c r="AM129" s="583"/>
      <c r="AN129" s="583"/>
      <c r="AO129" s="583"/>
      <c r="AP129" s="496"/>
      <c r="AQ129" s="618"/>
      <c r="AR129" s="505"/>
      <c r="AS129" s="629"/>
      <c r="AT129" s="618"/>
      <c r="AU129" s="505"/>
      <c r="AV129" s="581"/>
      <c r="AW129" s="618"/>
    </row>
    <row r="130" spans="2:49">
      <c r="B130" s="538" t="s">
        <v>528</v>
      </c>
      <c r="C130" s="539" t="s">
        <v>66</v>
      </c>
      <c r="D130" s="539" t="s">
        <v>55</v>
      </c>
      <c r="E130" s="539" t="s">
        <v>647</v>
      </c>
      <c r="F130" s="539" t="s">
        <v>671</v>
      </c>
      <c r="G130" s="540">
        <v>0.01</v>
      </c>
      <c r="H130" s="540">
        <v>4.2960000000000003E-3</v>
      </c>
      <c r="I130" s="541">
        <v>0.4</v>
      </c>
      <c r="J130" s="600">
        <v>3</v>
      </c>
      <c r="K130" s="542">
        <v>36</v>
      </c>
      <c r="L130" s="272"/>
      <c r="M130" s="272"/>
      <c r="P130" s="273"/>
      <c r="Q130" s="273"/>
      <c r="R130" s="273"/>
      <c r="S130" s="273"/>
      <c r="T130" s="575">
        <f ca="1"/>
        <v>0.15</v>
      </c>
      <c r="U130" s="572">
        <f ca="1"/>
        <v>122</v>
      </c>
      <c r="V130" s="484" t="str">
        <f ca="1">IF('CDO Bespoke'!O131&lt;&gt;"",'CDO Bespoke'!O131,"")</f>
        <v/>
      </c>
      <c r="W130" s="641" t="str">
        <f t="shared" ca="1" si="6"/>
        <v/>
      </c>
      <c r="X130" s="641" t="str">
        <f t="shared" ca="1" si="10"/>
        <v/>
      </c>
      <c r="Y130" s="488" t="str">
        <f t="shared" ca="1" si="7"/>
        <v/>
      </c>
      <c r="Z130" s="484" t="str">
        <f ca="1">IF('CDO Bespoke'!O131&lt;&gt;"",'CDO Bespoke'!O131,"")</f>
        <v/>
      </c>
      <c r="AA130" s="641" t="str">
        <f ca="1">IF(Z130&lt;&gt;"",ABS(MIN(-0.6*'CDO Bespoke'!K131+'CDO Bespoke'!T131*'CDO Bespoke'!K131,0)),"")</f>
        <v/>
      </c>
      <c r="AB130" s="641" t="str">
        <f t="shared" ca="1" si="8"/>
        <v/>
      </c>
      <c r="AC130" s="488" t="str">
        <f t="shared" ca="1" si="9"/>
        <v/>
      </c>
      <c r="AD130" s="272"/>
      <c r="AE130" s="493" t="str">
        <f ca="1">IF('CDO Bespoke'!C155&lt;&gt;"",'CDO Bespoke'!C155,"")</f>
        <v/>
      </c>
      <c r="AF130" s="495"/>
      <c r="AG130" s="583"/>
      <c r="AH130" s="583"/>
      <c r="AI130" s="583"/>
      <c r="AJ130" s="496"/>
      <c r="AK130" s="618"/>
      <c r="AL130" s="495"/>
      <c r="AM130" s="583"/>
      <c r="AN130" s="583"/>
      <c r="AO130" s="583"/>
      <c r="AP130" s="496"/>
      <c r="AQ130" s="618"/>
      <c r="AR130" s="505"/>
      <c r="AS130" s="629"/>
      <c r="AT130" s="618"/>
      <c r="AU130" s="505"/>
      <c r="AV130" s="581"/>
      <c r="AW130" s="618"/>
    </row>
    <row r="131" spans="2:49">
      <c r="B131" s="516" t="s">
        <v>528</v>
      </c>
      <c r="C131" s="517" t="s">
        <v>66</v>
      </c>
      <c r="D131" s="517" t="s">
        <v>57</v>
      </c>
      <c r="E131" s="517" t="s">
        <v>647</v>
      </c>
      <c r="F131" s="517" t="s">
        <v>671</v>
      </c>
      <c r="G131" s="524">
        <v>0.01</v>
      </c>
      <c r="H131" s="524">
        <v>6.79E-3</v>
      </c>
      <c r="I131" s="526">
        <v>0.4</v>
      </c>
      <c r="J131" s="592">
        <v>3</v>
      </c>
      <c r="K131" s="518">
        <v>36</v>
      </c>
      <c r="L131" s="272"/>
      <c r="M131" s="272"/>
      <c r="P131" s="273"/>
      <c r="Q131" s="273"/>
      <c r="R131" s="273"/>
      <c r="S131" s="273"/>
      <c r="T131" s="575">
        <f ca="1"/>
        <v>0.15</v>
      </c>
      <c r="U131" s="572">
        <f ca="1"/>
        <v>123</v>
      </c>
      <c r="V131" s="484" t="str">
        <f ca="1">IF('CDO Bespoke'!O132&lt;&gt;"",'CDO Bespoke'!O132,"")</f>
        <v/>
      </c>
      <c r="W131" s="641" t="str">
        <f t="shared" ca="1" si="6"/>
        <v/>
      </c>
      <c r="X131" s="641" t="str">
        <f t="shared" ca="1" si="10"/>
        <v/>
      </c>
      <c r="Y131" s="488" t="str">
        <f t="shared" ca="1" si="7"/>
        <v/>
      </c>
      <c r="Z131" s="484" t="str">
        <f ca="1">IF('CDO Bespoke'!O132&lt;&gt;"",'CDO Bespoke'!O132,"")</f>
        <v/>
      </c>
      <c r="AA131" s="641" t="str">
        <f ca="1">IF(Z131&lt;&gt;"",ABS(MIN(-0.6*'CDO Bespoke'!K132+'CDO Bespoke'!T132*'CDO Bespoke'!K132,0)),"")</f>
        <v/>
      </c>
      <c r="AB131" s="641" t="str">
        <f t="shared" ca="1" si="8"/>
        <v/>
      </c>
      <c r="AC131" s="488" t="str">
        <f t="shared" ca="1" si="9"/>
        <v/>
      </c>
      <c r="AD131" s="272"/>
      <c r="AE131" s="493" t="str">
        <f ca="1">IF('CDO Bespoke'!C156&lt;&gt;"",'CDO Bespoke'!C156,"")</f>
        <v/>
      </c>
      <c r="AF131" s="495"/>
      <c r="AG131" s="583"/>
      <c r="AH131" s="583"/>
      <c r="AI131" s="583"/>
      <c r="AJ131" s="496"/>
      <c r="AK131" s="618"/>
      <c r="AL131" s="495"/>
      <c r="AM131" s="583"/>
      <c r="AN131" s="583"/>
      <c r="AO131" s="583"/>
      <c r="AP131" s="496"/>
      <c r="AQ131" s="618"/>
      <c r="AR131" s="505"/>
      <c r="AS131" s="629"/>
      <c r="AT131" s="618"/>
      <c r="AU131" s="505"/>
      <c r="AV131" s="581"/>
      <c r="AW131" s="618"/>
    </row>
    <row r="132" spans="2:49">
      <c r="B132" s="533" t="s">
        <v>528</v>
      </c>
      <c r="C132" s="534" t="s">
        <v>66</v>
      </c>
      <c r="D132" s="534" t="s">
        <v>59</v>
      </c>
      <c r="E132" s="534" t="s">
        <v>647</v>
      </c>
      <c r="F132" s="534" t="s">
        <v>671</v>
      </c>
      <c r="G132" s="535">
        <v>0.01</v>
      </c>
      <c r="H132" s="535">
        <v>9.9900000000000006E-3</v>
      </c>
      <c r="I132" s="536">
        <v>0.4</v>
      </c>
      <c r="J132" s="593">
        <v>3</v>
      </c>
      <c r="K132" s="537">
        <v>36</v>
      </c>
      <c r="L132" s="272"/>
      <c r="M132" s="272"/>
      <c r="P132" s="273"/>
      <c r="Q132" s="273"/>
      <c r="R132" s="273"/>
      <c r="S132" s="273"/>
      <c r="T132" s="575">
        <f ca="1"/>
        <v>0.15</v>
      </c>
      <c r="U132" s="572">
        <f ca="1"/>
        <v>124</v>
      </c>
      <c r="V132" s="484" t="str">
        <f ca="1">IF('CDO Bespoke'!O133&lt;&gt;"",'CDO Bespoke'!O133,"")</f>
        <v/>
      </c>
      <c r="W132" s="641" t="str">
        <f t="shared" ca="1" si="6"/>
        <v/>
      </c>
      <c r="X132" s="641" t="str">
        <f t="shared" ca="1" si="10"/>
        <v/>
      </c>
      <c r="Y132" s="488" t="str">
        <f t="shared" ca="1" si="7"/>
        <v/>
      </c>
      <c r="Z132" s="484" t="str">
        <f ca="1">IF('CDO Bespoke'!O133&lt;&gt;"",'CDO Bespoke'!O133,"")</f>
        <v/>
      </c>
      <c r="AA132" s="641" t="str">
        <f ca="1">IF(Z132&lt;&gt;"",ABS(MIN(-0.6*'CDO Bespoke'!K133+'CDO Bespoke'!T133*'CDO Bespoke'!K133,0)),"")</f>
        <v/>
      </c>
      <c r="AB132" s="641" t="str">
        <f t="shared" ca="1" si="8"/>
        <v/>
      </c>
      <c r="AC132" s="488" t="str">
        <f t="shared" ca="1" si="9"/>
        <v/>
      </c>
      <c r="AD132" s="272"/>
      <c r="AE132" s="493" t="str">
        <f ca="1">IF('CDO Bespoke'!C157&lt;&gt;"",'CDO Bespoke'!C157,"")</f>
        <v/>
      </c>
      <c r="AF132" s="495"/>
      <c r="AG132" s="583"/>
      <c r="AH132" s="583"/>
      <c r="AI132" s="583"/>
      <c r="AJ132" s="496"/>
      <c r="AK132" s="618"/>
      <c r="AL132" s="495"/>
      <c r="AM132" s="583"/>
      <c r="AN132" s="583"/>
      <c r="AO132" s="583"/>
      <c r="AP132" s="496"/>
      <c r="AQ132" s="618"/>
      <c r="AR132" s="505"/>
      <c r="AS132" s="629"/>
      <c r="AT132" s="618"/>
      <c r="AU132" s="505"/>
      <c r="AV132" s="581"/>
      <c r="AW132" s="618"/>
    </row>
    <row r="133" spans="2:49" ht="10.5" thickBot="1">
      <c r="B133" s="538" t="s">
        <v>542</v>
      </c>
      <c r="C133" s="539" t="s">
        <v>66</v>
      </c>
      <c r="D133" s="539" t="s">
        <v>55</v>
      </c>
      <c r="E133" s="539" t="s">
        <v>647</v>
      </c>
      <c r="F133" s="539" t="s">
        <v>668</v>
      </c>
      <c r="G133" s="540">
        <v>0.01</v>
      </c>
      <c r="H133" s="540">
        <v>1.0371E-2</v>
      </c>
      <c r="I133" s="541">
        <v>0.4</v>
      </c>
      <c r="J133" s="600">
        <v>5</v>
      </c>
      <c r="K133" s="542">
        <v>37</v>
      </c>
      <c r="L133" s="272"/>
      <c r="M133" s="272"/>
      <c r="P133" s="273"/>
      <c r="Q133" s="273"/>
      <c r="R133" s="273"/>
      <c r="S133" s="273"/>
      <c r="T133" s="576">
        <f ca="1"/>
        <v>0.15</v>
      </c>
      <c r="U133" s="573">
        <f ca="1"/>
        <v>125</v>
      </c>
      <c r="V133" s="484" t="str">
        <f ca="1">IF('CDO Bespoke'!O134&lt;&gt;"",'CDO Bespoke'!O134,"")</f>
        <v/>
      </c>
      <c r="W133" s="641" t="str">
        <f t="shared" ca="1" si="6"/>
        <v/>
      </c>
      <c r="X133" s="641" t="str">
        <f t="shared" ca="1" si="10"/>
        <v/>
      </c>
      <c r="Y133" s="488" t="str">
        <f t="shared" ca="1" si="7"/>
        <v/>
      </c>
      <c r="Z133" s="484" t="str">
        <f ca="1">IF('CDO Bespoke'!O134&lt;&gt;"",'CDO Bespoke'!O134,"")</f>
        <v/>
      </c>
      <c r="AA133" s="641" t="str">
        <f ca="1">IF(Z133&lt;&gt;"",ABS(MIN(-0.6*'CDO Bespoke'!K134+'CDO Bespoke'!T134*'CDO Bespoke'!K134,0)),"")</f>
        <v/>
      </c>
      <c r="AB133" s="641" t="str">
        <f t="shared" ca="1" si="8"/>
        <v/>
      </c>
      <c r="AC133" s="488" t="str">
        <f t="shared" ca="1" si="9"/>
        <v/>
      </c>
      <c r="AD133" s="272"/>
      <c r="AE133" s="493" t="str">
        <f ca="1">IF('CDO Bespoke'!C158&lt;&gt;"",'CDO Bespoke'!C158,"")</f>
        <v/>
      </c>
      <c r="AF133" s="495"/>
      <c r="AG133" s="583"/>
      <c r="AH133" s="583"/>
      <c r="AI133" s="583"/>
      <c r="AJ133" s="496"/>
      <c r="AK133" s="618"/>
      <c r="AL133" s="495"/>
      <c r="AM133" s="583"/>
      <c r="AN133" s="583"/>
      <c r="AO133" s="583"/>
      <c r="AP133" s="496"/>
      <c r="AQ133" s="618"/>
      <c r="AR133" s="505"/>
      <c r="AS133" s="629"/>
      <c r="AT133" s="618"/>
      <c r="AU133" s="505"/>
      <c r="AV133" s="581"/>
      <c r="AW133" s="618"/>
    </row>
    <row r="134" spans="2:49">
      <c r="B134" s="516" t="s">
        <v>542</v>
      </c>
      <c r="C134" s="517" t="s">
        <v>66</v>
      </c>
      <c r="D134" s="517" t="s">
        <v>57</v>
      </c>
      <c r="E134" s="517" t="s">
        <v>647</v>
      </c>
      <c r="F134" s="517" t="s">
        <v>668</v>
      </c>
      <c r="G134" s="524">
        <v>0.01</v>
      </c>
      <c r="H134" s="524">
        <v>1.6621E-2</v>
      </c>
      <c r="I134" s="526">
        <v>0.4</v>
      </c>
      <c r="J134" s="592">
        <v>5</v>
      </c>
      <c r="K134" s="518">
        <v>37</v>
      </c>
      <c r="L134" s="272"/>
      <c r="M134" s="272"/>
      <c r="P134" s="273"/>
      <c r="Q134" s="273"/>
      <c r="R134" s="273"/>
      <c r="S134" s="273"/>
      <c r="T134" s="273"/>
      <c r="U134" s="273"/>
      <c r="V134" s="484" t="str">
        <f ca="1">IF('CDO Bespoke'!O135&lt;&gt;"",'CDO Bespoke'!O135,"")</f>
        <v/>
      </c>
      <c r="W134" s="641" t="str">
        <f t="shared" ca="1" si="6"/>
        <v/>
      </c>
      <c r="X134" s="641" t="str">
        <f t="shared" ca="1" si="10"/>
        <v/>
      </c>
      <c r="Y134" s="488" t="str">
        <f t="shared" ca="1" si="7"/>
        <v/>
      </c>
      <c r="Z134" s="484" t="str">
        <f ca="1">IF('CDO Bespoke'!O135&lt;&gt;"",'CDO Bespoke'!O135,"")</f>
        <v/>
      </c>
      <c r="AA134" s="641" t="str">
        <f ca="1">IF(Z134&lt;&gt;"",ABS(MIN(-0.6*'CDO Bespoke'!K135+'CDO Bespoke'!T135*'CDO Bespoke'!K135,0)),"")</f>
        <v/>
      </c>
      <c r="AB134" s="641" t="str">
        <f t="shared" ca="1" si="8"/>
        <v/>
      </c>
      <c r="AC134" s="488" t="str">
        <f t="shared" ca="1" si="9"/>
        <v/>
      </c>
      <c r="AD134" s="272"/>
      <c r="AE134" s="493" t="str">
        <f ca="1">IF('CDO Bespoke'!C159&lt;&gt;"",'CDO Bespoke'!C159,"")</f>
        <v/>
      </c>
      <c r="AF134" s="495"/>
      <c r="AG134" s="583"/>
      <c r="AH134" s="583"/>
      <c r="AI134" s="583"/>
      <c r="AJ134" s="496"/>
      <c r="AK134" s="618"/>
      <c r="AL134" s="495"/>
      <c r="AM134" s="583"/>
      <c r="AN134" s="583"/>
      <c r="AO134" s="583"/>
      <c r="AP134" s="496"/>
      <c r="AQ134" s="618"/>
      <c r="AR134" s="505"/>
      <c r="AS134" s="629"/>
      <c r="AT134" s="618"/>
      <c r="AU134" s="505"/>
      <c r="AV134" s="581"/>
      <c r="AW134" s="618"/>
    </row>
    <row r="135" spans="2:49">
      <c r="B135" s="533" t="s">
        <v>542</v>
      </c>
      <c r="C135" s="534" t="s">
        <v>66</v>
      </c>
      <c r="D135" s="534" t="s">
        <v>59</v>
      </c>
      <c r="E135" s="534" t="s">
        <v>647</v>
      </c>
      <c r="F135" s="534" t="s">
        <v>668</v>
      </c>
      <c r="G135" s="535">
        <v>0.01</v>
      </c>
      <c r="H135" s="535">
        <v>1.9375E-2</v>
      </c>
      <c r="I135" s="536">
        <v>0.4</v>
      </c>
      <c r="J135" s="593">
        <v>5</v>
      </c>
      <c r="K135" s="537">
        <v>37</v>
      </c>
      <c r="L135" s="272"/>
      <c r="M135" s="272"/>
      <c r="P135" s="273"/>
      <c r="Q135" s="273"/>
      <c r="R135" s="273"/>
      <c r="S135" s="273"/>
      <c r="T135" s="273"/>
      <c r="U135" s="273"/>
      <c r="V135" s="484" t="str">
        <f ca="1">IF('CDO Bespoke'!O136&lt;&gt;"",'CDO Bespoke'!O136,"")</f>
        <v/>
      </c>
      <c r="W135" s="641" t="str">
        <f t="shared" ca="1" si="6"/>
        <v/>
      </c>
      <c r="X135" s="641" t="str">
        <f t="shared" ca="1" si="10"/>
        <v/>
      </c>
      <c r="Y135" s="488" t="str">
        <f t="shared" ca="1" si="7"/>
        <v/>
      </c>
      <c r="Z135" s="484" t="str">
        <f ca="1">IF('CDO Bespoke'!O136&lt;&gt;"",'CDO Bespoke'!O136,"")</f>
        <v/>
      </c>
      <c r="AA135" s="641" t="str">
        <f ca="1">IF(Z135&lt;&gt;"",ABS(MIN(-0.6*'CDO Bespoke'!K136+'CDO Bespoke'!T136*'CDO Bespoke'!K136,0)),"")</f>
        <v/>
      </c>
      <c r="AB135" s="641" t="str">
        <f t="shared" ca="1" si="8"/>
        <v/>
      </c>
      <c r="AC135" s="488" t="str">
        <f t="shared" ca="1" si="9"/>
        <v/>
      </c>
      <c r="AD135" s="272"/>
      <c r="AE135" s="493" t="str">
        <f ca="1">IF('CDO Bespoke'!C160&lt;&gt;"",'CDO Bespoke'!C160,"")</f>
        <v/>
      </c>
      <c r="AF135" s="495"/>
      <c r="AG135" s="583"/>
      <c r="AH135" s="583"/>
      <c r="AI135" s="583"/>
      <c r="AJ135" s="496"/>
      <c r="AK135" s="618"/>
      <c r="AL135" s="495"/>
      <c r="AM135" s="583"/>
      <c r="AN135" s="583"/>
      <c r="AO135" s="583"/>
      <c r="AP135" s="496"/>
      <c r="AQ135" s="618"/>
      <c r="AR135" s="505"/>
      <c r="AS135" s="629"/>
      <c r="AT135" s="618"/>
      <c r="AU135" s="505"/>
      <c r="AV135" s="581"/>
      <c r="AW135" s="618"/>
    </row>
    <row r="136" spans="2:49">
      <c r="B136" s="538" t="s">
        <v>543</v>
      </c>
      <c r="C136" s="539" t="s">
        <v>66</v>
      </c>
      <c r="D136" s="539" t="s">
        <v>55</v>
      </c>
      <c r="E136" s="539" t="s">
        <v>645</v>
      </c>
      <c r="F136" s="539" t="s">
        <v>668</v>
      </c>
      <c r="G136" s="540">
        <v>0.01</v>
      </c>
      <c r="H136" s="540">
        <v>2.5300000000000001E-3</v>
      </c>
      <c r="I136" s="541">
        <v>0.4</v>
      </c>
      <c r="J136" s="600">
        <v>5</v>
      </c>
      <c r="K136" s="542">
        <v>38</v>
      </c>
      <c r="L136" s="272"/>
      <c r="M136" s="272"/>
      <c r="P136" s="273"/>
      <c r="Q136" s="273"/>
      <c r="R136" s="273"/>
      <c r="S136" s="273"/>
      <c r="T136" s="273"/>
      <c r="U136" s="273"/>
      <c r="V136" s="484" t="str">
        <f ca="1">IF('CDO Bespoke'!O137&lt;&gt;"",'CDO Bespoke'!O137,"")</f>
        <v/>
      </c>
      <c r="W136" s="641" t="str">
        <f t="shared" ca="1" si="6"/>
        <v/>
      </c>
      <c r="X136" s="641" t="str">
        <f t="shared" ca="1" si="10"/>
        <v/>
      </c>
      <c r="Y136" s="488" t="str">
        <f t="shared" ca="1" si="7"/>
        <v/>
      </c>
      <c r="Z136" s="484" t="str">
        <f ca="1">IF('CDO Bespoke'!O137&lt;&gt;"",'CDO Bespoke'!O137,"")</f>
        <v/>
      </c>
      <c r="AA136" s="641" t="str">
        <f ca="1">IF(Z136&lt;&gt;"",ABS(MIN(-0.6*'CDO Bespoke'!K137+'CDO Bespoke'!T137*'CDO Bespoke'!K137,0)),"")</f>
        <v/>
      </c>
      <c r="AB136" s="641" t="str">
        <f t="shared" ca="1" si="8"/>
        <v/>
      </c>
      <c r="AC136" s="488" t="str">
        <f t="shared" ca="1" si="9"/>
        <v/>
      </c>
      <c r="AD136" s="272"/>
      <c r="AE136" s="493" t="str">
        <f ca="1">IF('CDO Bespoke'!C161&lt;&gt;"",'CDO Bespoke'!C161,"")</f>
        <v/>
      </c>
      <c r="AF136" s="495"/>
      <c r="AG136" s="583"/>
      <c r="AH136" s="583"/>
      <c r="AI136" s="583"/>
      <c r="AJ136" s="496"/>
      <c r="AK136" s="618"/>
      <c r="AL136" s="495"/>
      <c r="AM136" s="583"/>
      <c r="AN136" s="583"/>
      <c r="AO136" s="583"/>
      <c r="AP136" s="496"/>
      <c r="AQ136" s="618"/>
      <c r="AR136" s="505"/>
      <c r="AS136" s="629"/>
      <c r="AT136" s="618"/>
      <c r="AU136" s="505"/>
      <c r="AV136" s="581"/>
      <c r="AW136" s="618"/>
    </row>
    <row r="137" spans="2:49">
      <c r="B137" s="516" t="s">
        <v>543</v>
      </c>
      <c r="C137" s="517" t="s">
        <v>66</v>
      </c>
      <c r="D137" s="517" t="s">
        <v>57</v>
      </c>
      <c r="E137" s="517" t="s">
        <v>645</v>
      </c>
      <c r="F137" s="517" t="s">
        <v>668</v>
      </c>
      <c r="G137" s="524">
        <v>0.01</v>
      </c>
      <c r="H137" s="524">
        <v>3.9699999999999996E-3</v>
      </c>
      <c r="I137" s="526">
        <v>0.4</v>
      </c>
      <c r="J137" s="592">
        <v>5</v>
      </c>
      <c r="K137" s="518">
        <v>38</v>
      </c>
      <c r="L137" s="272"/>
      <c r="M137" s="272"/>
      <c r="P137" s="273"/>
      <c r="Q137" s="273"/>
      <c r="R137" s="273"/>
      <c r="S137" s="273"/>
      <c r="T137" s="273"/>
      <c r="U137" s="273"/>
      <c r="V137" s="484" t="str">
        <f ca="1">IF('CDO Bespoke'!O138&lt;&gt;"",'CDO Bespoke'!O138,"")</f>
        <v/>
      </c>
      <c r="W137" s="641" t="str">
        <f t="shared" ca="1" si="6"/>
        <v/>
      </c>
      <c r="X137" s="641" t="str">
        <f t="shared" ca="1" si="10"/>
        <v/>
      </c>
      <c r="Y137" s="488" t="str">
        <f t="shared" ca="1" si="7"/>
        <v/>
      </c>
      <c r="Z137" s="484" t="str">
        <f ca="1">IF('CDO Bespoke'!O138&lt;&gt;"",'CDO Bespoke'!O138,"")</f>
        <v/>
      </c>
      <c r="AA137" s="641" t="str">
        <f ca="1">IF(Z137&lt;&gt;"",ABS(MIN(-0.6*'CDO Bespoke'!K138+'CDO Bespoke'!T138*'CDO Bespoke'!K138,0)),"")</f>
        <v/>
      </c>
      <c r="AB137" s="641" t="str">
        <f t="shared" ca="1" si="8"/>
        <v/>
      </c>
      <c r="AC137" s="488" t="str">
        <f t="shared" ca="1" si="9"/>
        <v/>
      </c>
      <c r="AD137" s="272"/>
      <c r="AE137" s="493" t="str">
        <f ca="1">IF('CDO Bespoke'!C162&lt;&gt;"",'CDO Bespoke'!C162,"")</f>
        <v/>
      </c>
      <c r="AF137" s="495"/>
      <c r="AG137" s="583"/>
      <c r="AH137" s="583"/>
      <c r="AI137" s="583"/>
      <c r="AJ137" s="496"/>
      <c r="AK137" s="618"/>
      <c r="AL137" s="495"/>
      <c r="AM137" s="583"/>
      <c r="AN137" s="583"/>
      <c r="AO137" s="583"/>
      <c r="AP137" s="496"/>
      <c r="AQ137" s="618"/>
      <c r="AR137" s="505"/>
      <c r="AS137" s="629"/>
      <c r="AT137" s="618"/>
      <c r="AU137" s="505"/>
      <c r="AV137" s="581"/>
      <c r="AW137" s="618"/>
    </row>
    <row r="138" spans="2:49" ht="10.5" thickBot="1">
      <c r="B138" s="533" t="s">
        <v>543</v>
      </c>
      <c r="C138" s="534" t="s">
        <v>66</v>
      </c>
      <c r="D138" s="534" t="s">
        <v>59</v>
      </c>
      <c r="E138" s="534" t="s">
        <v>645</v>
      </c>
      <c r="F138" s="534" t="s">
        <v>668</v>
      </c>
      <c r="G138" s="535">
        <v>0.01</v>
      </c>
      <c r="H138" s="535">
        <v>5.692E-3</v>
      </c>
      <c r="I138" s="536">
        <v>0.4</v>
      </c>
      <c r="J138" s="593">
        <v>5</v>
      </c>
      <c r="K138" s="537">
        <v>38</v>
      </c>
      <c r="L138" s="272"/>
      <c r="M138" s="272"/>
      <c r="P138" s="273"/>
      <c r="Q138" s="273"/>
      <c r="R138" s="273"/>
      <c r="S138" s="273"/>
      <c r="T138" s="273"/>
      <c r="U138" s="273"/>
      <c r="V138" s="489" t="str">
        <f ca="1">IF('CDO Bespoke'!O139&lt;&gt;"",'CDO Bespoke'!O139,"")</f>
        <v/>
      </c>
      <c r="W138" s="490" t="str">
        <f t="shared" ca="1" si="6"/>
        <v/>
      </c>
      <c r="X138" s="490" t="str">
        <f t="shared" ca="1" si="10"/>
        <v/>
      </c>
      <c r="Y138" s="491" t="str">
        <f t="shared" ca="1" si="7"/>
        <v/>
      </c>
      <c r="Z138" s="489" t="str">
        <f ca="1">IF('CDO Bespoke'!O139&lt;&gt;"",'CDO Bespoke'!O139,"")</f>
        <v/>
      </c>
      <c r="AA138" s="490" t="str">
        <f ca="1">IF(Z138&lt;&gt;"",ABS(MIN(-0.6*'CDO Bespoke'!K139+'CDO Bespoke'!T139*'CDO Bespoke'!K139,0)),"")</f>
        <v/>
      </c>
      <c r="AB138" s="490" t="str">
        <f t="shared" ca="1" si="8"/>
        <v/>
      </c>
      <c r="AC138" s="491" t="str">
        <f t="shared" ca="1" si="9"/>
        <v/>
      </c>
      <c r="AD138" s="272"/>
      <c r="AE138" s="493" t="str">
        <f ca="1">IF('CDO Bespoke'!C163&lt;&gt;"",'CDO Bespoke'!C163,"")</f>
        <v/>
      </c>
      <c r="AF138" s="495"/>
      <c r="AG138" s="583"/>
      <c r="AH138" s="583"/>
      <c r="AI138" s="583"/>
      <c r="AJ138" s="496"/>
      <c r="AK138" s="618"/>
      <c r="AL138" s="495"/>
      <c r="AM138" s="583"/>
      <c r="AN138" s="583"/>
      <c r="AO138" s="583"/>
      <c r="AP138" s="496"/>
      <c r="AQ138" s="618"/>
      <c r="AR138" s="505"/>
      <c r="AS138" s="629"/>
      <c r="AT138" s="618"/>
      <c r="AU138" s="505"/>
      <c r="AV138" s="581"/>
      <c r="AW138" s="618"/>
    </row>
    <row r="139" spans="2:49">
      <c r="B139" s="538" t="s">
        <v>544</v>
      </c>
      <c r="C139" s="539" t="s">
        <v>66</v>
      </c>
      <c r="D139" s="539" t="s">
        <v>55</v>
      </c>
      <c r="E139" s="539" t="s">
        <v>647</v>
      </c>
      <c r="F139" s="539" t="s">
        <v>668</v>
      </c>
      <c r="G139" s="540">
        <v>0.01</v>
      </c>
      <c r="H139" s="540">
        <v>3.9449999999999997E-3</v>
      </c>
      <c r="I139" s="541">
        <v>0.4</v>
      </c>
      <c r="J139" s="600">
        <v>5</v>
      </c>
      <c r="K139" s="542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2"/>
      <c r="AE139" s="493" t="str">
        <f ca="1">IF('CDO Bespoke'!C164&lt;&gt;"",'CDO Bespoke'!C164,"")</f>
        <v/>
      </c>
      <c r="AF139" s="495"/>
      <c r="AG139" s="583"/>
      <c r="AH139" s="583"/>
      <c r="AI139" s="583"/>
      <c r="AJ139" s="496"/>
      <c r="AK139" s="618"/>
      <c r="AL139" s="495"/>
      <c r="AM139" s="583"/>
      <c r="AN139" s="583"/>
      <c r="AO139" s="583"/>
      <c r="AP139" s="496"/>
      <c r="AQ139" s="618"/>
      <c r="AR139" s="505"/>
      <c r="AS139" s="629"/>
      <c r="AT139" s="618"/>
      <c r="AU139" s="505"/>
      <c r="AV139" s="581"/>
      <c r="AW139" s="618"/>
    </row>
    <row r="140" spans="2:49">
      <c r="B140" s="516" t="s">
        <v>544</v>
      </c>
      <c r="C140" s="517" t="s">
        <v>66</v>
      </c>
      <c r="D140" s="517" t="s">
        <v>57</v>
      </c>
      <c r="E140" s="517" t="s">
        <v>647</v>
      </c>
      <c r="F140" s="517" t="s">
        <v>668</v>
      </c>
      <c r="G140" s="524">
        <v>0.01</v>
      </c>
      <c r="H140" s="524">
        <v>6.7390000000000002E-3</v>
      </c>
      <c r="I140" s="526">
        <v>0.4</v>
      </c>
      <c r="J140" s="592">
        <v>5</v>
      </c>
      <c r="K140" s="518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2"/>
      <c r="AE140" s="493" t="str">
        <f ca="1">IF('CDO Bespoke'!C165&lt;&gt;"",'CDO Bespoke'!C165,"")</f>
        <v/>
      </c>
      <c r="AF140" s="495"/>
      <c r="AG140" s="583"/>
      <c r="AH140" s="583"/>
      <c r="AI140" s="583"/>
      <c r="AJ140" s="496"/>
      <c r="AK140" s="618"/>
      <c r="AL140" s="495"/>
      <c r="AM140" s="583"/>
      <c r="AN140" s="583"/>
      <c r="AO140" s="583"/>
      <c r="AP140" s="496"/>
      <c r="AQ140" s="618"/>
      <c r="AR140" s="505"/>
      <c r="AS140" s="629"/>
      <c r="AT140" s="618"/>
      <c r="AU140" s="505"/>
      <c r="AV140" s="581"/>
      <c r="AW140" s="618"/>
    </row>
    <row r="141" spans="2:49">
      <c r="B141" s="533" t="s">
        <v>544</v>
      </c>
      <c r="C141" s="534" t="s">
        <v>66</v>
      </c>
      <c r="D141" s="534" t="s">
        <v>59</v>
      </c>
      <c r="E141" s="534" t="s">
        <v>647</v>
      </c>
      <c r="F141" s="534" t="s">
        <v>668</v>
      </c>
      <c r="G141" s="535">
        <v>0.01</v>
      </c>
      <c r="H141" s="535">
        <v>9.7630000000000008E-3</v>
      </c>
      <c r="I141" s="536">
        <v>0.4</v>
      </c>
      <c r="J141" s="593">
        <v>5</v>
      </c>
      <c r="K141" s="537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2"/>
      <c r="AE141" s="493" t="str">
        <f ca="1">IF('CDO Bespoke'!C166&lt;&gt;"",'CDO Bespoke'!C166,"")</f>
        <v/>
      </c>
      <c r="AF141" s="495"/>
      <c r="AG141" s="583"/>
      <c r="AH141" s="583"/>
      <c r="AI141" s="583"/>
      <c r="AJ141" s="496"/>
      <c r="AK141" s="618"/>
      <c r="AL141" s="495"/>
      <c r="AM141" s="583"/>
      <c r="AN141" s="583"/>
      <c r="AO141" s="583"/>
      <c r="AP141" s="496"/>
      <c r="AQ141" s="618"/>
      <c r="AR141" s="505"/>
      <c r="AS141" s="629"/>
      <c r="AT141" s="618"/>
      <c r="AU141" s="505"/>
      <c r="AV141" s="581"/>
      <c r="AW141" s="618"/>
    </row>
    <row r="142" spans="2:49">
      <c r="B142" s="538" t="s">
        <v>560</v>
      </c>
      <c r="C142" s="539" t="s">
        <v>66</v>
      </c>
      <c r="D142" s="539" t="s">
        <v>55</v>
      </c>
      <c r="E142" s="539" t="s">
        <v>649</v>
      </c>
      <c r="F142" s="539" t="s">
        <v>668</v>
      </c>
      <c r="G142" s="540">
        <v>0.01</v>
      </c>
      <c r="H142" s="540">
        <v>1.738E-3</v>
      </c>
      <c r="I142" s="541">
        <v>0.4</v>
      </c>
      <c r="J142" s="600">
        <v>5</v>
      </c>
      <c r="K142" s="542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2"/>
      <c r="AE142" s="493" t="str">
        <f ca="1">IF('CDO Bespoke'!C167&lt;&gt;"",'CDO Bespoke'!C167,"")</f>
        <v/>
      </c>
      <c r="AF142" s="495"/>
      <c r="AG142" s="583"/>
      <c r="AH142" s="583"/>
      <c r="AI142" s="583"/>
      <c r="AJ142" s="496"/>
      <c r="AK142" s="618"/>
      <c r="AL142" s="495"/>
      <c r="AM142" s="583"/>
      <c r="AN142" s="583"/>
      <c r="AO142" s="583"/>
      <c r="AP142" s="496"/>
      <c r="AQ142" s="618"/>
      <c r="AR142" s="505"/>
      <c r="AS142" s="629"/>
      <c r="AT142" s="618"/>
      <c r="AU142" s="505"/>
      <c r="AV142" s="581"/>
      <c r="AW142" s="618"/>
    </row>
    <row r="143" spans="2:49">
      <c r="B143" s="516" t="s">
        <v>560</v>
      </c>
      <c r="C143" s="517" t="s">
        <v>66</v>
      </c>
      <c r="D143" s="517" t="s">
        <v>57</v>
      </c>
      <c r="E143" s="517" t="s">
        <v>649</v>
      </c>
      <c r="F143" s="517" t="s">
        <v>668</v>
      </c>
      <c r="G143" s="524">
        <v>0.01</v>
      </c>
      <c r="H143" s="524">
        <v>2.9610000000000001E-3</v>
      </c>
      <c r="I143" s="526">
        <v>0.4</v>
      </c>
      <c r="J143" s="592">
        <v>5</v>
      </c>
      <c r="K143" s="518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2"/>
      <c r="AE143" s="493" t="str">
        <f ca="1">IF('CDO Bespoke'!C168&lt;&gt;"",'CDO Bespoke'!C168,"")</f>
        <v/>
      </c>
      <c r="AF143" s="495"/>
      <c r="AG143" s="583"/>
      <c r="AH143" s="583"/>
      <c r="AI143" s="583"/>
      <c r="AJ143" s="496"/>
      <c r="AK143" s="618"/>
      <c r="AL143" s="495"/>
      <c r="AM143" s="583"/>
      <c r="AN143" s="583"/>
      <c r="AO143" s="583"/>
      <c r="AP143" s="496"/>
      <c r="AQ143" s="618"/>
      <c r="AR143" s="505"/>
      <c r="AS143" s="629"/>
      <c r="AT143" s="618"/>
      <c r="AU143" s="505"/>
      <c r="AV143" s="581"/>
      <c r="AW143" s="618"/>
    </row>
    <row r="144" spans="2:49">
      <c r="B144" s="533" t="s">
        <v>560</v>
      </c>
      <c r="C144" s="534" t="s">
        <v>66</v>
      </c>
      <c r="D144" s="534" t="s">
        <v>59</v>
      </c>
      <c r="E144" s="534" t="s">
        <v>649</v>
      </c>
      <c r="F144" s="534" t="s">
        <v>668</v>
      </c>
      <c r="G144" s="535">
        <v>0.01</v>
      </c>
      <c r="H144" s="535">
        <v>4.1469999999999996E-3</v>
      </c>
      <c r="I144" s="536">
        <v>0.4</v>
      </c>
      <c r="J144" s="593">
        <v>5</v>
      </c>
      <c r="K144" s="537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2"/>
      <c r="AE144" s="493" t="str">
        <f ca="1">IF('CDO Bespoke'!C169&lt;&gt;"",'CDO Bespoke'!C169,"")</f>
        <v/>
      </c>
      <c r="AF144" s="495"/>
      <c r="AG144" s="583"/>
      <c r="AH144" s="583"/>
      <c r="AI144" s="583"/>
      <c r="AJ144" s="496"/>
      <c r="AK144" s="618"/>
      <c r="AL144" s="495"/>
      <c r="AM144" s="583"/>
      <c r="AN144" s="583"/>
      <c r="AO144" s="583"/>
      <c r="AP144" s="496"/>
      <c r="AQ144" s="618"/>
      <c r="AR144" s="505"/>
      <c r="AS144" s="629"/>
      <c r="AT144" s="618"/>
      <c r="AU144" s="505"/>
      <c r="AV144" s="581"/>
      <c r="AW144" s="618"/>
    </row>
    <row r="145" spans="2:49">
      <c r="B145" s="538" t="s">
        <v>545</v>
      </c>
      <c r="C145" s="539" t="s">
        <v>66</v>
      </c>
      <c r="D145" s="539" t="s">
        <v>55</v>
      </c>
      <c r="E145" s="539" t="s">
        <v>647</v>
      </c>
      <c r="F145" s="539" t="s">
        <v>668</v>
      </c>
      <c r="G145" s="540">
        <v>0.01</v>
      </c>
      <c r="H145" s="540">
        <v>2.8939999999999999E-3</v>
      </c>
      <c r="I145" s="541">
        <v>0.4</v>
      </c>
      <c r="J145" s="600">
        <v>5</v>
      </c>
      <c r="K145" s="542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2"/>
      <c r="AE145" s="493" t="str">
        <f ca="1">IF('CDO Bespoke'!C170&lt;&gt;"",'CDO Bespoke'!C170,"")</f>
        <v/>
      </c>
      <c r="AF145" s="495"/>
      <c r="AG145" s="583"/>
      <c r="AH145" s="583"/>
      <c r="AI145" s="583"/>
      <c r="AJ145" s="496"/>
      <c r="AK145" s="618"/>
      <c r="AL145" s="495"/>
      <c r="AM145" s="583"/>
      <c r="AN145" s="583"/>
      <c r="AO145" s="583"/>
      <c r="AP145" s="496"/>
      <c r="AQ145" s="618"/>
      <c r="AR145" s="505"/>
      <c r="AS145" s="629"/>
      <c r="AT145" s="618"/>
      <c r="AU145" s="505"/>
      <c r="AV145" s="581"/>
      <c r="AW145" s="618"/>
    </row>
    <row r="146" spans="2:49">
      <c r="B146" s="516" t="s">
        <v>545</v>
      </c>
      <c r="C146" s="517" t="s">
        <v>66</v>
      </c>
      <c r="D146" s="517" t="s">
        <v>57</v>
      </c>
      <c r="E146" s="517" t="s">
        <v>647</v>
      </c>
      <c r="F146" s="517" t="s">
        <v>668</v>
      </c>
      <c r="G146" s="524">
        <v>0.01</v>
      </c>
      <c r="H146" s="524">
        <v>5.0400000000000002E-3</v>
      </c>
      <c r="I146" s="526">
        <v>0.4</v>
      </c>
      <c r="J146" s="592">
        <v>5</v>
      </c>
      <c r="K146" s="518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2"/>
      <c r="AE146" s="493" t="str">
        <f ca="1">IF('CDO Bespoke'!C171&lt;&gt;"",'CDO Bespoke'!C171,"")</f>
        <v/>
      </c>
      <c r="AF146" s="495"/>
      <c r="AG146" s="583"/>
      <c r="AH146" s="583"/>
      <c r="AI146" s="583"/>
      <c r="AJ146" s="496"/>
      <c r="AK146" s="618"/>
      <c r="AL146" s="495"/>
      <c r="AM146" s="583"/>
      <c r="AN146" s="583"/>
      <c r="AO146" s="583"/>
      <c r="AP146" s="496"/>
      <c r="AQ146" s="618"/>
      <c r="AR146" s="505"/>
      <c r="AS146" s="629"/>
      <c r="AT146" s="618"/>
      <c r="AU146" s="505"/>
      <c r="AV146" s="581"/>
      <c r="AW146" s="618"/>
    </row>
    <row r="147" spans="2:49">
      <c r="B147" s="533" t="s">
        <v>545</v>
      </c>
      <c r="C147" s="534" t="s">
        <v>66</v>
      </c>
      <c r="D147" s="534" t="s">
        <v>59</v>
      </c>
      <c r="E147" s="534" t="s">
        <v>647</v>
      </c>
      <c r="F147" s="534" t="s">
        <v>668</v>
      </c>
      <c r="G147" s="535">
        <v>0.01</v>
      </c>
      <c r="H147" s="535">
        <v>7.5799999999999999E-3</v>
      </c>
      <c r="I147" s="536">
        <v>0.4</v>
      </c>
      <c r="J147" s="593">
        <v>5</v>
      </c>
      <c r="K147" s="537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2"/>
      <c r="AE147" s="493" t="str">
        <f ca="1">IF('CDO Bespoke'!C172&lt;&gt;"",'CDO Bespoke'!C172,"")</f>
        <v/>
      </c>
      <c r="AF147" s="495"/>
      <c r="AG147" s="583"/>
      <c r="AH147" s="583"/>
      <c r="AI147" s="583"/>
      <c r="AJ147" s="496"/>
      <c r="AK147" s="618"/>
      <c r="AL147" s="495"/>
      <c r="AM147" s="583"/>
      <c r="AN147" s="583"/>
      <c r="AO147" s="583"/>
      <c r="AP147" s="496"/>
      <c r="AQ147" s="618"/>
      <c r="AR147" s="505"/>
      <c r="AS147" s="629"/>
      <c r="AT147" s="618"/>
      <c r="AU147" s="505"/>
      <c r="AV147" s="581"/>
      <c r="AW147" s="618"/>
    </row>
    <row r="148" spans="2:49">
      <c r="B148" s="538" t="s">
        <v>546</v>
      </c>
      <c r="C148" s="539" t="s">
        <v>66</v>
      </c>
      <c r="D148" s="539" t="s">
        <v>55</v>
      </c>
      <c r="E148" s="539" t="s">
        <v>649</v>
      </c>
      <c r="F148" s="539" t="s">
        <v>668</v>
      </c>
      <c r="G148" s="540">
        <v>0.01</v>
      </c>
      <c r="H148" s="540">
        <v>1.31E-3</v>
      </c>
      <c r="I148" s="541">
        <v>0.4</v>
      </c>
      <c r="J148" s="600">
        <v>5</v>
      </c>
      <c r="K148" s="542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2"/>
      <c r="AE148" s="493" t="str">
        <f ca="1">IF('CDO Bespoke'!C173&lt;&gt;"",'CDO Bespoke'!C173,"")</f>
        <v/>
      </c>
      <c r="AF148" s="495"/>
      <c r="AG148" s="583"/>
      <c r="AH148" s="583"/>
      <c r="AI148" s="583"/>
      <c r="AJ148" s="496"/>
      <c r="AK148" s="618"/>
      <c r="AL148" s="495"/>
      <c r="AM148" s="583"/>
      <c r="AN148" s="583"/>
      <c r="AO148" s="583"/>
      <c r="AP148" s="496"/>
      <c r="AQ148" s="618"/>
      <c r="AR148" s="505"/>
      <c r="AS148" s="629"/>
      <c r="AT148" s="618"/>
      <c r="AU148" s="505"/>
      <c r="AV148" s="581"/>
      <c r="AW148" s="618"/>
    </row>
    <row r="149" spans="2:49">
      <c r="B149" s="516" t="s">
        <v>546</v>
      </c>
      <c r="C149" s="517" t="s">
        <v>66</v>
      </c>
      <c r="D149" s="517" t="s">
        <v>57</v>
      </c>
      <c r="E149" s="517" t="s">
        <v>649</v>
      </c>
      <c r="F149" s="517" t="s">
        <v>668</v>
      </c>
      <c r="G149" s="524">
        <v>0.01</v>
      </c>
      <c r="H149" s="524">
        <v>2.2300000000000002E-3</v>
      </c>
      <c r="I149" s="526">
        <v>0.4</v>
      </c>
      <c r="J149" s="592">
        <v>5</v>
      </c>
      <c r="K149" s="518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2"/>
      <c r="AE149" s="493" t="str">
        <f ca="1">IF('CDO Bespoke'!C174&lt;&gt;"",'CDO Bespoke'!C174,"")</f>
        <v/>
      </c>
      <c r="AF149" s="495"/>
      <c r="AG149" s="583"/>
      <c r="AH149" s="583"/>
      <c r="AI149" s="583"/>
      <c r="AJ149" s="496"/>
      <c r="AK149" s="618"/>
      <c r="AL149" s="495"/>
      <c r="AM149" s="583"/>
      <c r="AN149" s="583"/>
      <c r="AO149" s="583"/>
      <c r="AP149" s="496"/>
      <c r="AQ149" s="618"/>
      <c r="AR149" s="505"/>
      <c r="AS149" s="629"/>
      <c r="AT149" s="618"/>
      <c r="AU149" s="505"/>
      <c r="AV149" s="581"/>
      <c r="AW149" s="618"/>
    </row>
    <row r="150" spans="2:49">
      <c r="B150" s="533" t="s">
        <v>546</v>
      </c>
      <c r="C150" s="534" t="s">
        <v>66</v>
      </c>
      <c r="D150" s="534" t="s">
        <v>59</v>
      </c>
      <c r="E150" s="534" t="s">
        <v>649</v>
      </c>
      <c r="F150" s="534" t="s">
        <v>668</v>
      </c>
      <c r="G150" s="535">
        <v>0.01</v>
      </c>
      <c r="H150" s="535">
        <v>3.3579999999999999E-3</v>
      </c>
      <c r="I150" s="536">
        <v>0.4</v>
      </c>
      <c r="J150" s="593">
        <v>5</v>
      </c>
      <c r="K150" s="537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2"/>
      <c r="AE150" s="493" t="str">
        <f ca="1">IF('CDO Bespoke'!C175&lt;&gt;"",'CDO Bespoke'!C175,"")</f>
        <v/>
      </c>
      <c r="AF150" s="495"/>
      <c r="AG150" s="583"/>
      <c r="AH150" s="583"/>
      <c r="AI150" s="583"/>
      <c r="AJ150" s="496"/>
      <c r="AK150" s="618"/>
      <c r="AL150" s="495"/>
      <c r="AM150" s="583"/>
      <c r="AN150" s="583"/>
      <c r="AO150" s="583"/>
      <c r="AP150" s="496"/>
      <c r="AQ150" s="618"/>
      <c r="AR150" s="505"/>
      <c r="AS150" s="629"/>
      <c r="AT150" s="618"/>
      <c r="AU150" s="505"/>
      <c r="AV150" s="581"/>
      <c r="AW150" s="618"/>
    </row>
    <row r="151" spans="2:49">
      <c r="B151" s="538" t="s">
        <v>561</v>
      </c>
      <c r="C151" s="539" t="s">
        <v>66</v>
      </c>
      <c r="D151" s="539" t="s">
        <v>55</v>
      </c>
      <c r="E151" s="539" t="s">
        <v>645</v>
      </c>
      <c r="F151" s="539" t="s">
        <v>668</v>
      </c>
      <c r="G151" s="540">
        <v>0.01</v>
      </c>
      <c r="H151" s="540">
        <v>2.1749999999999999E-3</v>
      </c>
      <c r="I151" s="541">
        <v>0.4</v>
      </c>
      <c r="J151" s="600">
        <v>5</v>
      </c>
      <c r="K151" s="542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2"/>
      <c r="AE151" s="493" t="str">
        <f ca="1">IF('CDO Bespoke'!C176&lt;&gt;"",'CDO Bespoke'!C176,"")</f>
        <v/>
      </c>
      <c r="AF151" s="495"/>
      <c r="AG151" s="583"/>
      <c r="AH151" s="583"/>
      <c r="AI151" s="583"/>
      <c r="AJ151" s="496"/>
      <c r="AK151" s="618"/>
      <c r="AL151" s="495"/>
      <c r="AM151" s="583"/>
      <c r="AN151" s="583"/>
      <c r="AO151" s="583"/>
      <c r="AP151" s="496"/>
      <c r="AQ151" s="618"/>
      <c r="AR151" s="505"/>
      <c r="AS151" s="629"/>
      <c r="AT151" s="618"/>
      <c r="AU151" s="505"/>
      <c r="AV151" s="581"/>
      <c r="AW151" s="618"/>
    </row>
    <row r="152" spans="2:49">
      <c r="B152" s="516" t="s">
        <v>561</v>
      </c>
      <c r="C152" s="517" t="s">
        <v>66</v>
      </c>
      <c r="D152" s="517" t="s">
        <v>57</v>
      </c>
      <c r="E152" s="517" t="s">
        <v>645</v>
      </c>
      <c r="F152" s="517" t="s">
        <v>668</v>
      </c>
      <c r="G152" s="524">
        <v>0.01</v>
      </c>
      <c r="H152" s="524">
        <v>3.539E-3</v>
      </c>
      <c r="I152" s="526">
        <v>0.4</v>
      </c>
      <c r="J152" s="592">
        <v>5</v>
      </c>
      <c r="K152" s="518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2"/>
      <c r="AE152" s="493" t="str">
        <f ca="1">IF('CDO Bespoke'!C177&lt;&gt;"",'CDO Bespoke'!C177,"")</f>
        <v/>
      </c>
      <c r="AF152" s="495"/>
      <c r="AG152" s="583"/>
      <c r="AH152" s="583"/>
      <c r="AI152" s="583"/>
      <c r="AJ152" s="496"/>
      <c r="AK152" s="618"/>
      <c r="AL152" s="495"/>
      <c r="AM152" s="583"/>
      <c r="AN152" s="583"/>
      <c r="AO152" s="583"/>
      <c r="AP152" s="496"/>
      <c r="AQ152" s="618"/>
      <c r="AR152" s="505"/>
      <c r="AS152" s="629"/>
      <c r="AT152" s="618"/>
      <c r="AU152" s="505"/>
      <c r="AV152" s="581"/>
      <c r="AW152" s="618"/>
    </row>
    <row r="153" spans="2:49">
      <c r="B153" s="533" t="s">
        <v>561</v>
      </c>
      <c r="C153" s="534" t="s">
        <v>66</v>
      </c>
      <c r="D153" s="534" t="s">
        <v>59</v>
      </c>
      <c r="E153" s="534" t="s">
        <v>645</v>
      </c>
      <c r="F153" s="534" t="s">
        <v>668</v>
      </c>
      <c r="G153" s="535">
        <v>0.01</v>
      </c>
      <c r="H153" s="535">
        <v>4.816E-3</v>
      </c>
      <c r="I153" s="536">
        <v>0.4</v>
      </c>
      <c r="J153" s="593">
        <v>5</v>
      </c>
      <c r="K153" s="537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2"/>
      <c r="AE153" s="493" t="str">
        <f ca="1">IF('CDO Bespoke'!C178&lt;&gt;"",'CDO Bespoke'!C178,"")</f>
        <v/>
      </c>
      <c r="AF153" s="495"/>
      <c r="AG153" s="583"/>
      <c r="AH153" s="583"/>
      <c r="AI153" s="583"/>
      <c r="AJ153" s="496"/>
      <c r="AK153" s="618"/>
      <c r="AL153" s="495"/>
      <c r="AM153" s="583"/>
      <c r="AN153" s="583"/>
      <c r="AO153" s="583"/>
      <c r="AP153" s="496"/>
      <c r="AQ153" s="618"/>
      <c r="AR153" s="505"/>
      <c r="AS153" s="629"/>
      <c r="AT153" s="618"/>
      <c r="AU153" s="505"/>
      <c r="AV153" s="581"/>
      <c r="AW153" s="618"/>
    </row>
    <row r="154" spans="2:49">
      <c r="B154" s="538" t="s">
        <v>547</v>
      </c>
      <c r="C154" s="539" t="s">
        <v>66</v>
      </c>
      <c r="D154" s="539" t="s">
        <v>55</v>
      </c>
      <c r="E154" s="539" t="s">
        <v>649</v>
      </c>
      <c r="F154" s="539" t="s">
        <v>668</v>
      </c>
      <c r="G154" s="540">
        <v>0.01</v>
      </c>
      <c r="H154" s="540">
        <v>1.6999999999999999E-3</v>
      </c>
      <c r="I154" s="541">
        <v>0.4</v>
      </c>
      <c r="J154" s="600">
        <v>5</v>
      </c>
      <c r="K154" s="542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2"/>
      <c r="AE154" s="493" t="str">
        <f ca="1">IF('CDO Bespoke'!C179&lt;&gt;"",'CDO Bespoke'!C179,"")</f>
        <v/>
      </c>
      <c r="AF154" s="495"/>
      <c r="AG154" s="583"/>
      <c r="AH154" s="583"/>
      <c r="AI154" s="583"/>
      <c r="AJ154" s="496"/>
      <c r="AK154" s="618"/>
      <c r="AL154" s="495"/>
      <c r="AM154" s="583"/>
      <c r="AN154" s="583"/>
      <c r="AO154" s="583"/>
      <c r="AP154" s="496"/>
      <c r="AQ154" s="618"/>
      <c r="AR154" s="505"/>
      <c r="AS154" s="629"/>
      <c r="AT154" s="618"/>
      <c r="AU154" s="505"/>
      <c r="AV154" s="581"/>
      <c r="AW154" s="618"/>
    </row>
    <row r="155" spans="2:49">
      <c r="B155" s="516" t="s">
        <v>547</v>
      </c>
      <c r="C155" s="517" t="s">
        <v>66</v>
      </c>
      <c r="D155" s="517" t="s">
        <v>57</v>
      </c>
      <c r="E155" s="517" t="s">
        <v>649</v>
      </c>
      <c r="F155" s="517" t="s">
        <v>668</v>
      </c>
      <c r="G155" s="524">
        <v>0.01</v>
      </c>
      <c r="H155" s="524">
        <v>2.6360000000000001E-2</v>
      </c>
      <c r="I155" s="526">
        <v>0.4</v>
      </c>
      <c r="J155" s="592">
        <v>5</v>
      </c>
      <c r="K155" s="518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2"/>
      <c r="AE155" s="493" t="str">
        <f ca="1">IF('CDO Bespoke'!C180&lt;&gt;"",'CDO Bespoke'!C180,"")</f>
        <v/>
      </c>
      <c r="AF155" s="495"/>
      <c r="AG155" s="583"/>
      <c r="AH155" s="583"/>
      <c r="AI155" s="583"/>
      <c r="AJ155" s="496"/>
      <c r="AK155" s="618"/>
      <c r="AL155" s="495"/>
      <c r="AM155" s="583"/>
      <c r="AN155" s="583"/>
      <c r="AO155" s="583"/>
      <c r="AP155" s="496"/>
      <c r="AQ155" s="618"/>
      <c r="AR155" s="505"/>
      <c r="AS155" s="629"/>
      <c r="AT155" s="618"/>
      <c r="AU155" s="505"/>
      <c r="AV155" s="581"/>
      <c r="AW155" s="618"/>
    </row>
    <row r="156" spans="2:49">
      <c r="B156" s="533" t="s">
        <v>547</v>
      </c>
      <c r="C156" s="534" t="s">
        <v>66</v>
      </c>
      <c r="D156" s="534" t="s">
        <v>59</v>
      </c>
      <c r="E156" s="534" t="s">
        <v>649</v>
      </c>
      <c r="F156" s="534" t="s">
        <v>668</v>
      </c>
      <c r="G156" s="535">
        <v>0.01</v>
      </c>
      <c r="H156" s="535">
        <v>3.9090000000000001E-3</v>
      </c>
      <c r="I156" s="536">
        <v>0.4</v>
      </c>
      <c r="J156" s="593">
        <v>5</v>
      </c>
      <c r="K156" s="537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2"/>
      <c r="AE156" s="493" t="str">
        <f ca="1">IF('CDO Bespoke'!C181&lt;&gt;"",'CDO Bespoke'!C181,"")</f>
        <v/>
      </c>
      <c r="AF156" s="495"/>
      <c r="AG156" s="583"/>
      <c r="AH156" s="583"/>
      <c r="AI156" s="583"/>
      <c r="AJ156" s="496"/>
      <c r="AK156" s="618"/>
      <c r="AL156" s="495"/>
      <c r="AM156" s="583"/>
      <c r="AN156" s="583"/>
      <c r="AO156" s="583"/>
      <c r="AP156" s="496"/>
      <c r="AQ156" s="618"/>
      <c r="AR156" s="505"/>
      <c r="AS156" s="629"/>
      <c r="AT156" s="618"/>
      <c r="AU156" s="505"/>
      <c r="AV156" s="581"/>
      <c r="AW156" s="618"/>
    </row>
    <row r="157" spans="2:49">
      <c r="B157" s="538" t="s">
        <v>613</v>
      </c>
      <c r="C157" s="539" t="s">
        <v>66</v>
      </c>
      <c r="D157" s="539" t="s">
        <v>55</v>
      </c>
      <c r="E157" s="539" t="s">
        <v>647</v>
      </c>
      <c r="F157" s="539" t="s">
        <v>668</v>
      </c>
      <c r="G157" s="540">
        <v>0.01</v>
      </c>
      <c r="H157" s="540">
        <v>1.7680000000000001E-2</v>
      </c>
      <c r="I157" s="541">
        <v>0.4</v>
      </c>
      <c r="J157" s="600">
        <v>5</v>
      </c>
      <c r="K157" s="542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2"/>
      <c r="AE157" s="493" t="str">
        <f ca="1">IF('CDO Bespoke'!C182&lt;&gt;"",'CDO Bespoke'!C182,"")</f>
        <v/>
      </c>
      <c r="AF157" s="495"/>
      <c r="AG157" s="583"/>
      <c r="AH157" s="583"/>
      <c r="AI157" s="583"/>
      <c r="AJ157" s="496"/>
      <c r="AK157" s="618"/>
      <c r="AL157" s="495"/>
      <c r="AM157" s="583"/>
      <c r="AN157" s="583"/>
      <c r="AO157" s="583"/>
      <c r="AP157" s="496"/>
      <c r="AQ157" s="618"/>
      <c r="AR157" s="505"/>
      <c r="AS157" s="629"/>
      <c r="AT157" s="618"/>
      <c r="AU157" s="505"/>
      <c r="AV157" s="581"/>
      <c r="AW157" s="618"/>
    </row>
    <row r="158" spans="2:49">
      <c r="B158" s="516" t="s">
        <v>613</v>
      </c>
      <c r="C158" s="517" t="s">
        <v>66</v>
      </c>
      <c r="D158" s="517" t="s">
        <v>57</v>
      </c>
      <c r="E158" s="517" t="s">
        <v>647</v>
      </c>
      <c r="F158" s="517" t="s">
        <v>668</v>
      </c>
      <c r="G158" s="524">
        <v>0.01</v>
      </c>
      <c r="H158" s="524">
        <v>2.5177000000000001E-2</v>
      </c>
      <c r="I158" s="526">
        <v>0.4</v>
      </c>
      <c r="J158" s="592">
        <v>5</v>
      </c>
      <c r="K158" s="518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2"/>
      <c r="AE158" s="493" t="str">
        <f ca="1">IF('CDO Bespoke'!C183&lt;&gt;"",'CDO Bespoke'!C183,"")</f>
        <v/>
      </c>
      <c r="AF158" s="495"/>
      <c r="AG158" s="583"/>
      <c r="AH158" s="583"/>
      <c r="AI158" s="583"/>
      <c r="AJ158" s="496"/>
      <c r="AK158" s="618"/>
      <c r="AL158" s="495"/>
      <c r="AM158" s="583"/>
      <c r="AN158" s="583"/>
      <c r="AO158" s="583"/>
      <c r="AP158" s="496"/>
      <c r="AQ158" s="618"/>
      <c r="AR158" s="505"/>
      <c r="AS158" s="629"/>
      <c r="AT158" s="618"/>
      <c r="AU158" s="505"/>
      <c r="AV158" s="581"/>
      <c r="AW158" s="618"/>
    </row>
    <row r="159" spans="2:49">
      <c r="B159" s="533" t="s">
        <v>613</v>
      </c>
      <c r="C159" s="534" t="s">
        <v>66</v>
      </c>
      <c r="D159" s="534" t="s">
        <v>59</v>
      </c>
      <c r="E159" s="534" t="s">
        <v>647</v>
      </c>
      <c r="F159" s="534" t="s">
        <v>668</v>
      </c>
      <c r="G159" s="535">
        <v>0.01</v>
      </c>
      <c r="H159" s="535">
        <v>3.0232999999999999E-2</v>
      </c>
      <c r="I159" s="536">
        <v>0.4</v>
      </c>
      <c r="J159" s="593">
        <v>5</v>
      </c>
      <c r="K159" s="537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2"/>
      <c r="AE159" s="493" t="str">
        <f ca="1">IF('CDO Bespoke'!C184&lt;&gt;"",'CDO Bespoke'!C184,"")</f>
        <v/>
      </c>
      <c r="AF159" s="495"/>
      <c r="AG159" s="583"/>
      <c r="AH159" s="583"/>
      <c r="AI159" s="583"/>
      <c r="AJ159" s="496"/>
      <c r="AK159" s="618"/>
      <c r="AL159" s="495"/>
      <c r="AM159" s="583"/>
      <c r="AN159" s="583"/>
      <c r="AO159" s="583"/>
      <c r="AP159" s="496"/>
      <c r="AQ159" s="618"/>
      <c r="AR159" s="505"/>
      <c r="AS159" s="629"/>
      <c r="AT159" s="618"/>
      <c r="AU159" s="505"/>
      <c r="AV159" s="581"/>
      <c r="AW159" s="618"/>
    </row>
    <row r="160" spans="2:49">
      <c r="B160" s="538" t="s">
        <v>562</v>
      </c>
      <c r="C160" s="539" t="s">
        <v>66</v>
      </c>
      <c r="D160" s="539" t="s">
        <v>55</v>
      </c>
      <c r="E160" s="539" t="s">
        <v>647</v>
      </c>
      <c r="F160" s="539" t="s">
        <v>668</v>
      </c>
      <c r="G160" s="540">
        <v>0.01</v>
      </c>
      <c r="H160" s="540">
        <v>1.828E-3</v>
      </c>
      <c r="I160" s="541">
        <v>0.4</v>
      </c>
      <c r="J160" s="600">
        <v>5</v>
      </c>
      <c r="K160" s="542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2"/>
      <c r="AE160" s="493" t="str">
        <f ca="1">IF('CDO Bespoke'!C185&lt;&gt;"",'CDO Bespoke'!C185,"")</f>
        <v/>
      </c>
      <c r="AF160" s="495"/>
      <c r="AG160" s="583"/>
      <c r="AH160" s="583"/>
      <c r="AI160" s="583"/>
      <c r="AJ160" s="496"/>
      <c r="AK160" s="618"/>
      <c r="AL160" s="495"/>
      <c r="AM160" s="583"/>
      <c r="AN160" s="583"/>
      <c r="AO160" s="583"/>
      <c r="AP160" s="496"/>
      <c r="AQ160" s="618"/>
      <c r="AR160" s="505"/>
      <c r="AS160" s="629"/>
      <c r="AT160" s="618"/>
      <c r="AU160" s="505"/>
      <c r="AV160" s="581"/>
      <c r="AW160" s="618"/>
    </row>
    <row r="161" spans="2:49">
      <c r="B161" s="516" t="s">
        <v>562</v>
      </c>
      <c r="C161" s="517" t="s">
        <v>66</v>
      </c>
      <c r="D161" s="517" t="s">
        <v>57</v>
      </c>
      <c r="E161" s="517" t="s">
        <v>647</v>
      </c>
      <c r="F161" s="517" t="s">
        <v>668</v>
      </c>
      <c r="G161" s="524">
        <v>0.01</v>
      </c>
      <c r="H161" s="524">
        <v>3.0709999999999999E-3</v>
      </c>
      <c r="I161" s="526">
        <v>0.4</v>
      </c>
      <c r="J161" s="592">
        <v>5</v>
      </c>
      <c r="K161" s="518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2"/>
      <c r="AE161" s="493" t="str">
        <f ca="1">IF('CDO Bespoke'!C186&lt;&gt;"",'CDO Bespoke'!C186,"")</f>
        <v/>
      </c>
      <c r="AF161" s="495"/>
      <c r="AG161" s="583"/>
      <c r="AH161" s="583"/>
      <c r="AI161" s="583"/>
      <c r="AJ161" s="496"/>
      <c r="AK161" s="618"/>
      <c r="AL161" s="495"/>
      <c r="AM161" s="583"/>
      <c r="AN161" s="583"/>
      <c r="AO161" s="583"/>
      <c r="AP161" s="496"/>
      <c r="AQ161" s="618"/>
      <c r="AR161" s="505"/>
      <c r="AS161" s="629"/>
      <c r="AT161" s="618"/>
      <c r="AU161" s="505"/>
      <c r="AV161" s="581"/>
      <c r="AW161" s="618"/>
    </row>
    <row r="162" spans="2:49">
      <c r="B162" s="533" t="s">
        <v>562</v>
      </c>
      <c r="C162" s="534" t="s">
        <v>66</v>
      </c>
      <c r="D162" s="534" t="s">
        <v>59</v>
      </c>
      <c r="E162" s="534" t="s">
        <v>647</v>
      </c>
      <c r="F162" s="534" t="s">
        <v>668</v>
      </c>
      <c r="G162" s="535">
        <v>0.01</v>
      </c>
      <c r="H162" s="535">
        <v>4.3569999999999998E-3</v>
      </c>
      <c r="I162" s="536">
        <v>0.4</v>
      </c>
      <c r="J162" s="593">
        <v>5</v>
      </c>
      <c r="K162" s="537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2"/>
      <c r="AE162" s="493" t="str">
        <f ca="1">IF('CDO Bespoke'!C187&lt;&gt;"",'CDO Bespoke'!C187,"")</f>
        <v/>
      </c>
      <c r="AF162" s="495"/>
      <c r="AG162" s="583"/>
      <c r="AH162" s="583"/>
      <c r="AI162" s="583"/>
      <c r="AJ162" s="496"/>
      <c r="AK162" s="618"/>
      <c r="AL162" s="495"/>
      <c r="AM162" s="583"/>
      <c r="AN162" s="583"/>
      <c r="AO162" s="583"/>
      <c r="AP162" s="496"/>
      <c r="AQ162" s="618"/>
      <c r="AR162" s="505"/>
      <c r="AS162" s="629"/>
      <c r="AT162" s="618"/>
      <c r="AU162" s="505"/>
      <c r="AV162" s="581"/>
      <c r="AW162" s="618"/>
    </row>
    <row r="163" spans="2:49">
      <c r="B163" s="538" t="s">
        <v>548</v>
      </c>
      <c r="C163" s="539" t="s">
        <v>66</v>
      </c>
      <c r="D163" s="539" t="s">
        <v>55</v>
      </c>
      <c r="E163" s="539" t="s">
        <v>645</v>
      </c>
      <c r="F163" s="539" t="s">
        <v>668</v>
      </c>
      <c r="G163" s="540">
        <v>0.01</v>
      </c>
      <c r="H163" s="540">
        <v>1.338E-3</v>
      </c>
      <c r="I163" s="541">
        <v>0.4</v>
      </c>
      <c r="J163" s="600">
        <v>5</v>
      </c>
      <c r="K163" s="542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2"/>
      <c r="AE163" s="493" t="str">
        <f ca="1">IF('CDO Bespoke'!C188&lt;&gt;"",'CDO Bespoke'!C188,"")</f>
        <v/>
      </c>
      <c r="AF163" s="495"/>
      <c r="AG163" s="583"/>
      <c r="AH163" s="583"/>
      <c r="AI163" s="583"/>
      <c r="AJ163" s="496"/>
      <c r="AK163" s="618"/>
      <c r="AL163" s="495"/>
      <c r="AM163" s="583"/>
      <c r="AN163" s="583"/>
      <c r="AO163" s="583"/>
      <c r="AP163" s="496"/>
      <c r="AQ163" s="618"/>
      <c r="AR163" s="505"/>
      <c r="AS163" s="629"/>
      <c r="AT163" s="618"/>
      <c r="AU163" s="505"/>
      <c r="AV163" s="581"/>
      <c r="AW163" s="618"/>
    </row>
    <row r="164" spans="2:49">
      <c r="B164" s="516" t="s">
        <v>548</v>
      </c>
      <c r="C164" s="517" t="s">
        <v>66</v>
      </c>
      <c r="D164" s="517" t="s">
        <v>57</v>
      </c>
      <c r="E164" s="517" t="s">
        <v>645</v>
      </c>
      <c r="F164" s="517" t="s">
        <v>668</v>
      </c>
      <c r="G164" s="524">
        <v>0.01</v>
      </c>
      <c r="H164" s="524">
        <v>2.0349999999999999E-3</v>
      </c>
      <c r="I164" s="526">
        <v>0.4</v>
      </c>
      <c r="J164" s="592">
        <v>5</v>
      </c>
      <c r="K164" s="518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2"/>
      <c r="AE164" s="493" t="str">
        <f ca="1">IF('CDO Bespoke'!C189&lt;&gt;"",'CDO Bespoke'!C189,"")</f>
        <v/>
      </c>
      <c r="AF164" s="495"/>
      <c r="AG164" s="583"/>
      <c r="AH164" s="583"/>
      <c r="AI164" s="583"/>
      <c r="AJ164" s="496"/>
      <c r="AK164" s="618"/>
      <c r="AL164" s="495"/>
      <c r="AM164" s="583"/>
      <c r="AN164" s="583"/>
      <c r="AO164" s="583"/>
      <c r="AP164" s="496"/>
      <c r="AQ164" s="618"/>
      <c r="AR164" s="505"/>
      <c r="AS164" s="629"/>
      <c r="AT164" s="618"/>
      <c r="AU164" s="505"/>
      <c r="AV164" s="581"/>
      <c r="AW164" s="618"/>
    </row>
    <row r="165" spans="2:49">
      <c r="B165" s="533" t="s">
        <v>548</v>
      </c>
      <c r="C165" s="534" t="s">
        <v>66</v>
      </c>
      <c r="D165" s="534" t="s">
        <v>59</v>
      </c>
      <c r="E165" s="534" t="s">
        <v>645</v>
      </c>
      <c r="F165" s="534" t="s">
        <v>668</v>
      </c>
      <c r="G165" s="535">
        <v>0.01</v>
      </c>
      <c r="H165" s="535">
        <v>2.843E-3</v>
      </c>
      <c r="I165" s="536">
        <v>0.4</v>
      </c>
      <c r="J165" s="593">
        <v>5</v>
      </c>
      <c r="K165" s="537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2"/>
      <c r="AE165" s="493" t="str">
        <f ca="1">IF('CDO Bespoke'!C190&lt;&gt;"",'CDO Bespoke'!C190,"")</f>
        <v/>
      </c>
      <c r="AF165" s="495"/>
      <c r="AG165" s="583"/>
      <c r="AH165" s="583"/>
      <c r="AI165" s="583"/>
      <c r="AJ165" s="496"/>
      <c r="AK165" s="618"/>
      <c r="AL165" s="495"/>
      <c r="AM165" s="583"/>
      <c r="AN165" s="583"/>
      <c r="AO165" s="583"/>
      <c r="AP165" s="496"/>
      <c r="AQ165" s="618"/>
      <c r="AR165" s="505"/>
      <c r="AS165" s="629"/>
      <c r="AT165" s="618"/>
      <c r="AU165" s="505"/>
      <c r="AV165" s="581"/>
      <c r="AW165" s="618"/>
    </row>
    <row r="166" spans="2:49">
      <c r="B166" s="538" t="s">
        <v>563</v>
      </c>
      <c r="C166" s="539" t="s">
        <v>66</v>
      </c>
      <c r="D166" s="539" t="s">
        <v>55</v>
      </c>
      <c r="E166" s="539" t="s">
        <v>647</v>
      </c>
      <c r="F166" s="539" t="s">
        <v>668</v>
      </c>
      <c r="G166" s="540">
        <v>0.01</v>
      </c>
      <c r="H166" s="540">
        <v>4.5620000000000001E-3</v>
      </c>
      <c r="I166" s="541">
        <v>0.4</v>
      </c>
      <c r="J166" s="600">
        <v>5</v>
      </c>
      <c r="K166" s="542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2"/>
      <c r="AE166" s="493" t="str">
        <f ca="1">IF('CDO Bespoke'!C191&lt;&gt;"",'CDO Bespoke'!C191,"")</f>
        <v/>
      </c>
      <c r="AF166" s="495"/>
      <c r="AG166" s="583"/>
      <c r="AH166" s="583"/>
      <c r="AI166" s="583"/>
      <c r="AJ166" s="496"/>
      <c r="AK166" s="618"/>
      <c r="AL166" s="495"/>
      <c r="AM166" s="583"/>
      <c r="AN166" s="583"/>
      <c r="AO166" s="583"/>
      <c r="AP166" s="496"/>
      <c r="AQ166" s="618"/>
      <c r="AR166" s="505"/>
      <c r="AS166" s="629"/>
      <c r="AT166" s="618"/>
      <c r="AU166" s="505"/>
      <c r="AV166" s="581"/>
      <c r="AW166" s="618"/>
    </row>
    <row r="167" spans="2:49">
      <c r="B167" s="516" t="s">
        <v>563</v>
      </c>
      <c r="C167" s="517" t="s">
        <v>66</v>
      </c>
      <c r="D167" s="517" t="s">
        <v>57</v>
      </c>
      <c r="E167" s="517" t="s">
        <v>647</v>
      </c>
      <c r="F167" s="517" t="s">
        <v>668</v>
      </c>
      <c r="G167" s="524">
        <v>0.01</v>
      </c>
      <c r="H167" s="524">
        <v>7.5360000000000002E-3</v>
      </c>
      <c r="I167" s="526">
        <v>0.4</v>
      </c>
      <c r="J167" s="592">
        <v>5</v>
      </c>
      <c r="K167" s="518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2"/>
      <c r="AE167" s="493" t="str">
        <f ca="1">IF('CDO Bespoke'!C192&lt;&gt;"",'CDO Bespoke'!C192,"")</f>
        <v/>
      </c>
      <c r="AF167" s="495"/>
      <c r="AG167" s="583"/>
      <c r="AH167" s="583"/>
      <c r="AI167" s="583"/>
      <c r="AJ167" s="496"/>
      <c r="AK167" s="618"/>
      <c r="AL167" s="495"/>
      <c r="AM167" s="583"/>
      <c r="AN167" s="583"/>
      <c r="AO167" s="583"/>
      <c r="AP167" s="496"/>
      <c r="AQ167" s="618"/>
      <c r="AR167" s="505"/>
      <c r="AS167" s="629"/>
      <c r="AT167" s="618"/>
      <c r="AU167" s="505"/>
      <c r="AV167" s="581"/>
      <c r="AW167" s="618"/>
    </row>
    <row r="168" spans="2:49">
      <c r="B168" s="533" t="s">
        <v>563</v>
      </c>
      <c r="C168" s="534" t="s">
        <v>66</v>
      </c>
      <c r="D168" s="534" t="s">
        <v>59</v>
      </c>
      <c r="E168" s="534" t="s">
        <v>647</v>
      </c>
      <c r="F168" s="534" t="s">
        <v>668</v>
      </c>
      <c r="G168" s="535">
        <v>0.01</v>
      </c>
      <c r="H168" s="535">
        <v>1.0989000000000001E-2</v>
      </c>
      <c r="I168" s="536">
        <v>0.4</v>
      </c>
      <c r="J168" s="593">
        <v>5</v>
      </c>
      <c r="K168" s="537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2"/>
      <c r="AE168" s="493" t="str">
        <f ca="1">IF('CDO Bespoke'!C193&lt;&gt;"",'CDO Bespoke'!C193,"")</f>
        <v/>
      </c>
      <c r="AF168" s="495"/>
      <c r="AG168" s="583"/>
      <c r="AH168" s="583"/>
      <c r="AI168" s="583"/>
      <c r="AJ168" s="496"/>
      <c r="AK168" s="618"/>
      <c r="AL168" s="495"/>
      <c r="AM168" s="583"/>
      <c r="AN168" s="583"/>
      <c r="AO168" s="583"/>
      <c r="AP168" s="496"/>
      <c r="AQ168" s="618"/>
      <c r="AR168" s="505"/>
      <c r="AS168" s="629"/>
      <c r="AT168" s="618"/>
      <c r="AU168" s="505"/>
      <c r="AV168" s="581"/>
      <c r="AW168" s="618"/>
    </row>
    <row r="169" spans="2:49">
      <c r="B169" s="538" t="s">
        <v>549</v>
      </c>
      <c r="C169" s="539" t="s">
        <v>66</v>
      </c>
      <c r="D169" s="539" t="s">
        <v>55</v>
      </c>
      <c r="E169" s="539" t="s">
        <v>645</v>
      </c>
      <c r="F169" s="539" t="s">
        <v>668</v>
      </c>
      <c r="G169" s="540">
        <v>0.01</v>
      </c>
      <c r="H169" s="540">
        <v>2.6589999999999999E-3</v>
      </c>
      <c r="I169" s="541">
        <v>0.4</v>
      </c>
      <c r="J169" s="600">
        <v>5</v>
      </c>
      <c r="K169" s="542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2"/>
      <c r="AE169" s="493" t="str">
        <f ca="1">IF('CDO Bespoke'!C194&lt;&gt;"",'CDO Bespoke'!C194,"")</f>
        <v/>
      </c>
      <c r="AF169" s="495"/>
      <c r="AG169" s="583"/>
      <c r="AH169" s="583"/>
      <c r="AI169" s="583"/>
      <c r="AJ169" s="496"/>
      <c r="AK169" s="618"/>
      <c r="AL169" s="495"/>
      <c r="AM169" s="583"/>
      <c r="AN169" s="583"/>
      <c r="AO169" s="583"/>
      <c r="AP169" s="496"/>
      <c r="AQ169" s="618"/>
      <c r="AR169" s="505"/>
      <c r="AS169" s="629"/>
      <c r="AT169" s="618"/>
      <c r="AU169" s="505"/>
      <c r="AV169" s="581"/>
      <c r="AW169" s="618"/>
    </row>
    <row r="170" spans="2:49">
      <c r="B170" s="516" t="s">
        <v>549</v>
      </c>
      <c r="C170" s="517" t="s">
        <v>66</v>
      </c>
      <c r="D170" s="517" t="s">
        <v>57</v>
      </c>
      <c r="E170" s="517" t="s">
        <v>645</v>
      </c>
      <c r="F170" s="517" t="s">
        <v>668</v>
      </c>
      <c r="G170" s="524">
        <v>0.01</v>
      </c>
      <c r="H170" s="524">
        <v>4.2420000000000001E-3</v>
      </c>
      <c r="I170" s="526">
        <v>0.4</v>
      </c>
      <c r="J170" s="592">
        <v>5</v>
      </c>
      <c r="K170" s="518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2"/>
      <c r="AE170" s="493" t="str">
        <f ca="1">IF('CDO Bespoke'!C195&lt;&gt;"",'CDO Bespoke'!C195,"")</f>
        <v/>
      </c>
      <c r="AF170" s="495"/>
      <c r="AG170" s="583"/>
      <c r="AH170" s="583"/>
      <c r="AI170" s="583"/>
      <c r="AJ170" s="496"/>
      <c r="AK170" s="618"/>
      <c r="AL170" s="495"/>
      <c r="AM170" s="583"/>
      <c r="AN170" s="583"/>
      <c r="AO170" s="583"/>
      <c r="AP170" s="496"/>
      <c r="AQ170" s="618"/>
      <c r="AR170" s="505"/>
      <c r="AS170" s="629"/>
      <c r="AT170" s="618"/>
      <c r="AU170" s="505"/>
      <c r="AV170" s="581"/>
      <c r="AW170" s="618"/>
    </row>
    <row r="171" spans="2:49">
      <c r="B171" s="533" t="s">
        <v>549</v>
      </c>
      <c r="C171" s="534" t="s">
        <v>66</v>
      </c>
      <c r="D171" s="534" t="s">
        <v>59</v>
      </c>
      <c r="E171" s="534" t="s">
        <v>645</v>
      </c>
      <c r="F171" s="534" t="s">
        <v>668</v>
      </c>
      <c r="G171" s="535">
        <v>0.01</v>
      </c>
      <c r="H171" s="535">
        <v>5.659E-3</v>
      </c>
      <c r="I171" s="536">
        <v>0.4</v>
      </c>
      <c r="J171" s="593">
        <v>5</v>
      </c>
      <c r="K171" s="537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2"/>
      <c r="AE171" s="493" t="str">
        <f ca="1">IF('CDO Bespoke'!C196&lt;&gt;"",'CDO Bespoke'!C196,"")</f>
        <v/>
      </c>
      <c r="AF171" s="495"/>
      <c r="AG171" s="583"/>
      <c r="AH171" s="583"/>
      <c r="AI171" s="583"/>
      <c r="AJ171" s="496"/>
      <c r="AK171" s="618"/>
      <c r="AL171" s="495"/>
      <c r="AM171" s="583"/>
      <c r="AN171" s="583"/>
      <c r="AO171" s="583"/>
      <c r="AP171" s="496"/>
      <c r="AQ171" s="618"/>
      <c r="AR171" s="505"/>
      <c r="AS171" s="629"/>
      <c r="AT171" s="618"/>
      <c r="AU171" s="505"/>
      <c r="AV171" s="581"/>
      <c r="AW171" s="618"/>
    </row>
    <row r="172" spans="2:49">
      <c r="B172" s="538" t="s">
        <v>550</v>
      </c>
      <c r="C172" s="539" t="s">
        <v>66</v>
      </c>
      <c r="D172" s="539" t="s">
        <v>55</v>
      </c>
      <c r="E172" s="539" t="s">
        <v>647</v>
      </c>
      <c r="F172" s="539" t="s">
        <v>668</v>
      </c>
      <c r="G172" s="540">
        <v>0.01</v>
      </c>
      <c r="H172" s="540">
        <v>1.866E-3</v>
      </c>
      <c r="I172" s="541">
        <v>0.4</v>
      </c>
      <c r="J172" s="600">
        <v>5</v>
      </c>
      <c r="K172" s="542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2"/>
      <c r="AE172" s="493" t="str">
        <f ca="1">IF('CDO Bespoke'!C197&lt;&gt;"",'CDO Bespoke'!C197,"")</f>
        <v/>
      </c>
      <c r="AF172" s="495"/>
      <c r="AG172" s="583"/>
      <c r="AH172" s="583"/>
      <c r="AI172" s="583"/>
      <c r="AJ172" s="496"/>
      <c r="AK172" s="618"/>
      <c r="AL172" s="495"/>
      <c r="AM172" s="583"/>
      <c r="AN172" s="583"/>
      <c r="AO172" s="583"/>
      <c r="AP172" s="496"/>
      <c r="AQ172" s="618"/>
      <c r="AR172" s="505"/>
      <c r="AS172" s="629"/>
      <c r="AT172" s="618"/>
      <c r="AU172" s="505"/>
      <c r="AV172" s="581"/>
      <c r="AW172" s="618"/>
    </row>
    <row r="173" spans="2:49">
      <c r="B173" s="516" t="s">
        <v>550</v>
      </c>
      <c r="C173" s="517" t="s">
        <v>66</v>
      </c>
      <c r="D173" s="517" t="s">
        <v>57</v>
      </c>
      <c r="E173" s="517" t="s">
        <v>647</v>
      </c>
      <c r="F173" s="517" t="s">
        <v>668</v>
      </c>
      <c r="G173" s="524">
        <v>0.01</v>
      </c>
      <c r="H173" s="524">
        <v>3.0259999999999999E-2</v>
      </c>
      <c r="I173" s="526">
        <v>0.4</v>
      </c>
      <c r="J173" s="592">
        <v>5</v>
      </c>
      <c r="K173" s="518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2"/>
      <c r="AE173" s="493" t="str">
        <f ca="1">IF('CDO Bespoke'!C198&lt;&gt;"",'CDO Bespoke'!C198,"")</f>
        <v/>
      </c>
      <c r="AF173" s="495"/>
      <c r="AG173" s="583"/>
      <c r="AH173" s="583"/>
      <c r="AI173" s="583"/>
      <c r="AJ173" s="496"/>
      <c r="AK173" s="618"/>
      <c r="AL173" s="495"/>
      <c r="AM173" s="583"/>
      <c r="AN173" s="583"/>
      <c r="AO173" s="583"/>
      <c r="AP173" s="496"/>
      <c r="AQ173" s="618"/>
      <c r="AR173" s="505"/>
      <c r="AS173" s="629"/>
      <c r="AT173" s="618"/>
      <c r="AU173" s="505"/>
      <c r="AV173" s="581"/>
      <c r="AW173" s="618"/>
    </row>
    <row r="174" spans="2:49">
      <c r="B174" s="533" t="s">
        <v>550</v>
      </c>
      <c r="C174" s="534" t="s">
        <v>66</v>
      </c>
      <c r="D174" s="534" t="s">
        <v>59</v>
      </c>
      <c r="E174" s="534" t="s">
        <v>647</v>
      </c>
      <c r="F174" s="534" t="s">
        <v>668</v>
      </c>
      <c r="G174" s="535">
        <v>0.01</v>
      </c>
      <c r="H174" s="535">
        <v>4.2849999999999997E-3</v>
      </c>
      <c r="I174" s="536">
        <v>0.4</v>
      </c>
      <c r="J174" s="593">
        <v>5</v>
      </c>
      <c r="K174" s="537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2"/>
      <c r="AE174" s="493" t="str">
        <f ca="1">IF('CDO Bespoke'!C199&lt;&gt;"",'CDO Bespoke'!C199,"")</f>
        <v/>
      </c>
      <c r="AF174" s="495"/>
      <c r="AG174" s="583"/>
      <c r="AH174" s="583"/>
      <c r="AI174" s="583"/>
      <c r="AJ174" s="496"/>
      <c r="AK174" s="618"/>
      <c r="AL174" s="495"/>
      <c r="AM174" s="583"/>
      <c r="AN174" s="583"/>
      <c r="AO174" s="583"/>
      <c r="AP174" s="496"/>
      <c r="AQ174" s="618"/>
      <c r="AR174" s="505"/>
      <c r="AS174" s="629"/>
      <c r="AT174" s="618"/>
      <c r="AU174" s="505"/>
      <c r="AV174" s="581"/>
      <c r="AW174" s="618"/>
    </row>
    <row r="175" spans="2:49">
      <c r="B175" s="538" t="s">
        <v>551</v>
      </c>
      <c r="C175" s="539" t="s">
        <v>66</v>
      </c>
      <c r="D175" s="539" t="s">
        <v>55</v>
      </c>
      <c r="E175" s="539" t="s">
        <v>647</v>
      </c>
      <c r="F175" s="539" t="s">
        <v>668</v>
      </c>
      <c r="G175" s="540">
        <v>0.01</v>
      </c>
      <c r="H175" s="540">
        <v>3.153E-3</v>
      </c>
      <c r="I175" s="541">
        <v>0.4</v>
      </c>
      <c r="J175" s="600">
        <v>5</v>
      </c>
      <c r="K175" s="542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2"/>
      <c r="AE175" s="493" t="str">
        <f ca="1">IF('CDO Bespoke'!C200&lt;&gt;"",'CDO Bespoke'!C200,"")</f>
        <v/>
      </c>
      <c r="AF175" s="495"/>
      <c r="AG175" s="583"/>
      <c r="AH175" s="583"/>
      <c r="AI175" s="583"/>
      <c r="AJ175" s="496"/>
      <c r="AK175" s="618"/>
      <c r="AL175" s="495"/>
      <c r="AM175" s="583"/>
      <c r="AN175" s="583"/>
      <c r="AO175" s="583"/>
      <c r="AP175" s="496"/>
      <c r="AQ175" s="618"/>
      <c r="AR175" s="505"/>
      <c r="AS175" s="629"/>
      <c r="AT175" s="618"/>
      <c r="AU175" s="505"/>
      <c r="AV175" s="581"/>
      <c r="AW175" s="618"/>
    </row>
    <row r="176" spans="2:49">
      <c r="B176" s="516" t="s">
        <v>551</v>
      </c>
      <c r="C176" s="517" t="s">
        <v>66</v>
      </c>
      <c r="D176" s="517" t="s">
        <v>57</v>
      </c>
      <c r="E176" s="517" t="s">
        <v>647</v>
      </c>
      <c r="F176" s="517" t="s">
        <v>668</v>
      </c>
      <c r="G176" s="524">
        <v>0.01</v>
      </c>
      <c r="H176" s="524">
        <v>4.9170000000000004E-3</v>
      </c>
      <c r="I176" s="526">
        <v>0.4</v>
      </c>
      <c r="J176" s="592">
        <v>5</v>
      </c>
      <c r="K176" s="518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2"/>
      <c r="AE176" s="493" t="str">
        <f ca="1">IF('CDO Bespoke'!C201&lt;&gt;"",'CDO Bespoke'!C201,"")</f>
        <v/>
      </c>
      <c r="AF176" s="495"/>
      <c r="AG176" s="583"/>
      <c r="AH176" s="583"/>
      <c r="AI176" s="583"/>
      <c r="AJ176" s="496"/>
      <c r="AK176" s="618"/>
      <c r="AL176" s="495"/>
      <c r="AM176" s="583"/>
      <c r="AN176" s="583"/>
      <c r="AO176" s="583"/>
      <c r="AP176" s="496"/>
      <c r="AQ176" s="618"/>
      <c r="AR176" s="505"/>
      <c r="AS176" s="629"/>
      <c r="AT176" s="618"/>
      <c r="AU176" s="505"/>
      <c r="AV176" s="581"/>
      <c r="AW176" s="618"/>
    </row>
    <row r="177" spans="2:49">
      <c r="B177" s="533" t="s">
        <v>551</v>
      </c>
      <c r="C177" s="534" t="s">
        <v>66</v>
      </c>
      <c r="D177" s="534" t="s">
        <v>59</v>
      </c>
      <c r="E177" s="534" t="s">
        <v>647</v>
      </c>
      <c r="F177" s="534" t="s">
        <v>668</v>
      </c>
      <c r="G177" s="535">
        <v>0.01</v>
      </c>
      <c r="H177" s="535">
        <v>6.8279999999999999E-3</v>
      </c>
      <c r="I177" s="536">
        <v>0.4</v>
      </c>
      <c r="J177" s="593">
        <v>5</v>
      </c>
      <c r="K177" s="537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2"/>
      <c r="AE177" s="493" t="str">
        <f ca="1">IF('CDO Bespoke'!C202&lt;&gt;"",'CDO Bespoke'!C202,"")</f>
        <v/>
      </c>
      <c r="AF177" s="495"/>
      <c r="AG177" s="583"/>
      <c r="AH177" s="583"/>
      <c r="AI177" s="583"/>
      <c r="AJ177" s="496"/>
      <c r="AK177" s="618"/>
      <c r="AL177" s="495"/>
      <c r="AM177" s="583"/>
      <c r="AN177" s="583"/>
      <c r="AO177" s="583"/>
      <c r="AP177" s="496"/>
      <c r="AQ177" s="618"/>
      <c r="AR177" s="505"/>
      <c r="AS177" s="629"/>
      <c r="AT177" s="618"/>
      <c r="AU177" s="505"/>
      <c r="AV177" s="581"/>
      <c r="AW177" s="618"/>
    </row>
    <row r="178" spans="2:49">
      <c r="B178" s="538" t="s">
        <v>552</v>
      </c>
      <c r="C178" s="539" t="s">
        <v>66</v>
      </c>
      <c r="D178" s="539" t="s">
        <v>55</v>
      </c>
      <c r="E178" s="539" t="s">
        <v>647</v>
      </c>
      <c r="F178" s="539" t="s">
        <v>668</v>
      </c>
      <c r="G178" s="540">
        <v>0.01</v>
      </c>
      <c r="H178" s="540">
        <v>6.7999999999999996E-3</v>
      </c>
      <c r="I178" s="541">
        <v>0.4</v>
      </c>
      <c r="J178" s="600">
        <v>5</v>
      </c>
      <c r="K178" s="542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2"/>
      <c r="AE178" s="493" t="str">
        <f ca="1">IF('CDO Bespoke'!C203&lt;&gt;"",'CDO Bespoke'!C203,"")</f>
        <v/>
      </c>
      <c r="AF178" s="495"/>
      <c r="AG178" s="583"/>
      <c r="AH178" s="583"/>
      <c r="AI178" s="583"/>
      <c r="AJ178" s="496"/>
      <c r="AK178" s="618"/>
      <c r="AL178" s="495"/>
      <c r="AM178" s="583"/>
      <c r="AN178" s="583"/>
      <c r="AO178" s="583"/>
      <c r="AP178" s="496"/>
      <c r="AQ178" s="618"/>
      <c r="AR178" s="505"/>
      <c r="AS178" s="629"/>
      <c r="AT178" s="618"/>
      <c r="AU178" s="505"/>
      <c r="AV178" s="581"/>
      <c r="AW178" s="618"/>
    </row>
    <row r="179" spans="2:49">
      <c r="B179" s="516" t="s">
        <v>552</v>
      </c>
      <c r="C179" s="517" t="s">
        <v>66</v>
      </c>
      <c r="D179" s="517" t="s">
        <v>57</v>
      </c>
      <c r="E179" s="517" t="s">
        <v>647</v>
      </c>
      <c r="F179" s="517" t="s">
        <v>668</v>
      </c>
      <c r="G179" s="524">
        <v>0.01</v>
      </c>
      <c r="H179" s="524">
        <v>1.1743E-2</v>
      </c>
      <c r="I179" s="526">
        <v>0.4</v>
      </c>
      <c r="J179" s="592">
        <v>5</v>
      </c>
      <c r="K179" s="518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2"/>
      <c r="AE179" s="493" t="str">
        <f ca="1">IF('CDO Bespoke'!C204&lt;&gt;"",'CDO Bespoke'!C204,"")</f>
        <v/>
      </c>
      <c r="AF179" s="495"/>
      <c r="AG179" s="583"/>
      <c r="AH179" s="583"/>
      <c r="AI179" s="583"/>
      <c r="AJ179" s="496"/>
      <c r="AK179" s="618"/>
      <c r="AL179" s="495"/>
      <c r="AM179" s="583"/>
      <c r="AN179" s="583"/>
      <c r="AO179" s="583"/>
      <c r="AP179" s="496"/>
      <c r="AQ179" s="618"/>
      <c r="AR179" s="505"/>
      <c r="AS179" s="629"/>
      <c r="AT179" s="618"/>
      <c r="AU179" s="505"/>
      <c r="AV179" s="581"/>
      <c r="AW179" s="618"/>
    </row>
    <row r="180" spans="2:49">
      <c r="B180" s="533" t="s">
        <v>552</v>
      </c>
      <c r="C180" s="534" t="s">
        <v>66</v>
      </c>
      <c r="D180" s="534" t="s">
        <v>59</v>
      </c>
      <c r="E180" s="534" t="s">
        <v>647</v>
      </c>
      <c r="F180" s="534" t="s">
        <v>668</v>
      </c>
      <c r="G180" s="535">
        <v>0.01</v>
      </c>
      <c r="H180" s="535">
        <v>1.5325E-2</v>
      </c>
      <c r="I180" s="536">
        <v>0.4</v>
      </c>
      <c r="J180" s="593">
        <v>5</v>
      </c>
      <c r="K180" s="537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2"/>
      <c r="AE180" s="493" t="str">
        <f ca="1">IF('CDO Bespoke'!C205&lt;&gt;"",'CDO Bespoke'!C205,"")</f>
        <v/>
      </c>
      <c r="AF180" s="495"/>
      <c r="AG180" s="583"/>
      <c r="AH180" s="583"/>
      <c r="AI180" s="583"/>
      <c r="AJ180" s="496"/>
      <c r="AK180" s="618"/>
      <c r="AL180" s="495"/>
      <c r="AM180" s="583"/>
      <c r="AN180" s="583"/>
      <c r="AO180" s="583"/>
      <c r="AP180" s="496"/>
      <c r="AQ180" s="618"/>
      <c r="AR180" s="505"/>
      <c r="AS180" s="629"/>
      <c r="AT180" s="618"/>
      <c r="AU180" s="505"/>
      <c r="AV180" s="581"/>
      <c r="AW180" s="618"/>
    </row>
    <row r="181" spans="2:49">
      <c r="B181" s="538" t="s">
        <v>553</v>
      </c>
      <c r="C181" s="539" t="s">
        <v>66</v>
      </c>
      <c r="D181" s="539" t="s">
        <v>55</v>
      </c>
      <c r="E181" s="539" t="s">
        <v>649</v>
      </c>
      <c r="F181" s="539" t="s">
        <v>668</v>
      </c>
      <c r="G181" s="540">
        <v>0.01</v>
      </c>
      <c r="H181" s="540">
        <v>1.8079999999999999E-3</v>
      </c>
      <c r="I181" s="541">
        <v>0.4</v>
      </c>
      <c r="J181" s="600">
        <v>5</v>
      </c>
      <c r="K181" s="542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2"/>
      <c r="AE181" s="493" t="str">
        <f ca="1">IF('CDO Bespoke'!C206&lt;&gt;"",'CDO Bespoke'!C206,"")</f>
        <v/>
      </c>
      <c r="AF181" s="495"/>
      <c r="AG181" s="583"/>
      <c r="AH181" s="583"/>
      <c r="AI181" s="583"/>
      <c r="AJ181" s="496"/>
      <c r="AK181" s="618"/>
      <c r="AL181" s="495"/>
      <c r="AM181" s="583"/>
      <c r="AN181" s="583"/>
      <c r="AO181" s="583"/>
      <c r="AP181" s="496"/>
      <c r="AQ181" s="618"/>
      <c r="AR181" s="505"/>
      <c r="AS181" s="629"/>
      <c r="AT181" s="618"/>
      <c r="AU181" s="505"/>
      <c r="AV181" s="581"/>
      <c r="AW181" s="618"/>
    </row>
    <row r="182" spans="2:49">
      <c r="B182" s="516" t="s">
        <v>553</v>
      </c>
      <c r="C182" s="517" t="s">
        <v>66</v>
      </c>
      <c r="D182" s="517" t="s">
        <v>57</v>
      </c>
      <c r="E182" s="517" t="s">
        <v>649</v>
      </c>
      <c r="F182" s="517" t="s">
        <v>668</v>
      </c>
      <c r="G182" s="524">
        <v>0.01</v>
      </c>
      <c r="H182" s="524">
        <v>3.0379999999999999E-3</v>
      </c>
      <c r="I182" s="526">
        <v>0.4</v>
      </c>
      <c r="J182" s="592">
        <v>5</v>
      </c>
      <c r="K182" s="518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2"/>
      <c r="AE182" s="493" t="str">
        <f ca="1">IF('CDO Bespoke'!C207&lt;&gt;"",'CDO Bespoke'!C207,"")</f>
        <v/>
      </c>
      <c r="AF182" s="495"/>
      <c r="AG182" s="583"/>
      <c r="AH182" s="583"/>
      <c r="AI182" s="583"/>
      <c r="AJ182" s="496"/>
      <c r="AK182" s="618"/>
      <c r="AL182" s="495"/>
      <c r="AM182" s="583"/>
      <c r="AN182" s="583"/>
      <c r="AO182" s="583"/>
      <c r="AP182" s="496"/>
      <c r="AQ182" s="618"/>
      <c r="AR182" s="505"/>
      <c r="AS182" s="629"/>
      <c r="AT182" s="618"/>
      <c r="AU182" s="505"/>
      <c r="AV182" s="581"/>
      <c r="AW182" s="618"/>
    </row>
    <row r="183" spans="2:49">
      <c r="B183" s="533" t="s">
        <v>553</v>
      </c>
      <c r="C183" s="534" t="s">
        <v>66</v>
      </c>
      <c r="D183" s="534" t="s">
        <v>59</v>
      </c>
      <c r="E183" s="534" t="s">
        <v>649</v>
      </c>
      <c r="F183" s="534" t="s">
        <v>668</v>
      </c>
      <c r="G183" s="535">
        <v>0.01</v>
      </c>
      <c r="H183" s="535">
        <v>4.2700000000000004E-3</v>
      </c>
      <c r="I183" s="536">
        <v>0.4</v>
      </c>
      <c r="J183" s="593">
        <v>5</v>
      </c>
      <c r="K183" s="537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2"/>
      <c r="AE183" s="493" t="str">
        <f ca="1">IF('CDO Bespoke'!C208&lt;&gt;"",'CDO Bespoke'!C208,"")</f>
        <v/>
      </c>
      <c r="AF183" s="495"/>
      <c r="AG183" s="583"/>
      <c r="AH183" s="583"/>
      <c r="AI183" s="583"/>
      <c r="AJ183" s="496"/>
      <c r="AK183" s="618"/>
      <c r="AL183" s="495"/>
      <c r="AM183" s="583"/>
      <c r="AN183" s="583"/>
      <c r="AO183" s="583"/>
      <c r="AP183" s="496"/>
      <c r="AQ183" s="618"/>
      <c r="AR183" s="505"/>
      <c r="AS183" s="629"/>
      <c r="AT183" s="618"/>
      <c r="AU183" s="505"/>
      <c r="AV183" s="581"/>
      <c r="AW183" s="618"/>
    </row>
    <row r="184" spans="2:49">
      <c r="B184" s="538" t="s">
        <v>554</v>
      </c>
      <c r="C184" s="539" t="s">
        <v>66</v>
      </c>
      <c r="D184" s="539" t="s">
        <v>55</v>
      </c>
      <c r="E184" s="539" t="s">
        <v>649</v>
      </c>
      <c r="F184" s="539" t="s">
        <v>668</v>
      </c>
      <c r="G184" s="540">
        <v>0.01</v>
      </c>
      <c r="H184" s="540">
        <v>1.957E-3</v>
      </c>
      <c r="I184" s="541">
        <v>0.4</v>
      </c>
      <c r="J184" s="600">
        <v>5</v>
      </c>
      <c r="K184" s="542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2"/>
      <c r="AE184" s="493" t="str">
        <f ca="1">IF('CDO Bespoke'!C209&lt;&gt;"",'CDO Bespoke'!C209,"")</f>
        <v/>
      </c>
      <c r="AF184" s="495"/>
      <c r="AG184" s="583"/>
      <c r="AH184" s="583"/>
      <c r="AI184" s="583"/>
      <c r="AJ184" s="496"/>
      <c r="AK184" s="618"/>
      <c r="AL184" s="495"/>
      <c r="AM184" s="583"/>
      <c r="AN184" s="583"/>
      <c r="AO184" s="583"/>
      <c r="AP184" s="496"/>
      <c r="AQ184" s="618"/>
      <c r="AR184" s="505"/>
      <c r="AS184" s="629"/>
      <c r="AT184" s="618"/>
      <c r="AU184" s="505"/>
      <c r="AV184" s="581"/>
      <c r="AW184" s="618"/>
    </row>
    <row r="185" spans="2:49">
      <c r="B185" s="516" t="s">
        <v>554</v>
      </c>
      <c r="C185" s="517" t="s">
        <v>66</v>
      </c>
      <c r="D185" s="517" t="s">
        <v>57</v>
      </c>
      <c r="E185" s="517" t="s">
        <v>649</v>
      </c>
      <c r="F185" s="517" t="s">
        <v>668</v>
      </c>
      <c r="G185" s="524">
        <v>0.01</v>
      </c>
      <c r="H185" s="524">
        <v>2.7009999999999998E-3</v>
      </c>
      <c r="I185" s="526">
        <v>0.4</v>
      </c>
      <c r="J185" s="592">
        <v>5</v>
      </c>
      <c r="K185" s="518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2"/>
      <c r="AE185" s="493" t="str">
        <f ca="1">IF('CDO Bespoke'!C210&lt;&gt;"",'CDO Bespoke'!C210,"")</f>
        <v/>
      </c>
      <c r="AF185" s="495"/>
      <c r="AG185" s="583"/>
      <c r="AH185" s="583"/>
      <c r="AI185" s="583"/>
      <c r="AJ185" s="496"/>
      <c r="AK185" s="618"/>
      <c r="AL185" s="495"/>
      <c r="AM185" s="583"/>
      <c r="AN185" s="583"/>
      <c r="AO185" s="583"/>
      <c r="AP185" s="496"/>
      <c r="AQ185" s="618"/>
      <c r="AR185" s="505"/>
      <c r="AS185" s="629"/>
      <c r="AT185" s="618"/>
      <c r="AU185" s="505"/>
      <c r="AV185" s="581"/>
      <c r="AW185" s="618"/>
    </row>
    <row r="186" spans="2:49">
      <c r="B186" s="533" t="s">
        <v>554</v>
      </c>
      <c r="C186" s="534" t="s">
        <v>66</v>
      </c>
      <c r="D186" s="534" t="s">
        <v>59</v>
      </c>
      <c r="E186" s="534" t="s">
        <v>649</v>
      </c>
      <c r="F186" s="534" t="s">
        <v>668</v>
      </c>
      <c r="G186" s="535">
        <v>0.01</v>
      </c>
      <c r="H186" s="535">
        <v>3.7780000000000001E-3</v>
      </c>
      <c r="I186" s="536">
        <v>0.4</v>
      </c>
      <c r="J186" s="593">
        <v>5</v>
      </c>
      <c r="K186" s="537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2"/>
      <c r="AE186" s="493" t="str">
        <f ca="1">IF('CDO Bespoke'!C211&lt;&gt;"",'CDO Bespoke'!C211,"")</f>
        <v/>
      </c>
      <c r="AF186" s="495"/>
      <c r="AG186" s="583"/>
      <c r="AH186" s="583"/>
      <c r="AI186" s="583"/>
      <c r="AJ186" s="496"/>
      <c r="AK186" s="618"/>
      <c r="AL186" s="495"/>
      <c r="AM186" s="583"/>
      <c r="AN186" s="583"/>
      <c r="AO186" s="583"/>
      <c r="AP186" s="496"/>
      <c r="AQ186" s="618"/>
      <c r="AR186" s="505"/>
      <c r="AS186" s="629"/>
      <c r="AT186" s="618"/>
      <c r="AU186" s="505"/>
      <c r="AV186" s="581"/>
      <c r="AW186" s="618"/>
    </row>
    <row r="187" spans="2:49">
      <c r="B187" s="538" t="s">
        <v>555</v>
      </c>
      <c r="C187" s="539" t="s">
        <v>66</v>
      </c>
      <c r="D187" s="539" t="s">
        <v>55</v>
      </c>
      <c r="E187" s="539" t="s">
        <v>647</v>
      </c>
      <c r="F187" s="539" t="s">
        <v>668</v>
      </c>
      <c r="G187" s="540">
        <v>0.01</v>
      </c>
      <c r="H187" s="540">
        <v>2.3579999999999999E-3</v>
      </c>
      <c r="I187" s="541">
        <v>0.4</v>
      </c>
      <c r="J187" s="600">
        <v>5</v>
      </c>
      <c r="K187" s="542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2"/>
      <c r="AE187" s="493" t="str">
        <f ca="1">IF('CDO Bespoke'!C212&lt;&gt;"",'CDO Bespoke'!C212,"")</f>
        <v/>
      </c>
      <c r="AF187" s="495"/>
      <c r="AG187" s="583"/>
      <c r="AH187" s="583"/>
      <c r="AI187" s="583"/>
      <c r="AJ187" s="496"/>
      <c r="AK187" s="618"/>
      <c r="AL187" s="495"/>
      <c r="AM187" s="583"/>
      <c r="AN187" s="583"/>
      <c r="AO187" s="583"/>
      <c r="AP187" s="496"/>
      <c r="AQ187" s="618"/>
      <c r="AR187" s="505"/>
      <c r="AS187" s="629"/>
      <c r="AT187" s="618"/>
      <c r="AU187" s="505"/>
      <c r="AV187" s="581"/>
      <c r="AW187" s="618"/>
    </row>
    <row r="188" spans="2:49">
      <c r="B188" s="516" t="s">
        <v>555</v>
      </c>
      <c r="C188" s="517" t="s">
        <v>66</v>
      </c>
      <c r="D188" s="517" t="s">
        <v>57</v>
      </c>
      <c r="E188" s="517" t="s">
        <v>647</v>
      </c>
      <c r="F188" s="517" t="s">
        <v>668</v>
      </c>
      <c r="G188" s="524">
        <v>0.01</v>
      </c>
      <c r="H188" s="524">
        <v>4.816E-3</v>
      </c>
      <c r="I188" s="526">
        <v>0.4</v>
      </c>
      <c r="J188" s="592">
        <v>5</v>
      </c>
      <c r="K188" s="518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2"/>
      <c r="AE188" s="493" t="str">
        <f ca="1">IF('CDO Bespoke'!C213&lt;&gt;"",'CDO Bespoke'!C213,"")</f>
        <v/>
      </c>
      <c r="AF188" s="495"/>
      <c r="AG188" s="583"/>
      <c r="AH188" s="583"/>
      <c r="AI188" s="583"/>
      <c r="AJ188" s="496"/>
      <c r="AK188" s="618"/>
      <c r="AL188" s="495"/>
      <c r="AM188" s="583"/>
      <c r="AN188" s="583"/>
      <c r="AO188" s="583"/>
      <c r="AP188" s="496"/>
      <c r="AQ188" s="618"/>
      <c r="AR188" s="505"/>
      <c r="AS188" s="629"/>
      <c r="AT188" s="618"/>
      <c r="AU188" s="505"/>
      <c r="AV188" s="581"/>
      <c r="AW188" s="618"/>
    </row>
    <row r="189" spans="2:49">
      <c r="B189" s="533" t="s">
        <v>555</v>
      </c>
      <c r="C189" s="534" t="s">
        <v>66</v>
      </c>
      <c r="D189" s="534" t="s">
        <v>59</v>
      </c>
      <c r="E189" s="534" t="s">
        <v>647</v>
      </c>
      <c r="F189" s="534" t="s">
        <v>668</v>
      </c>
      <c r="G189" s="535">
        <v>0.01</v>
      </c>
      <c r="H189" s="535">
        <v>7.6169999999999996E-3</v>
      </c>
      <c r="I189" s="536">
        <v>0.4</v>
      </c>
      <c r="J189" s="593">
        <v>5</v>
      </c>
      <c r="K189" s="537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2"/>
      <c r="AE189" s="493" t="str">
        <f ca="1">IF('CDO Bespoke'!C214&lt;&gt;"",'CDO Bespoke'!C214,"")</f>
        <v/>
      </c>
      <c r="AF189" s="495"/>
      <c r="AG189" s="583"/>
      <c r="AH189" s="583"/>
      <c r="AI189" s="583"/>
      <c r="AJ189" s="496"/>
      <c r="AK189" s="618"/>
      <c r="AL189" s="495"/>
      <c r="AM189" s="583"/>
      <c r="AN189" s="583"/>
      <c r="AO189" s="583"/>
      <c r="AP189" s="496"/>
      <c r="AQ189" s="618"/>
      <c r="AR189" s="505"/>
      <c r="AS189" s="629"/>
      <c r="AT189" s="618"/>
      <c r="AU189" s="505"/>
      <c r="AV189" s="581"/>
      <c r="AW189" s="618"/>
    </row>
    <row r="190" spans="2:49">
      <c r="B190" s="538" t="s">
        <v>556</v>
      </c>
      <c r="C190" s="539" t="s">
        <v>66</v>
      </c>
      <c r="D190" s="539" t="s">
        <v>55</v>
      </c>
      <c r="E190" s="539" t="s">
        <v>647</v>
      </c>
      <c r="F190" s="539" t="s">
        <v>668</v>
      </c>
      <c r="G190" s="540">
        <v>0.01</v>
      </c>
      <c r="H190" s="540">
        <v>2.2920000000000002E-3</v>
      </c>
      <c r="I190" s="541">
        <v>0.4</v>
      </c>
      <c r="J190" s="600">
        <v>5</v>
      </c>
      <c r="K190" s="542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2"/>
      <c r="AE190" s="493" t="str">
        <f ca="1">IF('CDO Bespoke'!C215&lt;&gt;"",'CDO Bespoke'!C215,"")</f>
        <v/>
      </c>
      <c r="AF190" s="495"/>
      <c r="AG190" s="583"/>
      <c r="AH190" s="583"/>
      <c r="AI190" s="583"/>
      <c r="AJ190" s="496"/>
      <c r="AK190" s="618"/>
      <c r="AL190" s="495"/>
      <c r="AM190" s="583"/>
      <c r="AN190" s="583"/>
      <c r="AO190" s="583"/>
      <c r="AP190" s="496"/>
      <c r="AQ190" s="618"/>
      <c r="AR190" s="505"/>
      <c r="AS190" s="629"/>
      <c r="AT190" s="618"/>
      <c r="AU190" s="505"/>
      <c r="AV190" s="581"/>
      <c r="AW190" s="618"/>
    </row>
    <row r="191" spans="2:49">
      <c r="B191" s="516" t="s">
        <v>556</v>
      </c>
      <c r="C191" s="517" t="s">
        <v>66</v>
      </c>
      <c r="D191" s="517" t="s">
        <v>57</v>
      </c>
      <c r="E191" s="517" t="s">
        <v>647</v>
      </c>
      <c r="F191" s="517" t="s">
        <v>668</v>
      </c>
      <c r="G191" s="524">
        <v>0.01</v>
      </c>
      <c r="H191" s="524">
        <v>3.6840000000000002E-3</v>
      </c>
      <c r="I191" s="526">
        <v>0.4</v>
      </c>
      <c r="J191" s="592">
        <v>5</v>
      </c>
      <c r="K191" s="518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2"/>
      <c r="AE191" s="493" t="str">
        <f ca="1">IF('CDO Bespoke'!C216&lt;&gt;"",'CDO Bespoke'!C216,"")</f>
        <v/>
      </c>
      <c r="AF191" s="495"/>
      <c r="AG191" s="583"/>
      <c r="AH191" s="583"/>
      <c r="AI191" s="583"/>
      <c r="AJ191" s="496"/>
      <c r="AK191" s="618"/>
      <c r="AL191" s="495"/>
      <c r="AM191" s="583"/>
      <c r="AN191" s="583"/>
      <c r="AO191" s="583"/>
      <c r="AP191" s="496"/>
      <c r="AQ191" s="618"/>
      <c r="AR191" s="505"/>
      <c r="AS191" s="629"/>
      <c r="AT191" s="618"/>
      <c r="AU191" s="505"/>
      <c r="AV191" s="581"/>
      <c r="AW191" s="618"/>
    </row>
    <row r="192" spans="2:49">
      <c r="B192" s="533" t="s">
        <v>556</v>
      </c>
      <c r="C192" s="534" t="s">
        <v>66</v>
      </c>
      <c r="D192" s="534" t="s">
        <v>59</v>
      </c>
      <c r="E192" s="534" t="s">
        <v>647</v>
      </c>
      <c r="F192" s="534" t="s">
        <v>668</v>
      </c>
      <c r="G192" s="535">
        <v>0.01</v>
      </c>
      <c r="H192" s="535">
        <v>5.0730000000000003E-3</v>
      </c>
      <c r="I192" s="536">
        <v>0.4</v>
      </c>
      <c r="J192" s="593">
        <v>5</v>
      </c>
      <c r="K192" s="537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2"/>
      <c r="AE192" s="493" t="str">
        <f ca="1">IF('CDO Bespoke'!C217&lt;&gt;"",'CDO Bespoke'!C217,"")</f>
        <v/>
      </c>
      <c r="AF192" s="495"/>
      <c r="AG192" s="583"/>
      <c r="AH192" s="583"/>
      <c r="AI192" s="583"/>
      <c r="AJ192" s="496"/>
      <c r="AK192" s="618"/>
      <c r="AL192" s="495"/>
      <c r="AM192" s="583"/>
      <c r="AN192" s="583"/>
      <c r="AO192" s="583"/>
      <c r="AP192" s="496"/>
      <c r="AQ192" s="618"/>
      <c r="AR192" s="505"/>
      <c r="AS192" s="629"/>
      <c r="AT192" s="618"/>
      <c r="AU192" s="505"/>
      <c r="AV192" s="581"/>
      <c r="AW192" s="618"/>
    </row>
    <row r="193" spans="2:49">
      <c r="B193" s="538" t="s">
        <v>564</v>
      </c>
      <c r="C193" s="539" t="s">
        <v>66</v>
      </c>
      <c r="D193" s="539" t="s">
        <v>55</v>
      </c>
      <c r="E193" s="539" t="s">
        <v>647</v>
      </c>
      <c r="F193" s="539" t="s">
        <v>668</v>
      </c>
      <c r="G193" s="540">
        <v>0.01</v>
      </c>
      <c r="H193" s="540">
        <v>1.598E-3</v>
      </c>
      <c r="I193" s="541">
        <v>0.4</v>
      </c>
      <c r="J193" s="600">
        <v>5</v>
      </c>
      <c r="K193" s="542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2"/>
      <c r="AE193" s="493" t="str">
        <f ca="1">IF('CDO Bespoke'!C218&lt;&gt;"",'CDO Bespoke'!C218,"")</f>
        <v/>
      </c>
      <c r="AF193" s="495"/>
      <c r="AG193" s="583"/>
      <c r="AH193" s="583"/>
      <c r="AI193" s="583"/>
      <c r="AJ193" s="496"/>
      <c r="AK193" s="618"/>
      <c r="AL193" s="495"/>
      <c r="AM193" s="583"/>
      <c r="AN193" s="583"/>
      <c r="AO193" s="583"/>
      <c r="AP193" s="496"/>
      <c r="AQ193" s="618"/>
      <c r="AR193" s="505"/>
      <c r="AS193" s="629"/>
      <c r="AT193" s="618"/>
      <c r="AU193" s="505"/>
      <c r="AV193" s="581"/>
      <c r="AW193" s="618"/>
    </row>
    <row r="194" spans="2:49">
      <c r="B194" s="516" t="s">
        <v>564</v>
      </c>
      <c r="C194" s="517" t="s">
        <v>66</v>
      </c>
      <c r="D194" s="517" t="s">
        <v>57</v>
      </c>
      <c r="E194" s="517" t="s">
        <v>647</v>
      </c>
      <c r="F194" s="517" t="s">
        <v>668</v>
      </c>
      <c r="G194" s="524">
        <v>0.01</v>
      </c>
      <c r="H194" s="524">
        <v>2.627E-3</v>
      </c>
      <c r="I194" s="526">
        <v>0.4</v>
      </c>
      <c r="J194" s="592">
        <v>5</v>
      </c>
      <c r="K194" s="518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2"/>
      <c r="AE194" s="493" t="str">
        <f ca="1">IF('CDO Bespoke'!C219&lt;&gt;"",'CDO Bespoke'!C219,"")</f>
        <v/>
      </c>
      <c r="AF194" s="495"/>
      <c r="AG194" s="583"/>
      <c r="AH194" s="583"/>
      <c r="AI194" s="583"/>
      <c r="AJ194" s="496"/>
      <c r="AK194" s="618"/>
      <c r="AL194" s="495"/>
      <c r="AM194" s="583"/>
      <c r="AN194" s="583"/>
      <c r="AO194" s="583"/>
      <c r="AP194" s="496"/>
      <c r="AQ194" s="618"/>
      <c r="AR194" s="505"/>
      <c r="AS194" s="629"/>
      <c r="AT194" s="618"/>
      <c r="AU194" s="505"/>
      <c r="AV194" s="581"/>
      <c r="AW194" s="618"/>
    </row>
    <row r="195" spans="2:49">
      <c r="B195" s="533" t="s">
        <v>564</v>
      </c>
      <c r="C195" s="534" t="s">
        <v>66</v>
      </c>
      <c r="D195" s="534" t="s">
        <v>59</v>
      </c>
      <c r="E195" s="534" t="s">
        <v>647</v>
      </c>
      <c r="F195" s="534" t="s">
        <v>668</v>
      </c>
      <c r="G195" s="535">
        <v>0.01</v>
      </c>
      <c r="H195" s="535">
        <v>3.8070000000000001E-3</v>
      </c>
      <c r="I195" s="536">
        <v>0.4</v>
      </c>
      <c r="J195" s="593">
        <v>5</v>
      </c>
      <c r="K195" s="537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2"/>
      <c r="AE195" s="493" t="str">
        <f ca="1">IF('CDO Bespoke'!C220&lt;&gt;"",'CDO Bespoke'!C220,"")</f>
        <v/>
      </c>
      <c r="AF195" s="495"/>
      <c r="AG195" s="583"/>
      <c r="AH195" s="583"/>
      <c r="AI195" s="583"/>
      <c r="AJ195" s="496"/>
      <c r="AK195" s="618"/>
      <c r="AL195" s="495"/>
      <c r="AM195" s="583"/>
      <c r="AN195" s="583"/>
      <c r="AO195" s="583"/>
      <c r="AP195" s="496"/>
      <c r="AQ195" s="618"/>
      <c r="AR195" s="505"/>
      <c r="AS195" s="629"/>
      <c r="AT195" s="618"/>
      <c r="AU195" s="505"/>
      <c r="AV195" s="581"/>
      <c r="AW195" s="618"/>
    </row>
    <row r="196" spans="2:49">
      <c r="B196" s="538" t="s">
        <v>557</v>
      </c>
      <c r="C196" s="539" t="s">
        <v>66</v>
      </c>
      <c r="D196" s="539" t="s">
        <v>55</v>
      </c>
      <c r="E196" s="539" t="s">
        <v>647</v>
      </c>
      <c r="F196" s="539" t="s">
        <v>668</v>
      </c>
      <c r="G196" s="540">
        <v>0.01</v>
      </c>
      <c r="H196" s="540">
        <v>4.0590000000000001E-3</v>
      </c>
      <c r="I196" s="541">
        <v>0.4</v>
      </c>
      <c r="J196" s="600">
        <v>5</v>
      </c>
      <c r="K196" s="542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2"/>
      <c r="AE196" s="493" t="str">
        <f ca="1">IF('CDO Bespoke'!C221&lt;&gt;"",'CDO Bespoke'!C221,"")</f>
        <v/>
      </c>
      <c r="AF196" s="495"/>
      <c r="AG196" s="583"/>
      <c r="AH196" s="583"/>
      <c r="AI196" s="583"/>
      <c r="AJ196" s="496"/>
      <c r="AK196" s="618"/>
      <c r="AL196" s="495"/>
      <c r="AM196" s="583"/>
      <c r="AN196" s="583"/>
      <c r="AO196" s="583"/>
      <c r="AP196" s="496"/>
      <c r="AQ196" s="618"/>
      <c r="AR196" s="505"/>
      <c r="AS196" s="629"/>
      <c r="AT196" s="618"/>
      <c r="AU196" s="505"/>
      <c r="AV196" s="581"/>
      <c r="AW196" s="618"/>
    </row>
    <row r="197" spans="2:49">
      <c r="B197" s="516" t="s">
        <v>557</v>
      </c>
      <c r="C197" s="517" t="s">
        <v>66</v>
      </c>
      <c r="D197" s="517" t="s">
        <v>57</v>
      </c>
      <c r="E197" s="517" t="s">
        <v>647</v>
      </c>
      <c r="F197" s="517" t="s">
        <v>668</v>
      </c>
      <c r="G197" s="524">
        <v>0.01</v>
      </c>
      <c r="H197" s="524">
        <v>6.953E-3</v>
      </c>
      <c r="I197" s="526">
        <v>0.4</v>
      </c>
      <c r="J197" s="592">
        <v>5</v>
      </c>
      <c r="K197" s="518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2"/>
      <c r="AE197" s="493" t="str">
        <f ca="1">IF('CDO Bespoke'!C222&lt;&gt;"",'CDO Bespoke'!C222,"")</f>
        <v/>
      </c>
      <c r="AF197" s="495"/>
      <c r="AG197" s="583"/>
      <c r="AH197" s="583"/>
      <c r="AI197" s="583"/>
      <c r="AJ197" s="496"/>
      <c r="AK197" s="618"/>
      <c r="AL197" s="495"/>
      <c r="AM197" s="583"/>
      <c r="AN197" s="583"/>
      <c r="AO197" s="583"/>
      <c r="AP197" s="496"/>
      <c r="AQ197" s="618"/>
      <c r="AR197" s="505"/>
      <c r="AS197" s="629"/>
      <c r="AT197" s="618"/>
      <c r="AU197" s="505"/>
      <c r="AV197" s="581"/>
      <c r="AW197" s="618"/>
    </row>
    <row r="198" spans="2:49">
      <c r="B198" s="533" t="s">
        <v>557</v>
      </c>
      <c r="C198" s="534" t="s">
        <v>66</v>
      </c>
      <c r="D198" s="534" t="s">
        <v>59</v>
      </c>
      <c r="E198" s="534" t="s">
        <v>647</v>
      </c>
      <c r="F198" s="534" t="s">
        <v>668</v>
      </c>
      <c r="G198" s="535">
        <v>0.01</v>
      </c>
      <c r="H198" s="535">
        <v>1.0121E-2</v>
      </c>
      <c r="I198" s="536">
        <v>0.4</v>
      </c>
      <c r="J198" s="593">
        <v>5</v>
      </c>
      <c r="K198" s="537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2"/>
      <c r="AE198" s="493" t="str">
        <f ca="1">IF('CDO Bespoke'!C223&lt;&gt;"",'CDO Bespoke'!C223,"")</f>
        <v/>
      </c>
      <c r="AF198" s="495"/>
      <c r="AG198" s="583"/>
      <c r="AH198" s="583"/>
      <c r="AI198" s="583"/>
      <c r="AJ198" s="496"/>
      <c r="AK198" s="618"/>
      <c r="AL198" s="495"/>
      <c r="AM198" s="583"/>
      <c r="AN198" s="583"/>
      <c r="AO198" s="583"/>
      <c r="AP198" s="496"/>
      <c r="AQ198" s="618"/>
      <c r="AR198" s="505"/>
      <c r="AS198" s="629"/>
      <c r="AT198" s="618"/>
      <c r="AU198" s="505"/>
      <c r="AV198" s="581"/>
      <c r="AW198" s="618"/>
    </row>
    <row r="199" spans="2:49">
      <c r="B199" s="538" t="s">
        <v>558</v>
      </c>
      <c r="C199" s="539" t="s">
        <v>66</v>
      </c>
      <c r="D199" s="539" t="s">
        <v>55</v>
      </c>
      <c r="E199" s="539" t="s">
        <v>647</v>
      </c>
      <c r="F199" s="539" t="s">
        <v>668</v>
      </c>
      <c r="G199" s="540">
        <v>0.01</v>
      </c>
      <c r="H199" s="540">
        <v>3.114E-3</v>
      </c>
      <c r="I199" s="541">
        <v>0.4</v>
      </c>
      <c r="J199" s="600">
        <v>5</v>
      </c>
      <c r="K199" s="542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2"/>
      <c r="AE199" s="493" t="str">
        <f ca="1">IF('CDO Bespoke'!C224&lt;&gt;"",'CDO Bespoke'!C224,"")</f>
        <v/>
      </c>
      <c r="AF199" s="495"/>
      <c r="AG199" s="583"/>
      <c r="AH199" s="583"/>
      <c r="AI199" s="583"/>
      <c r="AJ199" s="496"/>
      <c r="AK199" s="618"/>
      <c r="AL199" s="495"/>
      <c r="AM199" s="583"/>
      <c r="AN199" s="583"/>
      <c r="AO199" s="583"/>
      <c r="AP199" s="496"/>
      <c r="AQ199" s="618"/>
      <c r="AR199" s="505"/>
      <c r="AS199" s="629"/>
      <c r="AT199" s="618"/>
      <c r="AU199" s="505"/>
      <c r="AV199" s="581"/>
      <c r="AW199" s="618"/>
    </row>
    <row r="200" spans="2:49">
      <c r="B200" s="516" t="s">
        <v>558</v>
      </c>
      <c r="C200" s="517" t="s">
        <v>66</v>
      </c>
      <c r="D200" s="517" t="s">
        <v>57</v>
      </c>
      <c r="E200" s="517" t="s">
        <v>647</v>
      </c>
      <c r="F200" s="517" t="s">
        <v>668</v>
      </c>
      <c r="G200" s="524">
        <v>0.01</v>
      </c>
      <c r="H200" s="524">
        <v>5.1929999999999997E-3</v>
      </c>
      <c r="I200" s="526">
        <v>0.4</v>
      </c>
      <c r="J200" s="592">
        <v>5</v>
      </c>
      <c r="K200" s="518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2"/>
      <c r="AE200" s="493" t="str">
        <f ca="1">IF('CDO Bespoke'!C225&lt;&gt;"",'CDO Bespoke'!C225,"")</f>
        <v/>
      </c>
      <c r="AF200" s="495"/>
      <c r="AG200" s="583"/>
      <c r="AH200" s="583"/>
      <c r="AI200" s="583"/>
      <c r="AJ200" s="496"/>
      <c r="AK200" s="618"/>
      <c r="AL200" s="495"/>
      <c r="AM200" s="583"/>
      <c r="AN200" s="583"/>
      <c r="AO200" s="583"/>
      <c r="AP200" s="496"/>
      <c r="AQ200" s="618"/>
      <c r="AR200" s="505"/>
      <c r="AS200" s="629"/>
      <c r="AT200" s="618"/>
      <c r="AU200" s="505"/>
      <c r="AV200" s="581"/>
      <c r="AW200" s="618"/>
    </row>
    <row r="201" spans="2:49">
      <c r="B201" s="533" t="s">
        <v>558</v>
      </c>
      <c r="C201" s="534" t="s">
        <v>66</v>
      </c>
      <c r="D201" s="534" t="s">
        <v>59</v>
      </c>
      <c r="E201" s="534" t="s">
        <v>647</v>
      </c>
      <c r="F201" s="534" t="s">
        <v>668</v>
      </c>
      <c r="G201" s="535">
        <v>0.01</v>
      </c>
      <c r="H201" s="535">
        <v>7.737E-3</v>
      </c>
      <c r="I201" s="536">
        <v>0.4</v>
      </c>
      <c r="J201" s="593">
        <v>5</v>
      </c>
      <c r="K201" s="537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2"/>
      <c r="AE201" s="493" t="str">
        <f ca="1">IF('CDO Bespoke'!C226&lt;&gt;"",'CDO Bespoke'!C226,"")</f>
        <v/>
      </c>
      <c r="AF201" s="495"/>
      <c r="AG201" s="583"/>
      <c r="AH201" s="583"/>
      <c r="AI201" s="583"/>
      <c r="AJ201" s="496"/>
      <c r="AK201" s="618"/>
      <c r="AL201" s="495"/>
      <c r="AM201" s="583"/>
      <c r="AN201" s="583"/>
      <c r="AO201" s="583"/>
      <c r="AP201" s="496"/>
      <c r="AQ201" s="618"/>
      <c r="AR201" s="505"/>
      <c r="AS201" s="629"/>
      <c r="AT201" s="618"/>
      <c r="AU201" s="505"/>
      <c r="AV201" s="581"/>
      <c r="AW201" s="618"/>
    </row>
    <row r="202" spans="2:49">
      <c r="B202" s="538" t="s">
        <v>559</v>
      </c>
      <c r="C202" s="539" t="s">
        <v>66</v>
      </c>
      <c r="D202" s="539" t="s">
        <v>55</v>
      </c>
      <c r="E202" s="539" t="s">
        <v>645</v>
      </c>
      <c r="F202" s="539" t="s">
        <v>668</v>
      </c>
      <c r="G202" s="540">
        <v>0.01</v>
      </c>
      <c r="H202" s="540">
        <v>1.8439999999999999E-3</v>
      </c>
      <c r="I202" s="541">
        <v>0.4</v>
      </c>
      <c r="J202" s="600">
        <v>5</v>
      </c>
      <c r="K202" s="542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2"/>
      <c r="AE202" s="493" t="str">
        <f ca="1">IF('CDO Bespoke'!C227&lt;&gt;"",'CDO Bespoke'!C227,"")</f>
        <v/>
      </c>
      <c r="AF202" s="495"/>
      <c r="AG202" s="583"/>
      <c r="AH202" s="583"/>
      <c r="AI202" s="583"/>
      <c r="AJ202" s="496"/>
      <c r="AK202" s="618"/>
      <c r="AL202" s="495"/>
      <c r="AM202" s="583"/>
      <c r="AN202" s="583"/>
      <c r="AO202" s="583"/>
      <c r="AP202" s="496"/>
      <c r="AQ202" s="618"/>
      <c r="AR202" s="505"/>
      <c r="AS202" s="629"/>
      <c r="AT202" s="618"/>
      <c r="AU202" s="505"/>
      <c r="AV202" s="581"/>
      <c r="AW202" s="618"/>
    </row>
    <row r="203" spans="2:49">
      <c r="B203" s="516" t="s">
        <v>559</v>
      </c>
      <c r="C203" s="517" t="s">
        <v>66</v>
      </c>
      <c r="D203" s="517" t="s">
        <v>57</v>
      </c>
      <c r="E203" s="517" t="s">
        <v>645</v>
      </c>
      <c r="F203" s="517" t="s">
        <v>668</v>
      </c>
      <c r="G203" s="524">
        <v>0.01</v>
      </c>
      <c r="H203" s="524">
        <v>2.6050000000000001E-3</v>
      </c>
      <c r="I203" s="526">
        <v>0.4</v>
      </c>
      <c r="J203" s="592">
        <v>5</v>
      </c>
      <c r="K203" s="518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2"/>
      <c r="AE203" s="493" t="str">
        <f ca="1">IF('CDO Bespoke'!C228&lt;&gt;"",'CDO Bespoke'!C228,"")</f>
        <v/>
      </c>
      <c r="AF203" s="495"/>
      <c r="AG203" s="583"/>
      <c r="AH203" s="583"/>
      <c r="AI203" s="583"/>
      <c r="AJ203" s="496"/>
      <c r="AK203" s="618"/>
      <c r="AL203" s="495"/>
      <c r="AM203" s="583"/>
      <c r="AN203" s="583"/>
      <c r="AO203" s="583"/>
      <c r="AP203" s="496"/>
      <c r="AQ203" s="618"/>
      <c r="AR203" s="505"/>
      <c r="AS203" s="629"/>
      <c r="AT203" s="618"/>
      <c r="AU203" s="505"/>
      <c r="AV203" s="581"/>
      <c r="AW203" s="618"/>
    </row>
    <row r="204" spans="2:49">
      <c r="B204" s="533" t="s">
        <v>559</v>
      </c>
      <c r="C204" s="534" t="s">
        <v>66</v>
      </c>
      <c r="D204" s="534" t="s">
        <v>59</v>
      </c>
      <c r="E204" s="534" t="s">
        <v>645</v>
      </c>
      <c r="F204" s="534" t="s">
        <v>668</v>
      </c>
      <c r="G204" s="535">
        <v>0.01</v>
      </c>
      <c r="H204" s="535">
        <v>3.6050000000000001E-3</v>
      </c>
      <c r="I204" s="536">
        <v>0.4</v>
      </c>
      <c r="J204" s="593">
        <v>5</v>
      </c>
      <c r="K204" s="537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2"/>
      <c r="AE204" s="493" t="str">
        <f ca="1">IF('CDO Bespoke'!C229&lt;&gt;"",'CDO Bespoke'!C229,"")</f>
        <v/>
      </c>
      <c r="AF204" s="495"/>
      <c r="AG204" s="583"/>
      <c r="AH204" s="583"/>
      <c r="AI204" s="583"/>
      <c r="AJ204" s="496"/>
      <c r="AK204" s="618"/>
      <c r="AL204" s="495"/>
      <c r="AM204" s="583"/>
      <c r="AN204" s="583"/>
      <c r="AO204" s="583"/>
      <c r="AP204" s="496"/>
      <c r="AQ204" s="618"/>
      <c r="AR204" s="505"/>
      <c r="AS204" s="629"/>
      <c r="AT204" s="618"/>
      <c r="AU204" s="505"/>
      <c r="AV204" s="581"/>
      <c r="AW204" s="618"/>
    </row>
    <row r="205" spans="2:49">
      <c r="B205" s="538" t="s">
        <v>565</v>
      </c>
      <c r="C205" s="539" t="s">
        <v>66</v>
      </c>
      <c r="D205" s="539" t="s">
        <v>55</v>
      </c>
      <c r="E205" s="539" t="s">
        <v>645</v>
      </c>
      <c r="F205" s="539" t="s">
        <v>650</v>
      </c>
      <c r="G205" s="540">
        <v>0.01</v>
      </c>
      <c r="H205" s="540">
        <v>2.9399999999999999E-3</v>
      </c>
      <c r="I205" s="541">
        <v>0.4</v>
      </c>
      <c r="J205" s="600">
        <v>4</v>
      </c>
      <c r="K205" s="542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2"/>
      <c r="AE205" s="493" t="str">
        <f ca="1">IF('CDO Bespoke'!C230&lt;&gt;"",'CDO Bespoke'!C230,"")</f>
        <v/>
      </c>
      <c r="AF205" s="495"/>
      <c r="AG205" s="583"/>
      <c r="AH205" s="583"/>
      <c r="AI205" s="583"/>
      <c r="AJ205" s="496"/>
      <c r="AK205" s="618"/>
      <c r="AL205" s="495"/>
      <c r="AM205" s="583"/>
      <c r="AN205" s="583"/>
      <c r="AO205" s="583"/>
      <c r="AP205" s="496"/>
      <c r="AQ205" s="618"/>
      <c r="AR205" s="505"/>
      <c r="AS205" s="629"/>
      <c r="AT205" s="618"/>
      <c r="AU205" s="505"/>
      <c r="AV205" s="581"/>
      <c r="AW205" s="618"/>
    </row>
    <row r="206" spans="2:49">
      <c r="B206" s="516" t="s">
        <v>565</v>
      </c>
      <c r="C206" s="517" t="s">
        <v>66</v>
      </c>
      <c r="D206" s="517" t="s">
        <v>57</v>
      </c>
      <c r="E206" s="517" t="s">
        <v>645</v>
      </c>
      <c r="F206" s="517" t="s">
        <v>650</v>
      </c>
      <c r="G206" s="524">
        <v>0.01</v>
      </c>
      <c r="H206" s="524">
        <v>5.1380000000000002E-3</v>
      </c>
      <c r="I206" s="526">
        <v>0.4</v>
      </c>
      <c r="J206" s="592">
        <v>4</v>
      </c>
      <c r="K206" s="518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2"/>
      <c r="AE206" s="493" t="str">
        <f ca="1">IF('CDO Bespoke'!C231&lt;&gt;"",'CDO Bespoke'!C231,"")</f>
        <v/>
      </c>
      <c r="AF206" s="495"/>
      <c r="AG206" s="583"/>
      <c r="AH206" s="583"/>
      <c r="AI206" s="583"/>
      <c r="AJ206" s="496"/>
      <c r="AK206" s="618"/>
      <c r="AL206" s="495"/>
      <c r="AM206" s="583"/>
      <c r="AN206" s="583"/>
      <c r="AO206" s="583"/>
      <c r="AP206" s="496"/>
      <c r="AQ206" s="618"/>
      <c r="AR206" s="505"/>
      <c r="AS206" s="629"/>
      <c r="AT206" s="618"/>
      <c r="AU206" s="505"/>
      <c r="AV206" s="581"/>
      <c r="AW206" s="618"/>
    </row>
    <row r="207" spans="2:49">
      <c r="B207" s="533" t="s">
        <v>565</v>
      </c>
      <c r="C207" s="534" t="s">
        <v>66</v>
      </c>
      <c r="D207" s="534" t="s">
        <v>59</v>
      </c>
      <c r="E207" s="534" t="s">
        <v>645</v>
      </c>
      <c r="F207" s="534" t="s">
        <v>650</v>
      </c>
      <c r="G207" s="535">
        <v>0.01</v>
      </c>
      <c r="H207" s="535">
        <v>7.4939999999999998E-3</v>
      </c>
      <c r="I207" s="536">
        <v>0.4</v>
      </c>
      <c r="J207" s="593">
        <v>4</v>
      </c>
      <c r="K207" s="537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2"/>
      <c r="AE207" s="493" t="str">
        <f ca="1">IF('CDO Bespoke'!C232&lt;&gt;"",'CDO Bespoke'!C232,"")</f>
        <v/>
      </c>
      <c r="AF207" s="495"/>
      <c r="AG207" s="583"/>
      <c r="AH207" s="583"/>
      <c r="AI207" s="583"/>
      <c r="AJ207" s="496"/>
      <c r="AK207" s="618"/>
      <c r="AL207" s="495"/>
      <c r="AM207" s="583"/>
      <c r="AN207" s="583"/>
      <c r="AO207" s="583"/>
      <c r="AP207" s="496"/>
      <c r="AQ207" s="618"/>
      <c r="AR207" s="505"/>
      <c r="AS207" s="629"/>
      <c r="AT207" s="618"/>
      <c r="AU207" s="505"/>
      <c r="AV207" s="581"/>
      <c r="AW207" s="618"/>
    </row>
    <row r="208" spans="2:49">
      <c r="B208" s="538" t="s">
        <v>566</v>
      </c>
      <c r="C208" s="539" t="s">
        <v>66</v>
      </c>
      <c r="D208" s="539" t="s">
        <v>55</v>
      </c>
      <c r="E208" s="539" t="s">
        <v>647</v>
      </c>
      <c r="F208" s="539" t="s">
        <v>651</v>
      </c>
      <c r="G208" s="540">
        <v>0.01</v>
      </c>
      <c r="H208" s="540">
        <v>3.604E-3</v>
      </c>
      <c r="I208" s="541">
        <v>0.4</v>
      </c>
      <c r="J208" s="600">
        <v>7</v>
      </c>
      <c r="K208" s="542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2"/>
      <c r="AE208" s="493" t="str">
        <f ca="1">IF('CDO Bespoke'!C233&lt;&gt;"",'CDO Bespoke'!C233,"")</f>
        <v/>
      </c>
      <c r="AF208" s="495"/>
      <c r="AG208" s="583"/>
      <c r="AH208" s="583"/>
      <c r="AI208" s="583"/>
      <c r="AJ208" s="496"/>
      <c r="AK208" s="618"/>
      <c r="AL208" s="495"/>
      <c r="AM208" s="583"/>
      <c r="AN208" s="583"/>
      <c r="AO208" s="583"/>
      <c r="AP208" s="496"/>
      <c r="AQ208" s="618"/>
      <c r="AR208" s="505"/>
      <c r="AS208" s="629"/>
      <c r="AT208" s="618"/>
      <c r="AU208" s="505"/>
      <c r="AV208" s="581"/>
      <c r="AW208" s="618"/>
    </row>
    <row r="209" spans="2:49">
      <c r="B209" s="516" t="s">
        <v>566</v>
      </c>
      <c r="C209" s="517" t="s">
        <v>66</v>
      </c>
      <c r="D209" s="517" t="s">
        <v>57</v>
      </c>
      <c r="E209" s="517" t="s">
        <v>647</v>
      </c>
      <c r="F209" s="517" t="s">
        <v>651</v>
      </c>
      <c r="G209" s="524">
        <v>0.01</v>
      </c>
      <c r="H209" s="524">
        <v>6.306E-3</v>
      </c>
      <c r="I209" s="526">
        <v>0.4</v>
      </c>
      <c r="J209" s="592">
        <v>7</v>
      </c>
      <c r="K209" s="518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2"/>
      <c r="AE209" s="493" t="str">
        <f ca="1">IF('CDO Bespoke'!C234&lt;&gt;"",'CDO Bespoke'!C234,"")</f>
        <v/>
      </c>
      <c r="AF209" s="495"/>
      <c r="AG209" s="583"/>
      <c r="AH209" s="583"/>
      <c r="AI209" s="583"/>
      <c r="AJ209" s="496"/>
      <c r="AK209" s="618"/>
      <c r="AL209" s="495"/>
      <c r="AM209" s="583"/>
      <c r="AN209" s="583"/>
      <c r="AO209" s="583"/>
      <c r="AP209" s="496"/>
      <c r="AQ209" s="618"/>
      <c r="AR209" s="505"/>
      <c r="AS209" s="629"/>
      <c r="AT209" s="618"/>
      <c r="AU209" s="505"/>
      <c r="AV209" s="581"/>
      <c r="AW209" s="618"/>
    </row>
    <row r="210" spans="2:49">
      <c r="B210" s="533" t="s">
        <v>566</v>
      </c>
      <c r="C210" s="534" t="s">
        <v>66</v>
      </c>
      <c r="D210" s="534" t="s">
        <v>59</v>
      </c>
      <c r="E210" s="534" t="s">
        <v>647</v>
      </c>
      <c r="F210" s="534" t="s">
        <v>651</v>
      </c>
      <c r="G210" s="535">
        <v>0.01</v>
      </c>
      <c r="H210" s="535">
        <v>9.0629999999999999E-3</v>
      </c>
      <c r="I210" s="536">
        <v>0.4</v>
      </c>
      <c r="J210" s="593">
        <v>7</v>
      </c>
      <c r="K210" s="537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2"/>
      <c r="AE210" s="493" t="str">
        <f ca="1">IF('CDO Bespoke'!C235&lt;&gt;"",'CDO Bespoke'!C235,"")</f>
        <v/>
      </c>
      <c r="AF210" s="495"/>
      <c r="AG210" s="583"/>
      <c r="AH210" s="583"/>
      <c r="AI210" s="583"/>
      <c r="AJ210" s="496"/>
      <c r="AK210" s="618"/>
      <c r="AL210" s="495"/>
      <c r="AM210" s="583"/>
      <c r="AN210" s="583"/>
      <c r="AO210" s="583"/>
      <c r="AP210" s="496"/>
      <c r="AQ210" s="618"/>
      <c r="AR210" s="505"/>
      <c r="AS210" s="629"/>
      <c r="AT210" s="618"/>
      <c r="AU210" s="505"/>
      <c r="AV210" s="581"/>
      <c r="AW210" s="618"/>
    </row>
    <row r="211" spans="2:49">
      <c r="B211" s="538" t="s">
        <v>576</v>
      </c>
      <c r="C211" s="539" t="s">
        <v>66</v>
      </c>
      <c r="D211" s="539" t="s">
        <v>55</v>
      </c>
      <c r="E211" s="539" t="s">
        <v>647</v>
      </c>
      <c r="F211" s="539" t="s">
        <v>651</v>
      </c>
      <c r="G211" s="540">
        <v>0.01</v>
      </c>
      <c r="H211" s="540">
        <v>2.4229999999999998E-3</v>
      </c>
      <c r="I211" s="541">
        <v>0.4</v>
      </c>
      <c r="J211" s="600">
        <v>7</v>
      </c>
      <c r="K211" s="542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2"/>
      <c r="AE211" s="493" t="str">
        <f ca="1">IF('CDO Bespoke'!C236&lt;&gt;"",'CDO Bespoke'!C236,"")</f>
        <v/>
      </c>
      <c r="AF211" s="495"/>
      <c r="AG211" s="583"/>
      <c r="AH211" s="583"/>
      <c r="AI211" s="583"/>
      <c r="AJ211" s="496"/>
      <c r="AK211" s="618"/>
      <c r="AL211" s="495"/>
      <c r="AM211" s="583"/>
      <c r="AN211" s="583"/>
      <c r="AO211" s="583"/>
      <c r="AP211" s="496"/>
      <c r="AQ211" s="618"/>
      <c r="AR211" s="505"/>
      <c r="AS211" s="629"/>
      <c r="AT211" s="618"/>
      <c r="AU211" s="505"/>
      <c r="AV211" s="581"/>
      <c r="AW211" s="618"/>
    </row>
    <row r="212" spans="2:49">
      <c r="B212" s="516" t="s">
        <v>576</v>
      </c>
      <c r="C212" s="517" t="s">
        <v>66</v>
      </c>
      <c r="D212" s="517" t="s">
        <v>57</v>
      </c>
      <c r="E212" s="517" t="s">
        <v>647</v>
      </c>
      <c r="F212" s="517" t="s">
        <v>651</v>
      </c>
      <c r="G212" s="524">
        <v>0.01</v>
      </c>
      <c r="H212" s="524">
        <v>3.9830000000000004E-3</v>
      </c>
      <c r="I212" s="526">
        <v>0.4</v>
      </c>
      <c r="J212" s="592">
        <v>7</v>
      </c>
      <c r="K212" s="518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2"/>
      <c r="AE212" s="493" t="str">
        <f ca="1">IF('CDO Bespoke'!C237&lt;&gt;"",'CDO Bespoke'!C237,"")</f>
        <v/>
      </c>
      <c r="AF212" s="495"/>
      <c r="AG212" s="583"/>
      <c r="AH212" s="583"/>
      <c r="AI212" s="583"/>
      <c r="AJ212" s="496"/>
      <c r="AK212" s="618"/>
      <c r="AL212" s="495"/>
      <c r="AM212" s="583"/>
      <c r="AN212" s="583"/>
      <c r="AO212" s="583"/>
      <c r="AP212" s="496"/>
      <c r="AQ212" s="618"/>
      <c r="AR212" s="505"/>
      <c r="AS212" s="629"/>
      <c r="AT212" s="618"/>
      <c r="AU212" s="505"/>
      <c r="AV212" s="581"/>
      <c r="AW212" s="618"/>
    </row>
    <row r="213" spans="2:49">
      <c r="B213" s="533" t="s">
        <v>576</v>
      </c>
      <c r="C213" s="534" t="s">
        <v>66</v>
      </c>
      <c r="D213" s="534" t="s">
        <v>59</v>
      </c>
      <c r="E213" s="534" t="s">
        <v>647</v>
      </c>
      <c r="F213" s="534" t="s">
        <v>651</v>
      </c>
      <c r="G213" s="535">
        <v>0.01</v>
      </c>
      <c r="H213" s="535">
        <v>6.0039999999999998E-3</v>
      </c>
      <c r="I213" s="536">
        <v>0.4</v>
      </c>
      <c r="J213" s="593">
        <v>7</v>
      </c>
      <c r="K213" s="537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2"/>
      <c r="AE213" s="493" t="str">
        <f ca="1">IF('CDO Bespoke'!C238&lt;&gt;"",'CDO Bespoke'!C238,"")</f>
        <v/>
      </c>
      <c r="AF213" s="495"/>
      <c r="AG213" s="583"/>
      <c r="AH213" s="583"/>
      <c r="AI213" s="583"/>
      <c r="AJ213" s="496"/>
      <c r="AK213" s="618"/>
      <c r="AL213" s="495"/>
      <c r="AM213" s="583"/>
      <c r="AN213" s="583"/>
      <c r="AO213" s="583"/>
      <c r="AP213" s="496"/>
      <c r="AQ213" s="618"/>
      <c r="AR213" s="505"/>
      <c r="AS213" s="629"/>
      <c r="AT213" s="618"/>
      <c r="AU213" s="505"/>
      <c r="AV213" s="581"/>
      <c r="AW213" s="618"/>
    </row>
    <row r="214" spans="2:49">
      <c r="B214" s="538" t="s">
        <v>614</v>
      </c>
      <c r="C214" s="539" t="s">
        <v>66</v>
      </c>
      <c r="D214" s="539" t="s">
        <v>55</v>
      </c>
      <c r="E214" s="539" t="s">
        <v>647</v>
      </c>
      <c r="F214" s="539" t="s">
        <v>651</v>
      </c>
      <c r="G214" s="540">
        <v>0.01</v>
      </c>
      <c r="H214" s="540">
        <v>4.1190000000000003E-3</v>
      </c>
      <c r="I214" s="541">
        <v>0.4</v>
      </c>
      <c r="J214" s="600">
        <v>7</v>
      </c>
      <c r="K214" s="542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2"/>
      <c r="AE214" s="493" t="str">
        <f ca="1">IF('CDO Bespoke'!C239&lt;&gt;"",'CDO Bespoke'!C239,"")</f>
        <v/>
      </c>
      <c r="AF214" s="495"/>
      <c r="AG214" s="583"/>
      <c r="AH214" s="583"/>
      <c r="AI214" s="583"/>
      <c r="AJ214" s="496"/>
      <c r="AK214" s="618"/>
      <c r="AL214" s="495"/>
      <c r="AM214" s="583"/>
      <c r="AN214" s="583"/>
      <c r="AO214" s="583"/>
      <c r="AP214" s="496"/>
      <c r="AQ214" s="618"/>
      <c r="AR214" s="505"/>
      <c r="AS214" s="629"/>
      <c r="AT214" s="618"/>
      <c r="AU214" s="505"/>
      <c r="AV214" s="581"/>
      <c r="AW214" s="618"/>
    </row>
    <row r="215" spans="2:49">
      <c r="B215" s="516" t="s">
        <v>614</v>
      </c>
      <c r="C215" s="517" t="s">
        <v>66</v>
      </c>
      <c r="D215" s="517" t="s">
        <v>57</v>
      </c>
      <c r="E215" s="517" t="s">
        <v>647</v>
      </c>
      <c r="F215" s="517" t="s">
        <v>651</v>
      </c>
      <c r="G215" s="524">
        <v>0.01</v>
      </c>
      <c r="H215" s="524">
        <v>6.1469999999999997E-3</v>
      </c>
      <c r="I215" s="526">
        <v>0.4</v>
      </c>
      <c r="J215" s="592">
        <v>7</v>
      </c>
      <c r="K215" s="518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2"/>
      <c r="AE215" s="493" t="str">
        <f ca="1">IF('CDO Bespoke'!C240&lt;&gt;"",'CDO Bespoke'!C240,"")</f>
        <v/>
      </c>
      <c r="AF215" s="495"/>
      <c r="AG215" s="583"/>
      <c r="AH215" s="583"/>
      <c r="AI215" s="583"/>
      <c r="AJ215" s="496"/>
      <c r="AK215" s="618"/>
      <c r="AL215" s="495"/>
      <c r="AM215" s="583"/>
      <c r="AN215" s="583"/>
      <c r="AO215" s="583"/>
      <c r="AP215" s="496"/>
      <c r="AQ215" s="618"/>
      <c r="AR215" s="505"/>
      <c r="AS215" s="629"/>
      <c r="AT215" s="618"/>
      <c r="AU215" s="505"/>
      <c r="AV215" s="581"/>
      <c r="AW215" s="618"/>
    </row>
    <row r="216" spans="2:49">
      <c r="B216" s="533" t="s">
        <v>614</v>
      </c>
      <c r="C216" s="534" t="s">
        <v>66</v>
      </c>
      <c r="D216" s="534" t="s">
        <v>59</v>
      </c>
      <c r="E216" s="534" t="s">
        <v>647</v>
      </c>
      <c r="F216" s="534" t="s">
        <v>651</v>
      </c>
      <c r="G216" s="535">
        <v>0.01</v>
      </c>
      <c r="H216" s="535">
        <v>8.4799999999999997E-3</v>
      </c>
      <c r="I216" s="536">
        <v>0.4</v>
      </c>
      <c r="J216" s="593">
        <v>7</v>
      </c>
      <c r="K216" s="537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2"/>
      <c r="AE216" s="493" t="str">
        <f ca="1">IF('CDO Bespoke'!C241&lt;&gt;"",'CDO Bespoke'!C241,"")</f>
        <v/>
      </c>
      <c r="AF216" s="495"/>
      <c r="AG216" s="583"/>
      <c r="AH216" s="583"/>
      <c r="AI216" s="583"/>
      <c r="AJ216" s="496"/>
      <c r="AK216" s="618"/>
      <c r="AL216" s="495"/>
      <c r="AM216" s="583"/>
      <c r="AN216" s="583"/>
      <c r="AO216" s="583"/>
      <c r="AP216" s="496"/>
      <c r="AQ216" s="618"/>
      <c r="AR216" s="505"/>
      <c r="AS216" s="629"/>
      <c r="AT216" s="618"/>
      <c r="AU216" s="505"/>
      <c r="AV216" s="581"/>
      <c r="AW216" s="618"/>
    </row>
    <row r="217" spans="2:49">
      <c r="B217" s="538" t="s">
        <v>567</v>
      </c>
      <c r="C217" s="539" t="s">
        <v>66</v>
      </c>
      <c r="D217" s="539" t="s">
        <v>55</v>
      </c>
      <c r="E217" s="539" t="s">
        <v>647</v>
      </c>
      <c r="F217" s="539" t="s">
        <v>651</v>
      </c>
      <c r="G217" s="540">
        <v>0.01</v>
      </c>
      <c r="H217" s="540">
        <v>4.1130000000000003E-3</v>
      </c>
      <c r="I217" s="541">
        <v>0.4</v>
      </c>
      <c r="J217" s="600">
        <v>7</v>
      </c>
      <c r="K217" s="542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2"/>
      <c r="AE217" s="493" t="str">
        <f ca="1">IF('CDO Bespoke'!C242&lt;&gt;"",'CDO Bespoke'!C242,"")</f>
        <v/>
      </c>
      <c r="AF217" s="495"/>
      <c r="AG217" s="583"/>
      <c r="AH217" s="583"/>
      <c r="AI217" s="583"/>
      <c r="AJ217" s="496"/>
      <c r="AK217" s="618"/>
      <c r="AL217" s="495"/>
      <c r="AM217" s="583"/>
      <c r="AN217" s="583"/>
      <c r="AO217" s="583"/>
      <c r="AP217" s="496"/>
      <c r="AQ217" s="618"/>
      <c r="AR217" s="505"/>
      <c r="AS217" s="629"/>
      <c r="AT217" s="618"/>
      <c r="AU217" s="505"/>
      <c r="AV217" s="581"/>
      <c r="AW217" s="618"/>
    </row>
    <row r="218" spans="2:49">
      <c r="B218" s="516" t="s">
        <v>567</v>
      </c>
      <c r="C218" s="517" t="s">
        <v>66</v>
      </c>
      <c r="D218" s="517" t="s">
        <v>57</v>
      </c>
      <c r="E218" s="517" t="s">
        <v>647</v>
      </c>
      <c r="F218" s="517" t="s">
        <v>651</v>
      </c>
      <c r="G218" s="524">
        <v>0.01</v>
      </c>
      <c r="H218" s="524">
        <v>6.5919999999999998E-3</v>
      </c>
      <c r="I218" s="526">
        <v>0.4</v>
      </c>
      <c r="J218" s="592">
        <v>7</v>
      </c>
      <c r="K218" s="518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2"/>
      <c r="AE218" s="493" t="str">
        <f ca="1">IF('CDO Bespoke'!C243&lt;&gt;"",'CDO Bespoke'!C243,"")</f>
        <v/>
      </c>
      <c r="AF218" s="495"/>
      <c r="AG218" s="583"/>
      <c r="AH218" s="583"/>
      <c r="AI218" s="583"/>
      <c r="AJ218" s="496"/>
      <c r="AK218" s="618"/>
      <c r="AL218" s="495"/>
      <c r="AM218" s="583"/>
      <c r="AN218" s="583"/>
      <c r="AO218" s="583"/>
      <c r="AP218" s="496"/>
      <c r="AQ218" s="618"/>
      <c r="AR218" s="505"/>
      <c r="AS218" s="629"/>
      <c r="AT218" s="618"/>
      <c r="AU218" s="505"/>
      <c r="AV218" s="581"/>
      <c r="AW218" s="618"/>
    </row>
    <row r="219" spans="2:49">
      <c r="B219" s="533" t="s">
        <v>567</v>
      </c>
      <c r="C219" s="534" t="s">
        <v>66</v>
      </c>
      <c r="D219" s="534" t="s">
        <v>59</v>
      </c>
      <c r="E219" s="534" t="s">
        <v>647</v>
      </c>
      <c r="F219" s="534" t="s">
        <v>651</v>
      </c>
      <c r="G219" s="535">
        <v>0.01</v>
      </c>
      <c r="H219" s="535">
        <v>9.4090000000000007E-3</v>
      </c>
      <c r="I219" s="536">
        <v>0.4</v>
      </c>
      <c r="J219" s="593">
        <v>7</v>
      </c>
      <c r="K219" s="537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2"/>
      <c r="AE219" s="493" t="str">
        <f ca="1">IF('CDO Bespoke'!C244&lt;&gt;"",'CDO Bespoke'!C244,"")</f>
        <v/>
      </c>
      <c r="AF219" s="495"/>
      <c r="AG219" s="583"/>
      <c r="AH219" s="583"/>
      <c r="AI219" s="583"/>
      <c r="AJ219" s="496"/>
      <c r="AK219" s="618"/>
      <c r="AL219" s="495"/>
      <c r="AM219" s="583"/>
      <c r="AN219" s="583"/>
      <c r="AO219" s="583"/>
      <c r="AP219" s="496"/>
      <c r="AQ219" s="618"/>
      <c r="AR219" s="505"/>
      <c r="AS219" s="629"/>
      <c r="AT219" s="618"/>
      <c r="AU219" s="505"/>
      <c r="AV219" s="581"/>
      <c r="AW219" s="618"/>
    </row>
    <row r="220" spans="2:49">
      <c r="B220" s="538" t="s">
        <v>577</v>
      </c>
      <c r="C220" s="539" t="s">
        <v>66</v>
      </c>
      <c r="D220" s="539" t="s">
        <v>55</v>
      </c>
      <c r="E220" s="539" t="s">
        <v>647</v>
      </c>
      <c r="F220" s="539" t="s">
        <v>651</v>
      </c>
      <c r="G220" s="540">
        <v>0.01</v>
      </c>
      <c r="H220" s="540">
        <v>3.3249999999999998E-3</v>
      </c>
      <c r="I220" s="541">
        <v>0.4</v>
      </c>
      <c r="J220" s="600">
        <v>7</v>
      </c>
      <c r="K220" s="542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2"/>
      <c r="AE220" s="493" t="str">
        <f ca="1">IF('CDO Bespoke'!C245&lt;&gt;"",'CDO Bespoke'!C245,"")</f>
        <v/>
      </c>
      <c r="AF220" s="495"/>
      <c r="AG220" s="583"/>
      <c r="AH220" s="583"/>
      <c r="AI220" s="583"/>
      <c r="AJ220" s="496"/>
      <c r="AK220" s="618"/>
      <c r="AL220" s="495"/>
      <c r="AM220" s="583"/>
      <c r="AN220" s="583"/>
      <c r="AO220" s="583"/>
      <c r="AP220" s="496"/>
      <c r="AQ220" s="618"/>
      <c r="AR220" s="505"/>
      <c r="AS220" s="629"/>
      <c r="AT220" s="618"/>
      <c r="AU220" s="505"/>
      <c r="AV220" s="581"/>
      <c r="AW220" s="618"/>
    </row>
    <row r="221" spans="2:49">
      <c r="B221" s="516" t="s">
        <v>577</v>
      </c>
      <c r="C221" s="517" t="s">
        <v>66</v>
      </c>
      <c r="D221" s="517" t="s">
        <v>57</v>
      </c>
      <c r="E221" s="517" t="s">
        <v>647</v>
      </c>
      <c r="F221" s="517" t="s">
        <v>651</v>
      </c>
      <c r="G221" s="524">
        <v>0.01</v>
      </c>
      <c r="H221" s="524">
        <v>6.195E-3</v>
      </c>
      <c r="I221" s="526">
        <v>0.4</v>
      </c>
      <c r="J221" s="592">
        <v>7</v>
      </c>
      <c r="K221" s="518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2"/>
      <c r="AE221" s="493" t="str">
        <f ca="1">IF('CDO Bespoke'!C246&lt;&gt;"",'CDO Bespoke'!C246,"")</f>
        <v/>
      </c>
      <c r="AF221" s="495"/>
      <c r="AG221" s="583"/>
      <c r="AH221" s="583"/>
      <c r="AI221" s="583"/>
      <c r="AJ221" s="496"/>
      <c r="AK221" s="618"/>
      <c r="AL221" s="495"/>
      <c r="AM221" s="583"/>
      <c r="AN221" s="583"/>
      <c r="AO221" s="583"/>
      <c r="AP221" s="496"/>
      <c r="AQ221" s="618"/>
      <c r="AR221" s="505"/>
      <c r="AS221" s="629"/>
      <c r="AT221" s="618"/>
      <c r="AU221" s="505"/>
      <c r="AV221" s="581"/>
      <c r="AW221" s="618"/>
    </row>
    <row r="222" spans="2:49">
      <c r="B222" s="533" t="s">
        <v>577</v>
      </c>
      <c r="C222" s="534" t="s">
        <v>66</v>
      </c>
      <c r="D222" s="534" t="s">
        <v>59</v>
      </c>
      <c r="E222" s="534" t="s">
        <v>647</v>
      </c>
      <c r="F222" s="534" t="s">
        <v>651</v>
      </c>
      <c r="G222" s="535">
        <v>0.01</v>
      </c>
      <c r="H222" s="535">
        <v>9.2610000000000001E-3</v>
      </c>
      <c r="I222" s="536">
        <v>0.4</v>
      </c>
      <c r="J222" s="593">
        <v>7</v>
      </c>
      <c r="K222" s="537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2"/>
      <c r="AE222" s="493" t="str">
        <f ca="1">IF('CDO Bespoke'!C247&lt;&gt;"",'CDO Bespoke'!C247,"")</f>
        <v/>
      </c>
      <c r="AF222" s="495"/>
      <c r="AG222" s="583"/>
      <c r="AH222" s="583"/>
      <c r="AI222" s="583"/>
      <c r="AJ222" s="496"/>
      <c r="AK222" s="618"/>
      <c r="AL222" s="495"/>
      <c r="AM222" s="583"/>
      <c r="AN222" s="583"/>
      <c r="AO222" s="583"/>
      <c r="AP222" s="496"/>
      <c r="AQ222" s="618"/>
      <c r="AR222" s="505"/>
      <c r="AS222" s="629"/>
      <c r="AT222" s="618"/>
      <c r="AU222" s="505"/>
      <c r="AV222" s="581"/>
      <c r="AW222" s="618"/>
    </row>
    <row r="223" spans="2:49">
      <c r="B223" s="538" t="s">
        <v>568</v>
      </c>
      <c r="C223" s="539" t="s">
        <v>66</v>
      </c>
      <c r="D223" s="539" t="s">
        <v>55</v>
      </c>
      <c r="E223" s="539" t="s">
        <v>647</v>
      </c>
      <c r="F223" s="539" t="s">
        <v>651</v>
      </c>
      <c r="G223" s="540">
        <v>0.01</v>
      </c>
      <c r="H223" s="540">
        <v>2.6879999999999999E-3</v>
      </c>
      <c r="I223" s="541">
        <v>0.4</v>
      </c>
      <c r="J223" s="600">
        <v>7</v>
      </c>
      <c r="K223" s="542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2"/>
      <c r="AE223" s="493" t="str">
        <f ca="1">IF('CDO Bespoke'!C248&lt;&gt;"",'CDO Bespoke'!C248,"")</f>
        <v/>
      </c>
      <c r="AF223" s="495"/>
      <c r="AG223" s="583"/>
      <c r="AH223" s="583"/>
      <c r="AI223" s="583"/>
      <c r="AJ223" s="496"/>
      <c r="AK223" s="618"/>
      <c r="AL223" s="495"/>
      <c r="AM223" s="583"/>
      <c r="AN223" s="583"/>
      <c r="AO223" s="583"/>
      <c r="AP223" s="496"/>
      <c r="AQ223" s="618"/>
      <c r="AR223" s="505"/>
      <c r="AS223" s="629"/>
      <c r="AT223" s="618"/>
      <c r="AU223" s="505"/>
      <c r="AV223" s="581"/>
      <c r="AW223" s="618"/>
    </row>
    <row r="224" spans="2:49">
      <c r="B224" s="516" t="s">
        <v>568</v>
      </c>
      <c r="C224" s="517" t="s">
        <v>66</v>
      </c>
      <c r="D224" s="517" t="s">
        <v>57</v>
      </c>
      <c r="E224" s="517" t="s">
        <v>647</v>
      </c>
      <c r="F224" s="517" t="s">
        <v>651</v>
      </c>
      <c r="G224" s="524">
        <v>0.01</v>
      </c>
      <c r="H224" s="524">
        <v>4.4660000000000004E-3</v>
      </c>
      <c r="I224" s="526">
        <v>0.4</v>
      </c>
      <c r="J224" s="592">
        <v>7</v>
      </c>
      <c r="K224" s="518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2"/>
      <c r="AE224" s="493" t="str">
        <f ca="1">IF('CDO Bespoke'!C249&lt;&gt;"",'CDO Bespoke'!C249,"")</f>
        <v/>
      </c>
      <c r="AF224" s="495"/>
      <c r="AG224" s="583"/>
      <c r="AH224" s="583"/>
      <c r="AI224" s="583"/>
      <c r="AJ224" s="496"/>
      <c r="AK224" s="618"/>
      <c r="AL224" s="495"/>
      <c r="AM224" s="583"/>
      <c r="AN224" s="583"/>
      <c r="AO224" s="583"/>
      <c r="AP224" s="496"/>
      <c r="AQ224" s="618"/>
      <c r="AR224" s="505"/>
      <c r="AS224" s="629"/>
      <c r="AT224" s="618"/>
      <c r="AU224" s="505"/>
      <c r="AV224" s="581"/>
      <c r="AW224" s="618"/>
    </row>
    <row r="225" spans="2:49">
      <c r="B225" s="533" t="s">
        <v>568</v>
      </c>
      <c r="C225" s="534" t="s">
        <v>66</v>
      </c>
      <c r="D225" s="534" t="s">
        <v>59</v>
      </c>
      <c r="E225" s="534" t="s">
        <v>647</v>
      </c>
      <c r="F225" s="534" t="s">
        <v>651</v>
      </c>
      <c r="G225" s="535">
        <v>0.01</v>
      </c>
      <c r="H225" s="535">
        <v>5.9670000000000001E-3</v>
      </c>
      <c r="I225" s="536">
        <v>0.4</v>
      </c>
      <c r="J225" s="593">
        <v>7</v>
      </c>
      <c r="K225" s="537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2"/>
      <c r="AE225" s="493" t="str">
        <f ca="1">IF('CDO Bespoke'!C250&lt;&gt;"",'CDO Bespoke'!C250,"")</f>
        <v/>
      </c>
      <c r="AF225" s="495"/>
      <c r="AG225" s="583"/>
      <c r="AH225" s="583"/>
      <c r="AI225" s="583"/>
      <c r="AJ225" s="496"/>
      <c r="AK225" s="618"/>
      <c r="AL225" s="495"/>
      <c r="AM225" s="583"/>
      <c r="AN225" s="583"/>
      <c r="AO225" s="583"/>
      <c r="AP225" s="496"/>
      <c r="AQ225" s="618"/>
      <c r="AR225" s="505"/>
      <c r="AS225" s="629"/>
      <c r="AT225" s="618"/>
      <c r="AU225" s="505"/>
      <c r="AV225" s="581"/>
      <c r="AW225" s="618"/>
    </row>
    <row r="226" spans="2:49">
      <c r="B226" s="538" t="s">
        <v>569</v>
      </c>
      <c r="C226" s="539" t="s">
        <v>66</v>
      </c>
      <c r="D226" s="539" t="s">
        <v>55</v>
      </c>
      <c r="E226" s="539" t="s">
        <v>645</v>
      </c>
      <c r="F226" s="539" t="s">
        <v>650</v>
      </c>
      <c r="G226" s="540">
        <v>0.01</v>
      </c>
      <c r="H226" s="540">
        <v>3.4719999999999998E-3</v>
      </c>
      <c r="I226" s="541">
        <v>0.4</v>
      </c>
      <c r="J226" s="600">
        <v>4</v>
      </c>
      <c r="K226" s="542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2"/>
      <c r="AE226" s="493" t="str">
        <f ca="1">IF('CDO Bespoke'!C251&lt;&gt;"",'CDO Bespoke'!C251,"")</f>
        <v/>
      </c>
      <c r="AF226" s="495"/>
      <c r="AG226" s="583"/>
      <c r="AH226" s="583"/>
      <c r="AI226" s="583"/>
      <c r="AJ226" s="496"/>
      <c r="AK226" s="618"/>
      <c r="AL226" s="495"/>
      <c r="AM226" s="583"/>
      <c r="AN226" s="583"/>
      <c r="AO226" s="583"/>
      <c r="AP226" s="496"/>
      <c r="AQ226" s="618"/>
      <c r="AR226" s="505"/>
      <c r="AS226" s="629"/>
      <c r="AT226" s="618"/>
      <c r="AU226" s="505"/>
      <c r="AV226" s="581"/>
      <c r="AW226" s="618"/>
    </row>
    <row r="227" spans="2:49">
      <c r="B227" s="516" t="s">
        <v>569</v>
      </c>
      <c r="C227" s="517" t="s">
        <v>66</v>
      </c>
      <c r="D227" s="517" t="s">
        <v>57</v>
      </c>
      <c r="E227" s="517" t="s">
        <v>645</v>
      </c>
      <c r="F227" s="517" t="s">
        <v>650</v>
      </c>
      <c r="G227" s="524">
        <v>0.01</v>
      </c>
      <c r="H227" s="524">
        <v>5.6010000000000001E-3</v>
      </c>
      <c r="I227" s="526">
        <v>0.4</v>
      </c>
      <c r="J227" s="592">
        <v>4</v>
      </c>
      <c r="K227" s="518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2"/>
      <c r="AE227" s="493" t="str">
        <f ca="1">IF('CDO Bespoke'!C252&lt;&gt;"",'CDO Bespoke'!C252,"")</f>
        <v/>
      </c>
      <c r="AF227" s="495"/>
      <c r="AG227" s="583"/>
      <c r="AH227" s="583"/>
      <c r="AI227" s="583"/>
      <c r="AJ227" s="496"/>
      <c r="AK227" s="618"/>
      <c r="AL227" s="495"/>
      <c r="AM227" s="583"/>
      <c r="AN227" s="583"/>
      <c r="AO227" s="583"/>
      <c r="AP227" s="496"/>
      <c r="AQ227" s="618"/>
      <c r="AR227" s="505"/>
      <c r="AS227" s="629"/>
      <c r="AT227" s="618"/>
      <c r="AU227" s="505"/>
      <c r="AV227" s="581"/>
      <c r="AW227" s="618"/>
    </row>
    <row r="228" spans="2:49">
      <c r="B228" s="533" t="s">
        <v>569</v>
      </c>
      <c r="C228" s="534" t="s">
        <v>66</v>
      </c>
      <c r="D228" s="534" t="s">
        <v>59</v>
      </c>
      <c r="E228" s="534" t="s">
        <v>645</v>
      </c>
      <c r="F228" s="534" t="s">
        <v>650</v>
      </c>
      <c r="G228" s="535">
        <v>0.01</v>
      </c>
      <c r="H228" s="535">
        <v>7.7669999999999996E-3</v>
      </c>
      <c r="I228" s="536">
        <v>0.4</v>
      </c>
      <c r="J228" s="593">
        <v>4</v>
      </c>
      <c r="K228" s="537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2"/>
      <c r="AE228" s="493" t="str">
        <f ca="1">IF('CDO Bespoke'!C253&lt;&gt;"",'CDO Bespoke'!C253,"")</f>
        <v/>
      </c>
      <c r="AF228" s="495"/>
      <c r="AG228" s="583"/>
      <c r="AH228" s="583"/>
      <c r="AI228" s="583"/>
      <c r="AJ228" s="496"/>
      <c r="AK228" s="618"/>
      <c r="AL228" s="495"/>
      <c r="AM228" s="583"/>
      <c r="AN228" s="583"/>
      <c r="AO228" s="583"/>
      <c r="AP228" s="496"/>
      <c r="AQ228" s="618"/>
      <c r="AR228" s="505"/>
      <c r="AS228" s="629"/>
      <c r="AT228" s="618"/>
      <c r="AU228" s="505"/>
      <c r="AV228" s="581"/>
      <c r="AW228" s="618"/>
    </row>
    <row r="229" spans="2:49">
      <c r="B229" s="538" t="s">
        <v>578</v>
      </c>
      <c r="C229" s="539" t="s">
        <v>66</v>
      </c>
      <c r="D229" s="539" t="s">
        <v>55</v>
      </c>
      <c r="E229" s="539" t="s">
        <v>649</v>
      </c>
      <c r="F229" s="539" t="s">
        <v>650</v>
      </c>
      <c r="G229" s="540">
        <v>0.01</v>
      </c>
      <c r="H229" s="540">
        <v>1.7849999999999999E-3</v>
      </c>
      <c r="I229" s="541">
        <v>0.4</v>
      </c>
      <c r="J229" s="600">
        <v>4</v>
      </c>
      <c r="K229" s="542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2"/>
      <c r="AE229" s="493" t="str">
        <f ca="1">IF('CDO Bespoke'!C254&lt;&gt;"",'CDO Bespoke'!C254,"")</f>
        <v/>
      </c>
      <c r="AF229" s="495"/>
      <c r="AG229" s="583"/>
      <c r="AH229" s="583"/>
      <c r="AI229" s="583"/>
      <c r="AJ229" s="496"/>
      <c r="AK229" s="618"/>
      <c r="AL229" s="495"/>
      <c r="AM229" s="583"/>
      <c r="AN229" s="583"/>
      <c r="AO229" s="583"/>
      <c r="AP229" s="496"/>
      <c r="AQ229" s="618"/>
      <c r="AR229" s="505"/>
      <c r="AS229" s="629"/>
      <c r="AT229" s="618"/>
      <c r="AU229" s="505"/>
      <c r="AV229" s="581"/>
      <c r="AW229" s="618"/>
    </row>
    <row r="230" spans="2:49">
      <c r="B230" s="516" t="s">
        <v>578</v>
      </c>
      <c r="C230" s="517" t="s">
        <v>66</v>
      </c>
      <c r="D230" s="517" t="s">
        <v>57</v>
      </c>
      <c r="E230" s="517" t="s">
        <v>649</v>
      </c>
      <c r="F230" s="517" t="s">
        <v>650</v>
      </c>
      <c r="G230" s="524">
        <v>0.01</v>
      </c>
      <c r="H230" s="524">
        <v>2.7560000000000002E-3</v>
      </c>
      <c r="I230" s="526">
        <v>0.4</v>
      </c>
      <c r="J230" s="592">
        <v>4</v>
      </c>
      <c r="K230" s="518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2"/>
      <c r="AE230" s="493" t="str">
        <f ca="1">IF('CDO Bespoke'!C255&lt;&gt;"",'CDO Bespoke'!C255,"")</f>
        <v/>
      </c>
      <c r="AF230" s="495"/>
      <c r="AG230" s="583"/>
      <c r="AH230" s="583"/>
      <c r="AI230" s="583"/>
      <c r="AJ230" s="496"/>
      <c r="AK230" s="618"/>
      <c r="AL230" s="495"/>
      <c r="AM230" s="583"/>
      <c r="AN230" s="583"/>
      <c r="AO230" s="583"/>
      <c r="AP230" s="496"/>
      <c r="AQ230" s="618"/>
      <c r="AR230" s="505"/>
      <c r="AS230" s="629"/>
      <c r="AT230" s="618"/>
      <c r="AU230" s="505"/>
      <c r="AV230" s="581"/>
      <c r="AW230" s="618"/>
    </row>
    <row r="231" spans="2:49">
      <c r="B231" s="533" t="s">
        <v>578</v>
      </c>
      <c r="C231" s="534" t="s">
        <v>66</v>
      </c>
      <c r="D231" s="534" t="s">
        <v>59</v>
      </c>
      <c r="E231" s="534" t="s">
        <v>649</v>
      </c>
      <c r="F231" s="534" t="s">
        <v>650</v>
      </c>
      <c r="G231" s="535">
        <v>0.01</v>
      </c>
      <c r="H231" s="535">
        <v>3.7669999999999999E-3</v>
      </c>
      <c r="I231" s="536">
        <v>0.4</v>
      </c>
      <c r="J231" s="593">
        <v>4</v>
      </c>
      <c r="K231" s="537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2"/>
      <c r="AE231" s="493" t="str">
        <f ca="1">IF('CDO Bespoke'!C256&lt;&gt;"",'CDO Bespoke'!C256,"")</f>
        <v/>
      </c>
      <c r="AF231" s="495"/>
      <c r="AG231" s="583"/>
      <c r="AH231" s="583"/>
      <c r="AI231" s="583"/>
      <c r="AJ231" s="496"/>
      <c r="AK231" s="618"/>
      <c r="AL231" s="495"/>
      <c r="AM231" s="583"/>
      <c r="AN231" s="583"/>
      <c r="AO231" s="583"/>
      <c r="AP231" s="496"/>
      <c r="AQ231" s="618"/>
      <c r="AR231" s="505"/>
      <c r="AS231" s="629"/>
      <c r="AT231" s="618"/>
      <c r="AU231" s="505"/>
      <c r="AV231" s="581"/>
      <c r="AW231" s="618"/>
    </row>
    <row r="232" spans="2:49">
      <c r="B232" s="538" t="s">
        <v>570</v>
      </c>
      <c r="C232" s="539" t="s">
        <v>66</v>
      </c>
      <c r="D232" s="539" t="s">
        <v>55</v>
      </c>
      <c r="E232" s="539" t="s">
        <v>647</v>
      </c>
      <c r="F232" s="539" t="s">
        <v>651</v>
      </c>
      <c r="G232" s="540">
        <v>0.01</v>
      </c>
      <c r="H232" s="540">
        <v>2.5920000000000001E-3</v>
      </c>
      <c r="I232" s="541">
        <v>0.4</v>
      </c>
      <c r="J232" s="600">
        <v>7</v>
      </c>
      <c r="K232" s="542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2"/>
      <c r="AE232" s="493" t="str">
        <f ca="1">IF('CDO Bespoke'!C257&lt;&gt;"",'CDO Bespoke'!C257,"")</f>
        <v/>
      </c>
      <c r="AF232" s="495"/>
      <c r="AG232" s="583"/>
      <c r="AH232" s="583"/>
      <c r="AI232" s="583"/>
      <c r="AJ232" s="496"/>
      <c r="AK232" s="618"/>
      <c r="AL232" s="495"/>
      <c r="AM232" s="583"/>
      <c r="AN232" s="583"/>
      <c r="AO232" s="583"/>
      <c r="AP232" s="496"/>
      <c r="AQ232" s="618"/>
      <c r="AR232" s="505"/>
      <c r="AS232" s="629"/>
      <c r="AT232" s="618"/>
      <c r="AU232" s="505"/>
      <c r="AV232" s="581"/>
      <c r="AW232" s="618"/>
    </row>
    <row r="233" spans="2:49">
      <c r="B233" s="516" t="s">
        <v>570</v>
      </c>
      <c r="C233" s="517" t="s">
        <v>66</v>
      </c>
      <c r="D233" s="517" t="s">
        <v>57</v>
      </c>
      <c r="E233" s="517" t="s">
        <v>647</v>
      </c>
      <c r="F233" s="517" t="s">
        <v>651</v>
      </c>
      <c r="G233" s="524">
        <v>0.01</v>
      </c>
      <c r="H233" s="524">
        <v>4.5840000000000004E-3</v>
      </c>
      <c r="I233" s="526">
        <v>0.4</v>
      </c>
      <c r="J233" s="592">
        <v>7</v>
      </c>
      <c r="K233" s="518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2"/>
      <c r="AE233" s="493" t="str">
        <f ca="1">IF('CDO Bespoke'!C258&lt;&gt;"",'CDO Bespoke'!C258,"")</f>
        <v/>
      </c>
      <c r="AF233" s="495"/>
      <c r="AG233" s="583"/>
      <c r="AH233" s="583"/>
      <c r="AI233" s="583"/>
      <c r="AJ233" s="496"/>
      <c r="AK233" s="618"/>
      <c r="AL233" s="495"/>
      <c r="AM233" s="583"/>
      <c r="AN233" s="583"/>
      <c r="AO233" s="583"/>
      <c r="AP233" s="496"/>
      <c r="AQ233" s="618"/>
      <c r="AR233" s="505"/>
      <c r="AS233" s="629"/>
      <c r="AT233" s="618"/>
      <c r="AU233" s="505"/>
      <c r="AV233" s="581"/>
      <c r="AW233" s="618"/>
    </row>
    <row r="234" spans="2:49">
      <c r="B234" s="533" t="s">
        <v>570</v>
      </c>
      <c r="C234" s="534" t="s">
        <v>66</v>
      </c>
      <c r="D234" s="534" t="s">
        <v>59</v>
      </c>
      <c r="E234" s="534" t="s">
        <v>647</v>
      </c>
      <c r="F234" s="534" t="s">
        <v>651</v>
      </c>
      <c r="G234" s="535">
        <v>0.01</v>
      </c>
      <c r="H234" s="535">
        <v>6.4619999999999999E-3</v>
      </c>
      <c r="I234" s="536">
        <v>0.4</v>
      </c>
      <c r="J234" s="593">
        <v>7</v>
      </c>
      <c r="K234" s="537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2"/>
      <c r="AE234" s="493" t="str">
        <f ca="1">IF('CDO Bespoke'!C259&lt;&gt;"",'CDO Bespoke'!C259,"")</f>
        <v/>
      </c>
      <c r="AF234" s="495"/>
      <c r="AG234" s="583"/>
      <c r="AH234" s="583"/>
      <c r="AI234" s="583"/>
      <c r="AJ234" s="496"/>
      <c r="AK234" s="618"/>
      <c r="AL234" s="495"/>
      <c r="AM234" s="583"/>
      <c r="AN234" s="583"/>
      <c r="AO234" s="583"/>
      <c r="AP234" s="496"/>
      <c r="AQ234" s="618"/>
      <c r="AR234" s="505"/>
      <c r="AS234" s="629"/>
      <c r="AT234" s="618"/>
      <c r="AU234" s="505"/>
      <c r="AV234" s="581"/>
      <c r="AW234" s="618"/>
    </row>
    <row r="235" spans="2:49">
      <c r="B235" s="538" t="s">
        <v>571</v>
      </c>
      <c r="C235" s="539" t="s">
        <v>66</v>
      </c>
      <c r="D235" s="539" t="s">
        <v>55</v>
      </c>
      <c r="E235" s="539" t="s">
        <v>647</v>
      </c>
      <c r="F235" s="539" t="s">
        <v>651</v>
      </c>
      <c r="G235" s="540">
        <v>0.01</v>
      </c>
      <c r="H235" s="540">
        <v>2.307E-3</v>
      </c>
      <c r="I235" s="541">
        <v>0.4</v>
      </c>
      <c r="J235" s="600">
        <v>7</v>
      </c>
      <c r="K235" s="542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2"/>
      <c r="AE235" s="493" t="str">
        <f ca="1">IF('CDO Bespoke'!C260&lt;&gt;"",'CDO Bespoke'!C260,"")</f>
        <v/>
      </c>
      <c r="AF235" s="495"/>
      <c r="AG235" s="583"/>
      <c r="AH235" s="583"/>
      <c r="AI235" s="583"/>
      <c r="AJ235" s="496"/>
      <c r="AK235" s="618"/>
      <c r="AL235" s="495"/>
      <c r="AM235" s="583"/>
      <c r="AN235" s="583"/>
      <c r="AO235" s="583"/>
      <c r="AP235" s="496"/>
      <c r="AQ235" s="618"/>
      <c r="AR235" s="505"/>
      <c r="AS235" s="629"/>
      <c r="AT235" s="618"/>
      <c r="AU235" s="505"/>
      <c r="AV235" s="581"/>
      <c r="AW235" s="618"/>
    </row>
    <row r="236" spans="2:49">
      <c r="B236" s="516" t="s">
        <v>571</v>
      </c>
      <c r="C236" s="517" t="s">
        <v>66</v>
      </c>
      <c r="D236" s="517" t="s">
        <v>57</v>
      </c>
      <c r="E236" s="517" t="s">
        <v>647</v>
      </c>
      <c r="F236" s="517" t="s">
        <v>651</v>
      </c>
      <c r="G236" s="524">
        <v>0.01</v>
      </c>
      <c r="H236" s="524">
        <v>3.8999999999999998E-3</v>
      </c>
      <c r="I236" s="526">
        <v>0.4</v>
      </c>
      <c r="J236" s="592">
        <v>7</v>
      </c>
      <c r="K236" s="518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2"/>
      <c r="AE236" s="493" t="str">
        <f ca="1">IF('CDO Bespoke'!C261&lt;&gt;"",'CDO Bespoke'!C261,"")</f>
        <v/>
      </c>
      <c r="AF236" s="495"/>
      <c r="AG236" s="583"/>
      <c r="AH236" s="583"/>
      <c r="AI236" s="583"/>
      <c r="AJ236" s="496"/>
      <c r="AK236" s="618"/>
      <c r="AL236" s="495"/>
      <c r="AM236" s="583"/>
      <c r="AN236" s="583"/>
      <c r="AO236" s="583"/>
      <c r="AP236" s="496"/>
      <c r="AQ236" s="618"/>
      <c r="AR236" s="505"/>
      <c r="AS236" s="629"/>
      <c r="AT236" s="618"/>
      <c r="AU236" s="505"/>
      <c r="AV236" s="581"/>
      <c r="AW236" s="618"/>
    </row>
    <row r="237" spans="2:49">
      <c r="B237" s="533" t="s">
        <v>571</v>
      </c>
      <c r="C237" s="534" t="s">
        <v>66</v>
      </c>
      <c r="D237" s="534" t="s">
        <v>59</v>
      </c>
      <c r="E237" s="534" t="s">
        <v>647</v>
      </c>
      <c r="F237" s="534" t="s">
        <v>651</v>
      </c>
      <c r="G237" s="535">
        <v>0.01</v>
      </c>
      <c r="H237" s="535">
        <v>5.7710000000000001E-3</v>
      </c>
      <c r="I237" s="536">
        <v>0.4</v>
      </c>
      <c r="J237" s="593">
        <v>7</v>
      </c>
      <c r="K237" s="537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2"/>
      <c r="AE237" s="493" t="str">
        <f ca="1">IF('CDO Bespoke'!C262&lt;&gt;"",'CDO Bespoke'!C262,"")</f>
        <v/>
      </c>
      <c r="AF237" s="495"/>
      <c r="AG237" s="583"/>
      <c r="AH237" s="583"/>
      <c r="AI237" s="583"/>
      <c r="AJ237" s="496"/>
      <c r="AK237" s="618"/>
      <c r="AL237" s="495"/>
      <c r="AM237" s="583"/>
      <c r="AN237" s="583"/>
      <c r="AO237" s="583"/>
      <c r="AP237" s="496"/>
      <c r="AQ237" s="618"/>
      <c r="AR237" s="505"/>
      <c r="AS237" s="629"/>
      <c r="AT237" s="618"/>
      <c r="AU237" s="505"/>
      <c r="AV237" s="581"/>
      <c r="AW237" s="618"/>
    </row>
    <row r="238" spans="2:49">
      <c r="B238" s="538" t="s">
        <v>572</v>
      </c>
      <c r="C238" s="539" t="s">
        <v>66</v>
      </c>
      <c r="D238" s="539" t="s">
        <v>55</v>
      </c>
      <c r="E238" s="539" t="s">
        <v>647</v>
      </c>
      <c r="F238" s="539" t="s">
        <v>651</v>
      </c>
      <c r="G238" s="540">
        <v>0.01</v>
      </c>
      <c r="H238" s="540">
        <v>3.751E-3</v>
      </c>
      <c r="I238" s="541">
        <v>0.4</v>
      </c>
      <c r="J238" s="600">
        <v>7</v>
      </c>
      <c r="K238" s="542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2"/>
      <c r="AE238" s="493" t="str">
        <f ca="1">IF('CDO Bespoke'!C263&lt;&gt;"",'CDO Bespoke'!C263,"")</f>
        <v/>
      </c>
      <c r="AF238" s="495"/>
      <c r="AG238" s="583"/>
      <c r="AH238" s="583"/>
      <c r="AI238" s="583"/>
      <c r="AJ238" s="496"/>
      <c r="AK238" s="618"/>
      <c r="AL238" s="495"/>
      <c r="AM238" s="583"/>
      <c r="AN238" s="583"/>
      <c r="AO238" s="583"/>
      <c r="AP238" s="496"/>
      <c r="AQ238" s="618"/>
      <c r="AR238" s="505"/>
      <c r="AS238" s="629"/>
      <c r="AT238" s="618"/>
      <c r="AU238" s="505"/>
      <c r="AV238" s="581"/>
      <c r="AW238" s="618"/>
    </row>
    <row r="239" spans="2:49">
      <c r="B239" s="516" t="s">
        <v>572</v>
      </c>
      <c r="C239" s="517" t="s">
        <v>66</v>
      </c>
      <c r="D239" s="517" t="s">
        <v>57</v>
      </c>
      <c r="E239" s="517" t="s">
        <v>647</v>
      </c>
      <c r="F239" s="517" t="s">
        <v>651</v>
      </c>
      <c r="G239" s="524">
        <v>0.01</v>
      </c>
      <c r="H239" s="524">
        <v>5.8129999999999996E-3</v>
      </c>
      <c r="I239" s="526">
        <v>0.4</v>
      </c>
      <c r="J239" s="592">
        <v>7</v>
      </c>
      <c r="K239" s="518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2"/>
      <c r="AE239" s="493" t="str">
        <f ca="1">IF('CDO Bespoke'!C264&lt;&gt;"",'CDO Bespoke'!C264,"")</f>
        <v/>
      </c>
      <c r="AF239" s="495"/>
      <c r="AG239" s="583"/>
      <c r="AH239" s="583"/>
      <c r="AI239" s="583"/>
      <c r="AJ239" s="496"/>
      <c r="AK239" s="618"/>
      <c r="AL239" s="495"/>
      <c r="AM239" s="583"/>
      <c r="AN239" s="583"/>
      <c r="AO239" s="583"/>
      <c r="AP239" s="496"/>
      <c r="AQ239" s="618"/>
      <c r="AR239" s="505"/>
      <c r="AS239" s="629"/>
      <c r="AT239" s="618"/>
      <c r="AU239" s="505"/>
      <c r="AV239" s="581"/>
      <c r="AW239" s="618"/>
    </row>
    <row r="240" spans="2:49">
      <c r="B240" s="533" t="s">
        <v>572</v>
      </c>
      <c r="C240" s="534" t="s">
        <v>66</v>
      </c>
      <c r="D240" s="534" t="s">
        <v>59</v>
      </c>
      <c r="E240" s="534" t="s">
        <v>647</v>
      </c>
      <c r="F240" s="534" t="s">
        <v>651</v>
      </c>
      <c r="G240" s="535">
        <v>0.01</v>
      </c>
      <c r="H240" s="535">
        <v>8.0239999999999999E-3</v>
      </c>
      <c r="I240" s="536">
        <v>0.4</v>
      </c>
      <c r="J240" s="593">
        <v>7</v>
      </c>
      <c r="K240" s="537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2"/>
      <c r="AE240" s="493" t="str">
        <f ca="1">IF('CDO Bespoke'!C265&lt;&gt;"",'CDO Bespoke'!C265,"")</f>
        <v/>
      </c>
      <c r="AF240" s="495"/>
      <c r="AG240" s="583"/>
      <c r="AH240" s="583"/>
      <c r="AI240" s="583"/>
      <c r="AJ240" s="496"/>
      <c r="AK240" s="618"/>
      <c r="AL240" s="495"/>
      <c r="AM240" s="583"/>
      <c r="AN240" s="583"/>
      <c r="AO240" s="583"/>
      <c r="AP240" s="496"/>
      <c r="AQ240" s="618"/>
      <c r="AR240" s="505"/>
      <c r="AS240" s="629"/>
      <c r="AT240" s="618"/>
      <c r="AU240" s="505"/>
      <c r="AV240" s="581"/>
      <c r="AW240" s="618"/>
    </row>
    <row r="241" spans="2:49">
      <c r="B241" s="538" t="s">
        <v>573</v>
      </c>
      <c r="C241" s="539" t="s">
        <v>66</v>
      </c>
      <c r="D241" s="539" t="s">
        <v>55</v>
      </c>
      <c r="E241" s="539" t="s">
        <v>647</v>
      </c>
      <c r="F241" s="539" t="s">
        <v>651</v>
      </c>
      <c r="G241" s="540">
        <v>0.01</v>
      </c>
      <c r="H241" s="540">
        <v>2.993E-3</v>
      </c>
      <c r="I241" s="541">
        <v>0.4</v>
      </c>
      <c r="J241" s="600">
        <v>7</v>
      </c>
      <c r="K241" s="542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2"/>
      <c r="AE241" s="493" t="str">
        <f ca="1">IF('CDO Bespoke'!C266&lt;&gt;"",'CDO Bespoke'!C266,"")</f>
        <v/>
      </c>
      <c r="AF241" s="495"/>
      <c r="AG241" s="583"/>
      <c r="AH241" s="583"/>
      <c r="AI241" s="583"/>
      <c r="AJ241" s="496"/>
      <c r="AK241" s="618"/>
      <c r="AL241" s="495"/>
      <c r="AM241" s="583"/>
      <c r="AN241" s="583"/>
      <c r="AO241" s="583"/>
      <c r="AP241" s="496"/>
      <c r="AQ241" s="618"/>
      <c r="AR241" s="505"/>
      <c r="AS241" s="629"/>
      <c r="AT241" s="618"/>
      <c r="AU241" s="505"/>
      <c r="AV241" s="581"/>
      <c r="AW241" s="618"/>
    </row>
    <row r="242" spans="2:49">
      <c r="B242" s="516" t="s">
        <v>573</v>
      </c>
      <c r="C242" s="517" t="s">
        <v>66</v>
      </c>
      <c r="D242" s="517" t="s">
        <v>57</v>
      </c>
      <c r="E242" s="517" t="s">
        <v>647</v>
      </c>
      <c r="F242" s="517" t="s">
        <v>651</v>
      </c>
      <c r="G242" s="524">
        <v>0.01</v>
      </c>
      <c r="H242" s="524">
        <v>4.7149999999999996E-3</v>
      </c>
      <c r="I242" s="526">
        <v>0.4</v>
      </c>
      <c r="J242" s="592">
        <v>7</v>
      </c>
      <c r="K242" s="518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2"/>
      <c r="AE242" s="493" t="str">
        <f ca="1">IF('CDO Bespoke'!C267&lt;&gt;"",'CDO Bespoke'!C267,"")</f>
        <v/>
      </c>
      <c r="AF242" s="495"/>
      <c r="AG242" s="583"/>
      <c r="AH242" s="583"/>
      <c r="AI242" s="583"/>
      <c r="AJ242" s="496"/>
      <c r="AK242" s="618"/>
      <c r="AL242" s="495"/>
      <c r="AM242" s="583"/>
      <c r="AN242" s="583"/>
      <c r="AO242" s="583"/>
      <c r="AP242" s="496"/>
      <c r="AQ242" s="618"/>
      <c r="AR242" s="505"/>
      <c r="AS242" s="629"/>
      <c r="AT242" s="618"/>
      <c r="AU242" s="505"/>
      <c r="AV242" s="581"/>
      <c r="AW242" s="618"/>
    </row>
    <row r="243" spans="2:49">
      <c r="B243" s="533" t="s">
        <v>573</v>
      </c>
      <c r="C243" s="534" t="s">
        <v>66</v>
      </c>
      <c r="D243" s="534" t="s">
        <v>59</v>
      </c>
      <c r="E243" s="534" t="s">
        <v>647</v>
      </c>
      <c r="F243" s="534" t="s">
        <v>651</v>
      </c>
      <c r="G243" s="535">
        <v>0.01</v>
      </c>
      <c r="H243" s="535">
        <v>6.6360000000000004E-3</v>
      </c>
      <c r="I243" s="536">
        <v>0.4</v>
      </c>
      <c r="J243" s="593">
        <v>7</v>
      </c>
      <c r="K243" s="537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2"/>
      <c r="AE243" s="493" t="str">
        <f ca="1">IF('CDO Bespoke'!C268&lt;&gt;"",'CDO Bespoke'!C268,"")</f>
        <v/>
      </c>
      <c r="AF243" s="495"/>
      <c r="AG243" s="583"/>
      <c r="AH243" s="583"/>
      <c r="AI243" s="583"/>
      <c r="AJ243" s="496"/>
      <c r="AK243" s="618"/>
      <c r="AL243" s="495"/>
      <c r="AM243" s="583"/>
      <c r="AN243" s="583"/>
      <c r="AO243" s="583"/>
      <c r="AP243" s="496"/>
      <c r="AQ243" s="618"/>
      <c r="AR243" s="505"/>
      <c r="AS243" s="629"/>
      <c r="AT243" s="618"/>
      <c r="AU243" s="505"/>
      <c r="AV243" s="581"/>
      <c r="AW243" s="618"/>
    </row>
    <row r="244" spans="2:49">
      <c r="B244" s="538" t="s">
        <v>574</v>
      </c>
      <c r="C244" s="539" t="s">
        <v>66</v>
      </c>
      <c r="D244" s="539" t="s">
        <v>55</v>
      </c>
      <c r="E244" s="539" t="s">
        <v>647</v>
      </c>
      <c r="F244" s="539" t="s">
        <v>650</v>
      </c>
      <c r="G244" s="540">
        <v>0.01</v>
      </c>
      <c r="H244" s="540">
        <v>4.0020000000000003E-3</v>
      </c>
      <c r="I244" s="541">
        <v>0.4</v>
      </c>
      <c r="J244" s="600">
        <v>4</v>
      </c>
      <c r="K244" s="542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2"/>
      <c r="AE244" s="493" t="str">
        <f ca="1">IF('CDO Bespoke'!C269&lt;&gt;"",'CDO Bespoke'!C269,"")</f>
        <v/>
      </c>
      <c r="AF244" s="495"/>
      <c r="AG244" s="583"/>
      <c r="AH244" s="583"/>
      <c r="AI244" s="583"/>
      <c r="AJ244" s="496"/>
      <c r="AK244" s="618"/>
      <c r="AL244" s="495"/>
      <c r="AM244" s="583"/>
      <c r="AN244" s="583"/>
      <c r="AO244" s="583"/>
      <c r="AP244" s="496"/>
      <c r="AQ244" s="618"/>
      <c r="AR244" s="505"/>
      <c r="AS244" s="629"/>
      <c r="AT244" s="618"/>
      <c r="AU244" s="505"/>
      <c r="AV244" s="581"/>
      <c r="AW244" s="618"/>
    </row>
    <row r="245" spans="2:49">
      <c r="B245" s="516" t="s">
        <v>574</v>
      </c>
      <c r="C245" s="517" t="s">
        <v>66</v>
      </c>
      <c r="D245" s="517" t="s">
        <v>57</v>
      </c>
      <c r="E245" s="517" t="s">
        <v>647</v>
      </c>
      <c r="F245" s="517" t="s">
        <v>650</v>
      </c>
      <c r="G245" s="524">
        <v>0.01</v>
      </c>
      <c r="H245" s="524">
        <v>6.0629999999999998E-3</v>
      </c>
      <c r="I245" s="526">
        <v>0.4</v>
      </c>
      <c r="J245" s="592">
        <v>4</v>
      </c>
      <c r="K245" s="518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2"/>
      <c r="AE245" s="493" t="str">
        <f ca="1">IF('CDO Bespoke'!C270&lt;&gt;"",'CDO Bespoke'!C270,"")</f>
        <v/>
      </c>
      <c r="AF245" s="495"/>
      <c r="AG245" s="583"/>
      <c r="AH245" s="583"/>
      <c r="AI245" s="583"/>
      <c r="AJ245" s="496"/>
      <c r="AK245" s="618"/>
      <c r="AL245" s="495"/>
      <c r="AM245" s="583"/>
      <c r="AN245" s="583"/>
      <c r="AO245" s="583"/>
      <c r="AP245" s="496"/>
      <c r="AQ245" s="618"/>
      <c r="AR245" s="505"/>
      <c r="AS245" s="629"/>
      <c r="AT245" s="618"/>
      <c r="AU245" s="505"/>
      <c r="AV245" s="581"/>
      <c r="AW245" s="618"/>
    </row>
    <row r="246" spans="2:49">
      <c r="B246" s="533" t="s">
        <v>574</v>
      </c>
      <c r="C246" s="534" t="s">
        <v>66</v>
      </c>
      <c r="D246" s="534" t="s">
        <v>59</v>
      </c>
      <c r="E246" s="534" t="s">
        <v>647</v>
      </c>
      <c r="F246" s="534" t="s">
        <v>650</v>
      </c>
      <c r="G246" s="535">
        <v>0.01</v>
      </c>
      <c r="H246" s="535">
        <v>8.3820000000000006E-3</v>
      </c>
      <c r="I246" s="536">
        <v>0.4</v>
      </c>
      <c r="J246" s="593">
        <v>4</v>
      </c>
      <c r="K246" s="537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2"/>
      <c r="AE246" s="493" t="str">
        <f ca="1">IF('CDO Bespoke'!C271&lt;&gt;"",'CDO Bespoke'!C271,"")</f>
        <v/>
      </c>
      <c r="AF246" s="495"/>
      <c r="AG246" s="583"/>
      <c r="AH246" s="583"/>
      <c r="AI246" s="583"/>
      <c r="AJ246" s="496"/>
      <c r="AK246" s="618"/>
      <c r="AL246" s="495"/>
      <c r="AM246" s="583"/>
      <c r="AN246" s="583"/>
      <c r="AO246" s="583"/>
      <c r="AP246" s="496"/>
      <c r="AQ246" s="618"/>
      <c r="AR246" s="505"/>
      <c r="AS246" s="629"/>
      <c r="AT246" s="618"/>
      <c r="AU246" s="505"/>
      <c r="AV246" s="581"/>
      <c r="AW246" s="618"/>
    </row>
    <row r="247" spans="2:49">
      <c r="B247" s="538" t="s">
        <v>579</v>
      </c>
      <c r="C247" s="539" t="s">
        <v>66</v>
      </c>
      <c r="D247" s="539" t="s">
        <v>55</v>
      </c>
      <c r="E247" s="539" t="s">
        <v>649</v>
      </c>
      <c r="F247" s="539" t="s">
        <v>650</v>
      </c>
      <c r="G247" s="540">
        <v>0.01</v>
      </c>
      <c r="H247" s="540">
        <v>1.9380000000000001E-3</v>
      </c>
      <c r="I247" s="541">
        <v>0.4</v>
      </c>
      <c r="J247" s="600">
        <v>4</v>
      </c>
      <c r="K247" s="542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2"/>
      <c r="AE247" s="493" t="str">
        <f ca="1">IF('CDO Bespoke'!C272&lt;&gt;"",'CDO Bespoke'!C272,"")</f>
        <v/>
      </c>
      <c r="AF247" s="495"/>
      <c r="AG247" s="583"/>
      <c r="AH247" s="583"/>
      <c r="AI247" s="583"/>
      <c r="AJ247" s="496"/>
      <c r="AK247" s="618"/>
      <c r="AL247" s="495"/>
      <c r="AM247" s="583"/>
      <c r="AN247" s="583"/>
      <c r="AO247" s="583"/>
      <c r="AP247" s="496"/>
      <c r="AQ247" s="618"/>
      <c r="AR247" s="505"/>
      <c r="AS247" s="629"/>
      <c r="AT247" s="618"/>
      <c r="AU247" s="505"/>
      <c r="AV247" s="581"/>
      <c r="AW247" s="618"/>
    </row>
    <row r="248" spans="2:49">
      <c r="B248" s="516" t="s">
        <v>579</v>
      </c>
      <c r="C248" s="517" t="s">
        <v>66</v>
      </c>
      <c r="D248" s="517" t="s">
        <v>57</v>
      </c>
      <c r="E248" s="517" t="s">
        <v>649</v>
      </c>
      <c r="F248" s="517" t="s">
        <v>650</v>
      </c>
      <c r="G248" s="524">
        <v>0.01</v>
      </c>
      <c r="H248" s="524">
        <v>3.1410000000000001E-3</v>
      </c>
      <c r="I248" s="526">
        <v>0.4</v>
      </c>
      <c r="J248" s="592">
        <v>4</v>
      </c>
      <c r="K248" s="518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2"/>
      <c r="AE248" s="493" t="str">
        <f ca="1">IF('CDO Bespoke'!C273&lt;&gt;"",'CDO Bespoke'!C273,"")</f>
        <v/>
      </c>
      <c r="AF248" s="495"/>
      <c r="AG248" s="583"/>
      <c r="AH248" s="583"/>
      <c r="AI248" s="583"/>
      <c r="AJ248" s="496"/>
      <c r="AK248" s="618"/>
      <c r="AL248" s="495"/>
      <c r="AM248" s="583"/>
      <c r="AN248" s="583"/>
      <c r="AO248" s="583"/>
      <c r="AP248" s="496"/>
      <c r="AQ248" s="618"/>
      <c r="AR248" s="505"/>
      <c r="AS248" s="629"/>
      <c r="AT248" s="618"/>
      <c r="AU248" s="505"/>
      <c r="AV248" s="581"/>
      <c r="AW248" s="618"/>
    </row>
    <row r="249" spans="2:49">
      <c r="B249" s="533" t="s">
        <v>579</v>
      </c>
      <c r="C249" s="534" t="s">
        <v>66</v>
      </c>
      <c r="D249" s="534" t="s">
        <v>59</v>
      </c>
      <c r="E249" s="534" t="s">
        <v>649</v>
      </c>
      <c r="F249" s="534" t="s">
        <v>650</v>
      </c>
      <c r="G249" s="535">
        <v>0.01</v>
      </c>
      <c r="H249" s="535">
        <v>4.7060000000000001E-3</v>
      </c>
      <c r="I249" s="536">
        <v>0.4</v>
      </c>
      <c r="J249" s="593">
        <v>4</v>
      </c>
      <c r="K249" s="537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2"/>
      <c r="AE249" s="493" t="str">
        <f ca="1">IF('CDO Bespoke'!C274&lt;&gt;"",'CDO Bespoke'!C274,"")</f>
        <v/>
      </c>
      <c r="AF249" s="495"/>
      <c r="AG249" s="583"/>
      <c r="AH249" s="583"/>
      <c r="AI249" s="583"/>
      <c r="AJ249" s="496"/>
      <c r="AK249" s="618"/>
      <c r="AL249" s="495"/>
      <c r="AM249" s="583"/>
      <c r="AN249" s="583"/>
      <c r="AO249" s="583"/>
      <c r="AP249" s="496"/>
      <c r="AQ249" s="618"/>
      <c r="AR249" s="505"/>
      <c r="AS249" s="629"/>
      <c r="AT249" s="618"/>
      <c r="AU249" s="505"/>
      <c r="AV249" s="581"/>
      <c r="AW249" s="618"/>
    </row>
    <row r="250" spans="2:49">
      <c r="B250" s="538" t="s">
        <v>580</v>
      </c>
      <c r="C250" s="539" t="s">
        <v>66</v>
      </c>
      <c r="D250" s="539" t="s">
        <v>55</v>
      </c>
      <c r="E250" s="539" t="s">
        <v>645</v>
      </c>
      <c r="F250" s="539" t="s">
        <v>650</v>
      </c>
      <c r="G250" s="540">
        <v>0.01</v>
      </c>
      <c r="H250" s="540">
        <v>1.7650000000000001E-3</v>
      </c>
      <c r="I250" s="541">
        <v>0.4</v>
      </c>
      <c r="J250" s="600">
        <v>4</v>
      </c>
      <c r="K250" s="542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2"/>
      <c r="AE250" s="493" t="str">
        <f ca="1">IF('CDO Bespoke'!C275&lt;&gt;"",'CDO Bespoke'!C275,"")</f>
        <v/>
      </c>
      <c r="AF250" s="495"/>
      <c r="AG250" s="583"/>
      <c r="AH250" s="583"/>
      <c r="AI250" s="583"/>
      <c r="AJ250" s="496"/>
      <c r="AK250" s="618"/>
      <c r="AL250" s="495"/>
      <c r="AM250" s="583"/>
      <c r="AN250" s="583"/>
      <c r="AO250" s="583"/>
      <c r="AP250" s="496"/>
      <c r="AQ250" s="618"/>
      <c r="AR250" s="505"/>
      <c r="AS250" s="629"/>
      <c r="AT250" s="618"/>
      <c r="AU250" s="505"/>
      <c r="AV250" s="581"/>
      <c r="AW250" s="618"/>
    </row>
    <row r="251" spans="2:49">
      <c r="B251" s="516" t="s">
        <v>580</v>
      </c>
      <c r="C251" s="517" t="s">
        <v>66</v>
      </c>
      <c r="D251" s="517" t="s">
        <v>57</v>
      </c>
      <c r="E251" s="517" t="s">
        <v>645</v>
      </c>
      <c r="F251" s="517" t="s">
        <v>650</v>
      </c>
      <c r="G251" s="524">
        <v>0.01</v>
      </c>
      <c r="H251" s="524">
        <v>2.9750000000000002E-3</v>
      </c>
      <c r="I251" s="526">
        <v>0.4</v>
      </c>
      <c r="J251" s="592">
        <v>4</v>
      </c>
      <c r="K251" s="518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2"/>
      <c r="AE251" s="493" t="str">
        <f ca="1">IF('CDO Bespoke'!C276&lt;&gt;"",'CDO Bespoke'!C276,"")</f>
        <v/>
      </c>
      <c r="AF251" s="495"/>
      <c r="AG251" s="583"/>
      <c r="AH251" s="583"/>
      <c r="AI251" s="583"/>
      <c r="AJ251" s="496"/>
      <c r="AK251" s="618"/>
      <c r="AL251" s="495"/>
      <c r="AM251" s="583"/>
      <c r="AN251" s="583"/>
      <c r="AO251" s="583"/>
      <c r="AP251" s="496"/>
      <c r="AQ251" s="618"/>
      <c r="AR251" s="505"/>
      <c r="AS251" s="629"/>
      <c r="AT251" s="618"/>
      <c r="AU251" s="505"/>
      <c r="AV251" s="581"/>
      <c r="AW251" s="618"/>
    </row>
    <row r="252" spans="2:49">
      <c r="B252" s="533" t="s">
        <v>580</v>
      </c>
      <c r="C252" s="534" t="s">
        <v>66</v>
      </c>
      <c r="D252" s="534" t="s">
        <v>59</v>
      </c>
      <c r="E252" s="534" t="s">
        <v>645</v>
      </c>
      <c r="F252" s="534" t="s">
        <v>650</v>
      </c>
      <c r="G252" s="535">
        <v>0.01</v>
      </c>
      <c r="H252" s="535">
        <v>4.2370000000000003E-3</v>
      </c>
      <c r="I252" s="536">
        <v>0.4</v>
      </c>
      <c r="J252" s="593">
        <v>4</v>
      </c>
      <c r="K252" s="537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2"/>
      <c r="AE252" s="493" t="str">
        <f ca="1">IF('CDO Bespoke'!C277&lt;&gt;"",'CDO Bespoke'!C277,"")</f>
        <v/>
      </c>
      <c r="AF252" s="495"/>
      <c r="AG252" s="583"/>
      <c r="AH252" s="583"/>
      <c r="AI252" s="583"/>
      <c r="AJ252" s="496"/>
      <c r="AK252" s="618"/>
      <c r="AL252" s="495"/>
      <c r="AM252" s="583"/>
      <c r="AN252" s="583"/>
      <c r="AO252" s="583"/>
      <c r="AP252" s="496"/>
      <c r="AQ252" s="618"/>
      <c r="AR252" s="505"/>
      <c r="AS252" s="629"/>
      <c r="AT252" s="618"/>
      <c r="AU252" s="505"/>
      <c r="AV252" s="581"/>
      <c r="AW252" s="618"/>
    </row>
    <row r="253" spans="2:49">
      <c r="B253" s="538" t="s">
        <v>575</v>
      </c>
      <c r="C253" s="539" t="s">
        <v>66</v>
      </c>
      <c r="D253" s="539" t="s">
        <v>55</v>
      </c>
      <c r="E253" s="539" t="s">
        <v>647</v>
      </c>
      <c r="F253" s="539" t="s">
        <v>651</v>
      </c>
      <c r="G253" s="540">
        <v>0.01</v>
      </c>
      <c r="H253" s="540">
        <v>2.5079999999999998E-3</v>
      </c>
      <c r="I253" s="541">
        <v>0.4</v>
      </c>
      <c r="J253" s="600">
        <v>7</v>
      </c>
      <c r="K253" s="542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2"/>
      <c r="AE253" s="493" t="str">
        <f ca="1">IF('CDO Bespoke'!C278&lt;&gt;"",'CDO Bespoke'!C278,"")</f>
        <v/>
      </c>
      <c r="AF253" s="495"/>
      <c r="AG253" s="583"/>
      <c r="AH253" s="583"/>
      <c r="AI253" s="583"/>
      <c r="AJ253" s="496"/>
      <c r="AK253" s="618"/>
      <c r="AL253" s="495"/>
      <c r="AM253" s="583"/>
      <c r="AN253" s="583"/>
      <c r="AO253" s="583"/>
      <c r="AP253" s="496"/>
      <c r="AQ253" s="618"/>
      <c r="AR253" s="505"/>
      <c r="AS253" s="629"/>
      <c r="AT253" s="618"/>
      <c r="AU253" s="505"/>
      <c r="AV253" s="581"/>
      <c r="AW253" s="618"/>
    </row>
    <row r="254" spans="2:49">
      <c r="B254" s="516" t="s">
        <v>575</v>
      </c>
      <c r="C254" s="517" t="s">
        <v>66</v>
      </c>
      <c r="D254" s="517" t="s">
        <v>57</v>
      </c>
      <c r="E254" s="517" t="s">
        <v>647</v>
      </c>
      <c r="F254" s="517" t="s">
        <v>651</v>
      </c>
      <c r="G254" s="524">
        <v>0.01</v>
      </c>
      <c r="H254" s="524">
        <v>4.2789999999999998E-3</v>
      </c>
      <c r="I254" s="526">
        <v>0.4</v>
      </c>
      <c r="J254" s="592">
        <v>7</v>
      </c>
      <c r="K254" s="518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2"/>
      <c r="AE254" s="493" t="str">
        <f ca="1">IF('CDO Bespoke'!C279&lt;&gt;"",'CDO Bespoke'!C279,"")</f>
        <v/>
      </c>
      <c r="AF254" s="495"/>
      <c r="AG254" s="583"/>
      <c r="AH254" s="583"/>
      <c r="AI254" s="583"/>
      <c r="AJ254" s="496"/>
      <c r="AK254" s="618"/>
      <c r="AL254" s="495"/>
      <c r="AM254" s="583"/>
      <c r="AN254" s="583"/>
      <c r="AO254" s="583"/>
      <c r="AP254" s="496"/>
      <c r="AQ254" s="618"/>
      <c r="AR254" s="505"/>
      <c r="AS254" s="629"/>
      <c r="AT254" s="618"/>
      <c r="AU254" s="505"/>
      <c r="AV254" s="581"/>
      <c r="AW254" s="618"/>
    </row>
    <row r="255" spans="2:49">
      <c r="B255" s="533" t="s">
        <v>575</v>
      </c>
      <c r="C255" s="534" t="s">
        <v>66</v>
      </c>
      <c r="D255" s="534" t="s">
        <v>59</v>
      </c>
      <c r="E255" s="534" t="s">
        <v>647</v>
      </c>
      <c r="F255" s="534" t="s">
        <v>651</v>
      </c>
      <c r="G255" s="535">
        <v>0.01</v>
      </c>
      <c r="H255" s="535">
        <v>5.8820000000000001E-3</v>
      </c>
      <c r="I255" s="536">
        <v>0.4</v>
      </c>
      <c r="J255" s="593">
        <v>7</v>
      </c>
      <c r="K255" s="537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2"/>
      <c r="AE255" s="493" t="str">
        <f ca="1">IF('CDO Bespoke'!C280&lt;&gt;"",'CDO Bespoke'!C280,"")</f>
        <v/>
      </c>
      <c r="AF255" s="495"/>
      <c r="AG255" s="583"/>
      <c r="AH255" s="583"/>
      <c r="AI255" s="583"/>
      <c r="AJ255" s="496"/>
      <c r="AK255" s="618"/>
      <c r="AL255" s="495"/>
      <c r="AM255" s="583"/>
      <c r="AN255" s="583"/>
      <c r="AO255" s="583"/>
      <c r="AP255" s="496"/>
      <c r="AQ255" s="618"/>
      <c r="AR255" s="505"/>
      <c r="AS255" s="629"/>
      <c r="AT255" s="618"/>
      <c r="AU255" s="505"/>
      <c r="AV255" s="581"/>
      <c r="AW255" s="618"/>
    </row>
    <row r="256" spans="2:49">
      <c r="B256" s="538" t="s">
        <v>581</v>
      </c>
      <c r="C256" s="539" t="s">
        <v>66</v>
      </c>
      <c r="D256" s="539" t="s">
        <v>55</v>
      </c>
      <c r="E256" s="539" t="s">
        <v>647</v>
      </c>
      <c r="F256" s="539" t="s">
        <v>668</v>
      </c>
      <c r="G256" s="540">
        <v>0.01</v>
      </c>
      <c r="H256" s="540">
        <v>2.1419999999999998E-3</v>
      </c>
      <c r="I256" s="541">
        <v>0.4</v>
      </c>
      <c r="J256" s="600">
        <v>5</v>
      </c>
      <c r="K256" s="542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2"/>
      <c r="AE256" s="493" t="str">
        <f ca="1">IF('CDO Bespoke'!C281&lt;&gt;"",'CDO Bespoke'!C281,"")</f>
        <v/>
      </c>
      <c r="AF256" s="495"/>
      <c r="AG256" s="583"/>
      <c r="AH256" s="583"/>
      <c r="AI256" s="583"/>
      <c r="AJ256" s="496"/>
      <c r="AK256" s="618"/>
      <c r="AL256" s="495"/>
      <c r="AM256" s="583"/>
      <c r="AN256" s="583"/>
      <c r="AO256" s="583"/>
      <c r="AP256" s="496"/>
      <c r="AQ256" s="618"/>
      <c r="AR256" s="505"/>
      <c r="AS256" s="629"/>
      <c r="AT256" s="618"/>
      <c r="AU256" s="505"/>
      <c r="AV256" s="581"/>
      <c r="AW256" s="618"/>
    </row>
    <row r="257" spans="2:49">
      <c r="B257" s="516" t="s">
        <v>581</v>
      </c>
      <c r="C257" s="517" t="s">
        <v>66</v>
      </c>
      <c r="D257" s="517" t="s">
        <v>57</v>
      </c>
      <c r="E257" s="517" t="s">
        <v>647</v>
      </c>
      <c r="F257" s="517" t="s">
        <v>668</v>
      </c>
      <c r="G257" s="524">
        <v>0.01</v>
      </c>
      <c r="H257" s="524">
        <v>3.333E-3</v>
      </c>
      <c r="I257" s="526">
        <v>0.4</v>
      </c>
      <c r="J257" s="592">
        <v>5</v>
      </c>
      <c r="K257" s="518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2"/>
      <c r="AE257" s="493" t="str">
        <f ca="1">IF('CDO Bespoke'!C282&lt;&gt;"",'CDO Bespoke'!C282,"")</f>
        <v/>
      </c>
      <c r="AF257" s="495"/>
      <c r="AG257" s="583"/>
      <c r="AH257" s="583"/>
      <c r="AI257" s="583"/>
      <c r="AJ257" s="496"/>
      <c r="AK257" s="618"/>
      <c r="AL257" s="495"/>
      <c r="AM257" s="583"/>
      <c r="AN257" s="583"/>
      <c r="AO257" s="583"/>
      <c r="AP257" s="496"/>
      <c r="AQ257" s="618"/>
      <c r="AR257" s="505"/>
      <c r="AS257" s="629"/>
      <c r="AT257" s="618"/>
      <c r="AU257" s="505"/>
      <c r="AV257" s="581"/>
      <c r="AW257" s="618"/>
    </row>
    <row r="258" spans="2:49">
      <c r="B258" s="533" t="s">
        <v>581</v>
      </c>
      <c r="C258" s="534" t="s">
        <v>66</v>
      </c>
      <c r="D258" s="534" t="s">
        <v>59</v>
      </c>
      <c r="E258" s="534" t="s">
        <v>647</v>
      </c>
      <c r="F258" s="534" t="s">
        <v>668</v>
      </c>
      <c r="G258" s="535">
        <v>0.01</v>
      </c>
      <c r="H258" s="535">
        <v>4.7910000000000001E-3</v>
      </c>
      <c r="I258" s="536">
        <v>0.4</v>
      </c>
      <c r="J258" s="593">
        <v>5</v>
      </c>
      <c r="K258" s="537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2"/>
      <c r="AE258" s="493" t="str">
        <f ca="1">IF('CDO Bespoke'!C283&lt;&gt;"",'CDO Bespoke'!C283,"")</f>
        <v/>
      </c>
      <c r="AF258" s="495"/>
      <c r="AG258" s="583"/>
      <c r="AH258" s="583"/>
      <c r="AI258" s="583"/>
      <c r="AJ258" s="496"/>
      <c r="AK258" s="618"/>
      <c r="AL258" s="495"/>
      <c r="AM258" s="583"/>
      <c r="AN258" s="583"/>
      <c r="AO258" s="583"/>
      <c r="AP258" s="496"/>
      <c r="AQ258" s="618"/>
      <c r="AR258" s="505"/>
      <c r="AS258" s="629"/>
      <c r="AT258" s="618"/>
      <c r="AU258" s="505"/>
      <c r="AV258" s="581"/>
      <c r="AW258" s="618"/>
    </row>
    <row r="259" spans="2:49">
      <c r="B259" s="538" t="s">
        <v>582</v>
      </c>
      <c r="C259" s="539" t="s">
        <v>66</v>
      </c>
      <c r="D259" s="539" t="s">
        <v>55</v>
      </c>
      <c r="E259" s="539" t="s">
        <v>647</v>
      </c>
      <c r="F259" s="539" t="s">
        <v>672</v>
      </c>
      <c r="G259" s="540">
        <v>0.01</v>
      </c>
      <c r="H259" s="540">
        <v>3.7789999999999998E-3</v>
      </c>
      <c r="I259" s="541">
        <v>0.4</v>
      </c>
      <c r="J259" s="600">
        <v>6</v>
      </c>
      <c r="K259" s="542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2"/>
      <c r="AE259" s="493" t="str">
        <f ca="1">IF('CDO Bespoke'!C284&lt;&gt;"",'CDO Bespoke'!C284,"")</f>
        <v/>
      </c>
      <c r="AF259" s="495"/>
      <c r="AG259" s="583"/>
      <c r="AH259" s="583"/>
      <c r="AI259" s="583"/>
      <c r="AJ259" s="496"/>
      <c r="AK259" s="618"/>
      <c r="AL259" s="495"/>
      <c r="AM259" s="583"/>
      <c r="AN259" s="583"/>
      <c r="AO259" s="583"/>
      <c r="AP259" s="496"/>
      <c r="AQ259" s="618"/>
      <c r="AR259" s="505"/>
      <c r="AS259" s="629"/>
      <c r="AT259" s="618"/>
      <c r="AU259" s="505"/>
      <c r="AV259" s="581"/>
      <c r="AW259" s="618"/>
    </row>
    <row r="260" spans="2:49">
      <c r="B260" s="516" t="s">
        <v>582</v>
      </c>
      <c r="C260" s="517" t="s">
        <v>66</v>
      </c>
      <c r="D260" s="517" t="s">
        <v>57</v>
      </c>
      <c r="E260" s="517" t="s">
        <v>647</v>
      </c>
      <c r="F260" s="517" t="s">
        <v>672</v>
      </c>
      <c r="G260" s="524">
        <v>0.01</v>
      </c>
      <c r="H260" s="524">
        <v>7.345E-3</v>
      </c>
      <c r="I260" s="526">
        <v>0.4</v>
      </c>
      <c r="J260" s="592">
        <v>6</v>
      </c>
      <c r="K260" s="518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2"/>
      <c r="AE260" s="493" t="str">
        <f ca="1">IF('CDO Bespoke'!C285&lt;&gt;"",'CDO Bespoke'!C285,"")</f>
        <v/>
      </c>
      <c r="AF260" s="495"/>
      <c r="AG260" s="583"/>
      <c r="AH260" s="583"/>
      <c r="AI260" s="583"/>
      <c r="AJ260" s="496"/>
      <c r="AK260" s="618"/>
      <c r="AL260" s="495"/>
      <c r="AM260" s="583"/>
      <c r="AN260" s="583"/>
      <c r="AO260" s="583"/>
      <c r="AP260" s="496"/>
      <c r="AQ260" s="618"/>
      <c r="AR260" s="505"/>
      <c r="AS260" s="629"/>
      <c r="AT260" s="618"/>
      <c r="AU260" s="505"/>
      <c r="AV260" s="581"/>
      <c r="AW260" s="618"/>
    </row>
    <row r="261" spans="2:49">
      <c r="B261" s="533" t="s">
        <v>582</v>
      </c>
      <c r="C261" s="534" t="s">
        <v>66</v>
      </c>
      <c r="D261" s="534" t="s">
        <v>59</v>
      </c>
      <c r="E261" s="534" t="s">
        <v>647</v>
      </c>
      <c r="F261" s="534" t="s">
        <v>672</v>
      </c>
      <c r="G261" s="535">
        <v>0.01</v>
      </c>
      <c r="H261" s="535">
        <v>1.0267999999999999E-2</v>
      </c>
      <c r="I261" s="536">
        <v>0.4</v>
      </c>
      <c r="J261" s="593">
        <v>6</v>
      </c>
      <c r="K261" s="537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2"/>
      <c r="AE261" s="493" t="str">
        <f ca="1">IF('CDO Bespoke'!C286&lt;&gt;"",'CDO Bespoke'!C286,"")</f>
        <v/>
      </c>
      <c r="AF261" s="495"/>
      <c r="AG261" s="583"/>
      <c r="AH261" s="583"/>
      <c r="AI261" s="583"/>
      <c r="AJ261" s="496"/>
      <c r="AK261" s="618"/>
      <c r="AL261" s="495"/>
      <c r="AM261" s="583"/>
      <c r="AN261" s="583"/>
      <c r="AO261" s="583"/>
      <c r="AP261" s="496"/>
      <c r="AQ261" s="618"/>
      <c r="AR261" s="505"/>
      <c r="AS261" s="629"/>
      <c r="AT261" s="618"/>
      <c r="AU261" s="505"/>
      <c r="AV261" s="581"/>
      <c r="AW261" s="618"/>
    </row>
    <row r="262" spans="2:49">
      <c r="B262" s="538" t="s">
        <v>583</v>
      </c>
      <c r="C262" s="539" t="s">
        <v>66</v>
      </c>
      <c r="D262" s="539" t="s">
        <v>55</v>
      </c>
      <c r="E262" s="539" t="s">
        <v>647</v>
      </c>
      <c r="F262" s="539" t="s">
        <v>672</v>
      </c>
      <c r="G262" s="540">
        <v>0.01</v>
      </c>
      <c r="H262" s="540">
        <v>2.137E-3</v>
      </c>
      <c r="I262" s="541">
        <v>0.4</v>
      </c>
      <c r="J262" s="600">
        <v>6</v>
      </c>
      <c r="K262" s="542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2"/>
      <c r="AE262" s="493" t="str">
        <f ca="1">IF('CDO Bespoke'!C287&lt;&gt;"",'CDO Bespoke'!C287,"")</f>
        <v/>
      </c>
      <c r="AF262" s="495"/>
      <c r="AG262" s="583"/>
      <c r="AH262" s="583"/>
      <c r="AI262" s="583"/>
      <c r="AJ262" s="496"/>
      <c r="AK262" s="618"/>
      <c r="AL262" s="495"/>
      <c r="AM262" s="583"/>
      <c r="AN262" s="583"/>
      <c r="AO262" s="583"/>
      <c r="AP262" s="496"/>
      <c r="AQ262" s="618"/>
      <c r="AR262" s="505"/>
      <c r="AS262" s="629"/>
      <c r="AT262" s="618"/>
      <c r="AU262" s="505"/>
      <c r="AV262" s="581"/>
      <c r="AW262" s="618"/>
    </row>
    <row r="263" spans="2:49">
      <c r="B263" s="516" t="s">
        <v>583</v>
      </c>
      <c r="C263" s="517" t="s">
        <v>66</v>
      </c>
      <c r="D263" s="517" t="s">
        <v>57</v>
      </c>
      <c r="E263" s="517" t="s">
        <v>647</v>
      </c>
      <c r="F263" s="517" t="s">
        <v>672</v>
      </c>
      <c r="G263" s="524">
        <v>0.01</v>
      </c>
      <c r="H263" s="524">
        <v>3.2109999999999999E-3</v>
      </c>
      <c r="I263" s="526">
        <v>0.4</v>
      </c>
      <c r="J263" s="592">
        <v>6</v>
      </c>
      <c r="K263" s="518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2"/>
      <c r="AE263" s="493" t="str">
        <f ca="1">IF('CDO Bespoke'!C288&lt;&gt;"",'CDO Bespoke'!C288,"")</f>
        <v/>
      </c>
      <c r="AF263" s="495"/>
      <c r="AG263" s="583"/>
      <c r="AH263" s="583"/>
      <c r="AI263" s="583"/>
      <c r="AJ263" s="496"/>
      <c r="AK263" s="618"/>
      <c r="AL263" s="495"/>
      <c r="AM263" s="583"/>
      <c r="AN263" s="583"/>
      <c r="AO263" s="583"/>
      <c r="AP263" s="496"/>
      <c r="AQ263" s="618"/>
      <c r="AR263" s="505"/>
      <c r="AS263" s="629"/>
      <c r="AT263" s="618"/>
      <c r="AU263" s="505"/>
      <c r="AV263" s="581"/>
      <c r="AW263" s="618"/>
    </row>
    <row r="264" spans="2:49">
      <c r="B264" s="533" t="s">
        <v>583</v>
      </c>
      <c r="C264" s="534" t="s">
        <v>66</v>
      </c>
      <c r="D264" s="534" t="s">
        <v>59</v>
      </c>
      <c r="E264" s="534" t="s">
        <v>647</v>
      </c>
      <c r="F264" s="534" t="s">
        <v>672</v>
      </c>
      <c r="G264" s="535">
        <v>0.01</v>
      </c>
      <c r="H264" s="535">
        <v>4.6039999999999996E-3</v>
      </c>
      <c r="I264" s="536">
        <v>0.4</v>
      </c>
      <c r="J264" s="593">
        <v>6</v>
      </c>
      <c r="K264" s="537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2"/>
      <c r="AE264" s="493" t="str">
        <f ca="1">IF('CDO Bespoke'!C289&lt;&gt;"",'CDO Bespoke'!C289,"")</f>
        <v/>
      </c>
      <c r="AF264" s="495"/>
      <c r="AG264" s="583"/>
      <c r="AH264" s="583"/>
      <c r="AI264" s="583"/>
      <c r="AJ264" s="496"/>
      <c r="AK264" s="618"/>
      <c r="AL264" s="495"/>
      <c r="AM264" s="583"/>
      <c r="AN264" s="583"/>
      <c r="AO264" s="583"/>
      <c r="AP264" s="496"/>
      <c r="AQ264" s="618"/>
      <c r="AR264" s="505"/>
      <c r="AS264" s="629"/>
      <c r="AT264" s="618"/>
      <c r="AU264" s="505"/>
      <c r="AV264" s="581"/>
      <c r="AW264" s="618"/>
    </row>
    <row r="265" spans="2:49">
      <c r="B265" s="538" t="s">
        <v>584</v>
      </c>
      <c r="C265" s="539" t="s">
        <v>66</v>
      </c>
      <c r="D265" s="539" t="s">
        <v>55</v>
      </c>
      <c r="E265" s="539" t="s">
        <v>647</v>
      </c>
      <c r="F265" s="539" t="s">
        <v>668</v>
      </c>
      <c r="G265" s="540">
        <v>0.01</v>
      </c>
      <c r="H265" s="540">
        <v>4.9890000000000004E-3</v>
      </c>
      <c r="I265" s="541">
        <v>0.4</v>
      </c>
      <c r="J265" s="600">
        <v>5</v>
      </c>
      <c r="K265" s="542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2"/>
      <c r="AE265" s="493" t="str">
        <f ca="1">IF('CDO Bespoke'!C290&lt;&gt;"",'CDO Bespoke'!C290,"")</f>
        <v/>
      </c>
      <c r="AF265" s="495"/>
      <c r="AG265" s="583"/>
      <c r="AH265" s="583"/>
      <c r="AI265" s="583"/>
      <c r="AJ265" s="496"/>
      <c r="AK265" s="618"/>
      <c r="AL265" s="495"/>
      <c r="AM265" s="583"/>
      <c r="AN265" s="583"/>
      <c r="AO265" s="583"/>
      <c r="AP265" s="496"/>
      <c r="AQ265" s="618"/>
      <c r="AR265" s="505"/>
      <c r="AS265" s="629"/>
      <c r="AT265" s="618"/>
      <c r="AU265" s="505"/>
      <c r="AV265" s="581"/>
      <c r="AW265" s="618"/>
    </row>
    <row r="266" spans="2:49">
      <c r="B266" s="516" t="s">
        <v>584</v>
      </c>
      <c r="C266" s="517" t="s">
        <v>66</v>
      </c>
      <c r="D266" s="517" t="s">
        <v>57</v>
      </c>
      <c r="E266" s="517" t="s">
        <v>647</v>
      </c>
      <c r="F266" s="517" t="s">
        <v>668</v>
      </c>
      <c r="G266" s="524">
        <v>0.01</v>
      </c>
      <c r="H266" s="524">
        <v>1.01E-2</v>
      </c>
      <c r="I266" s="526">
        <v>0.4</v>
      </c>
      <c r="J266" s="592">
        <v>5</v>
      </c>
      <c r="K266" s="518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2"/>
      <c r="AE266" s="493" t="str">
        <f ca="1">IF('CDO Bespoke'!C291&lt;&gt;"",'CDO Bespoke'!C291,"")</f>
        <v/>
      </c>
      <c r="AF266" s="495"/>
      <c r="AG266" s="583"/>
      <c r="AH266" s="583"/>
      <c r="AI266" s="583"/>
      <c r="AJ266" s="496"/>
      <c r="AK266" s="618"/>
      <c r="AL266" s="495"/>
      <c r="AM266" s="583"/>
      <c r="AN266" s="583"/>
      <c r="AO266" s="583"/>
      <c r="AP266" s="496"/>
      <c r="AQ266" s="618"/>
      <c r="AR266" s="505"/>
      <c r="AS266" s="629"/>
      <c r="AT266" s="618"/>
      <c r="AU266" s="505"/>
      <c r="AV266" s="581"/>
      <c r="AW266" s="618"/>
    </row>
    <row r="267" spans="2:49">
      <c r="B267" s="533" t="s">
        <v>584</v>
      </c>
      <c r="C267" s="534" t="s">
        <v>66</v>
      </c>
      <c r="D267" s="534" t="s">
        <v>59</v>
      </c>
      <c r="E267" s="534" t="s">
        <v>647</v>
      </c>
      <c r="F267" s="534" t="s">
        <v>668</v>
      </c>
      <c r="G267" s="535">
        <v>0.01</v>
      </c>
      <c r="H267" s="535">
        <v>1.474E-2</v>
      </c>
      <c r="I267" s="536">
        <v>0.4</v>
      </c>
      <c r="J267" s="593">
        <v>5</v>
      </c>
      <c r="K267" s="537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2"/>
      <c r="AE267" s="493" t="str">
        <f ca="1">IF('CDO Bespoke'!C292&lt;&gt;"",'CDO Bespoke'!C292,"")</f>
        <v/>
      </c>
      <c r="AF267" s="495"/>
      <c r="AG267" s="583"/>
      <c r="AH267" s="583"/>
      <c r="AI267" s="583"/>
      <c r="AJ267" s="496"/>
      <c r="AK267" s="618"/>
      <c r="AL267" s="495"/>
      <c r="AM267" s="583"/>
      <c r="AN267" s="583"/>
      <c r="AO267" s="583"/>
      <c r="AP267" s="496"/>
      <c r="AQ267" s="618"/>
      <c r="AR267" s="505"/>
      <c r="AS267" s="629"/>
      <c r="AT267" s="618"/>
      <c r="AU267" s="505"/>
      <c r="AV267" s="581"/>
      <c r="AW267" s="618"/>
    </row>
    <row r="268" spans="2:49">
      <c r="B268" s="538" t="s">
        <v>594</v>
      </c>
      <c r="C268" s="539" t="s">
        <v>66</v>
      </c>
      <c r="D268" s="539" t="s">
        <v>55</v>
      </c>
      <c r="E268" s="539" t="s">
        <v>647</v>
      </c>
      <c r="F268" s="539" t="s">
        <v>672</v>
      </c>
      <c r="G268" s="540">
        <v>0.01</v>
      </c>
      <c r="H268" s="540">
        <v>2.7200000000000002E-3</v>
      </c>
      <c r="I268" s="541">
        <v>0.4</v>
      </c>
      <c r="J268" s="600">
        <v>6</v>
      </c>
      <c r="K268" s="542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2"/>
      <c r="AE268" s="493" t="str">
        <f ca="1">IF('CDO Bespoke'!C293&lt;&gt;"",'CDO Bespoke'!C293,"")</f>
        <v/>
      </c>
      <c r="AF268" s="495"/>
      <c r="AG268" s="583"/>
      <c r="AH268" s="583"/>
      <c r="AI268" s="583"/>
      <c r="AJ268" s="496"/>
      <c r="AK268" s="618"/>
      <c r="AL268" s="495"/>
      <c r="AM268" s="583"/>
      <c r="AN268" s="583"/>
      <c r="AO268" s="583"/>
      <c r="AP268" s="496"/>
      <c r="AQ268" s="618"/>
      <c r="AR268" s="505"/>
      <c r="AS268" s="629"/>
      <c r="AT268" s="618"/>
      <c r="AU268" s="505"/>
      <c r="AV268" s="581"/>
      <c r="AW268" s="618"/>
    </row>
    <row r="269" spans="2:49">
      <c r="B269" s="516" t="s">
        <v>594</v>
      </c>
      <c r="C269" s="517" t="s">
        <v>66</v>
      </c>
      <c r="D269" s="517" t="s">
        <v>57</v>
      </c>
      <c r="E269" s="517" t="s">
        <v>647</v>
      </c>
      <c r="F269" s="517" t="s">
        <v>672</v>
      </c>
      <c r="G269" s="524">
        <v>0.01</v>
      </c>
      <c r="H269" s="524">
        <v>4.6210000000000001E-3</v>
      </c>
      <c r="I269" s="526">
        <v>0.4</v>
      </c>
      <c r="J269" s="592">
        <v>6</v>
      </c>
      <c r="K269" s="518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2"/>
      <c r="AE269" s="493" t="str">
        <f ca="1">IF('CDO Bespoke'!C294&lt;&gt;"",'CDO Bespoke'!C294,"")</f>
        <v/>
      </c>
      <c r="AF269" s="495"/>
      <c r="AG269" s="583"/>
      <c r="AH269" s="583"/>
      <c r="AI269" s="583"/>
      <c r="AJ269" s="496"/>
      <c r="AK269" s="618"/>
      <c r="AL269" s="495"/>
      <c r="AM269" s="583"/>
      <c r="AN269" s="583"/>
      <c r="AO269" s="583"/>
      <c r="AP269" s="496"/>
      <c r="AQ269" s="618"/>
      <c r="AR269" s="505"/>
      <c r="AS269" s="629"/>
      <c r="AT269" s="618"/>
      <c r="AU269" s="505"/>
      <c r="AV269" s="581"/>
      <c r="AW269" s="618"/>
    </row>
    <row r="270" spans="2:49">
      <c r="B270" s="533" t="s">
        <v>594</v>
      </c>
      <c r="C270" s="534" t="s">
        <v>66</v>
      </c>
      <c r="D270" s="534" t="s">
        <v>59</v>
      </c>
      <c r="E270" s="534" t="s">
        <v>647</v>
      </c>
      <c r="F270" s="534" t="s">
        <v>672</v>
      </c>
      <c r="G270" s="535">
        <v>0.01</v>
      </c>
      <c r="H270" s="535">
        <v>6.9170000000000004E-3</v>
      </c>
      <c r="I270" s="536">
        <v>0.4</v>
      </c>
      <c r="J270" s="593">
        <v>6</v>
      </c>
      <c r="K270" s="537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2"/>
      <c r="AE270" s="493" t="str">
        <f ca="1">IF('CDO Bespoke'!C295&lt;&gt;"",'CDO Bespoke'!C295,"")</f>
        <v/>
      </c>
      <c r="AF270" s="495"/>
      <c r="AG270" s="583"/>
      <c r="AH270" s="583"/>
      <c r="AI270" s="583"/>
      <c r="AJ270" s="496"/>
      <c r="AK270" s="618"/>
      <c r="AL270" s="495"/>
      <c r="AM270" s="583"/>
      <c r="AN270" s="583"/>
      <c r="AO270" s="583"/>
      <c r="AP270" s="496"/>
      <c r="AQ270" s="618"/>
      <c r="AR270" s="505"/>
      <c r="AS270" s="629"/>
      <c r="AT270" s="618"/>
      <c r="AU270" s="505"/>
      <c r="AV270" s="581"/>
      <c r="AW270" s="618"/>
    </row>
    <row r="271" spans="2:49">
      <c r="B271" s="538" t="s">
        <v>585</v>
      </c>
      <c r="C271" s="539" t="s">
        <v>66</v>
      </c>
      <c r="D271" s="539" t="s">
        <v>55</v>
      </c>
      <c r="E271" s="539" t="s">
        <v>647</v>
      </c>
      <c r="F271" s="539" t="s">
        <v>672</v>
      </c>
      <c r="G271" s="540">
        <v>0.01</v>
      </c>
      <c r="H271" s="540">
        <v>1.753E-3</v>
      </c>
      <c r="I271" s="541">
        <v>0.4</v>
      </c>
      <c r="J271" s="600">
        <v>6</v>
      </c>
      <c r="K271" s="542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2"/>
      <c r="AE271" s="493" t="str">
        <f ca="1">IF('CDO Bespoke'!C296&lt;&gt;"",'CDO Bespoke'!C296,"")</f>
        <v/>
      </c>
      <c r="AF271" s="495"/>
      <c r="AG271" s="583"/>
      <c r="AH271" s="583"/>
      <c r="AI271" s="583"/>
      <c r="AJ271" s="496"/>
      <c r="AK271" s="618"/>
      <c r="AL271" s="495"/>
      <c r="AM271" s="583"/>
      <c r="AN271" s="583"/>
      <c r="AO271" s="583"/>
      <c r="AP271" s="496"/>
      <c r="AQ271" s="618"/>
      <c r="AR271" s="505"/>
      <c r="AS271" s="629"/>
      <c r="AT271" s="618"/>
      <c r="AU271" s="505"/>
      <c r="AV271" s="581"/>
      <c r="AW271" s="618"/>
    </row>
    <row r="272" spans="2:49">
      <c r="B272" s="516" t="s">
        <v>585</v>
      </c>
      <c r="C272" s="517" t="s">
        <v>66</v>
      </c>
      <c r="D272" s="517" t="s">
        <v>57</v>
      </c>
      <c r="E272" s="517" t="s">
        <v>647</v>
      </c>
      <c r="F272" s="517" t="s">
        <v>672</v>
      </c>
      <c r="G272" s="524">
        <v>0.01</v>
      </c>
      <c r="H272" s="524">
        <v>3.101E-3</v>
      </c>
      <c r="I272" s="526">
        <v>0.4</v>
      </c>
      <c r="J272" s="592">
        <v>6</v>
      </c>
      <c r="K272" s="518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2"/>
      <c r="AE272" s="493" t="str">
        <f ca="1">IF('CDO Bespoke'!C297&lt;&gt;"",'CDO Bespoke'!C297,"")</f>
        <v/>
      </c>
      <c r="AF272" s="495"/>
      <c r="AG272" s="583"/>
      <c r="AH272" s="583"/>
      <c r="AI272" s="583"/>
      <c r="AJ272" s="496"/>
      <c r="AK272" s="618"/>
      <c r="AL272" s="495"/>
      <c r="AM272" s="583"/>
      <c r="AN272" s="583"/>
      <c r="AO272" s="583"/>
      <c r="AP272" s="496"/>
      <c r="AQ272" s="618"/>
      <c r="AR272" s="505"/>
      <c r="AS272" s="629"/>
      <c r="AT272" s="618"/>
      <c r="AU272" s="505"/>
      <c r="AV272" s="581"/>
      <c r="AW272" s="618"/>
    </row>
    <row r="273" spans="2:49">
      <c r="B273" s="533" t="s">
        <v>585</v>
      </c>
      <c r="C273" s="534" t="s">
        <v>66</v>
      </c>
      <c r="D273" s="534" t="s">
        <v>59</v>
      </c>
      <c r="E273" s="534" t="s">
        <v>647</v>
      </c>
      <c r="F273" s="534" t="s">
        <v>672</v>
      </c>
      <c r="G273" s="535">
        <v>0.01</v>
      </c>
      <c r="H273" s="535">
        <v>4.653E-3</v>
      </c>
      <c r="I273" s="536">
        <v>0.4</v>
      </c>
      <c r="J273" s="593">
        <v>6</v>
      </c>
      <c r="K273" s="537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2"/>
      <c r="AE273" s="493" t="str">
        <f ca="1">IF('CDO Bespoke'!C298&lt;&gt;"",'CDO Bespoke'!C298,"")</f>
        <v/>
      </c>
      <c r="AF273" s="495"/>
      <c r="AG273" s="583"/>
      <c r="AH273" s="583"/>
      <c r="AI273" s="583"/>
      <c r="AJ273" s="496"/>
      <c r="AK273" s="618"/>
      <c r="AL273" s="495"/>
      <c r="AM273" s="583"/>
      <c r="AN273" s="583"/>
      <c r="AO273" s="583"/>
      <c r="AP273" s="496"/>
      <c r="AQ273" s="618"/>
      <c r="AR273" s="505"/>
      <c r="AS273" s="629"/>
      <c r="AT273" s="618"/>
      <c r="AU273" s="505"/>
      <c r="AV273" s="581"/>
      <c r="AW273" s="618"/>
    </row>
    <row r="274" spans="2:49">
      <c r="B274" s="538" t="s">
        <v>586</v>
      </c>
      <c r="C274" s="539" t="s">
        <v>66</v>
      </c>
      <c r="D274" s="539" t="s">
        <v>55</v>
      </c>
      <c r="E274" s="539" t="s">
        <v>647</v>
      </c>
      <c r="F274" s="539" t="s">
        <v>668</v>
      </c>
      <c r="G274" s="540">
        <v>0.01</v>
      </c>
      <c r="H274" s="540">
        <v>3.1080000000000001E-3</v>
      </c>
      <c r="I274" s="541">
        <v>0.4</v>
      </c>
      <c r="J274" s="600">
        <v>5</v>
      </c>
      <c r="K274" s="542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2"/>
      <c r="AE274" s="493" t="str">
        <f ca="1">IF('CDO Bespoke'!C299&lt;&gt;"",'CDO Bespoke'!C299,"")</f>
        <v/>
      </c>
      <c r="AF274" s="495"/>
      <c r="AG274" s="583"/>
      <c r="AH274" s="583"/>
      <c r="AI274" s="583"/>
      <c r="AJ274" s="496"/>
      <c r="AK274" s="618"/>
      <c r="AL274" s="495"/>
      <c r="AM274" s="583"/>
      <c r="AN274" s="583"/>
      <c r="AO274" s="583"/>
      <c r="AP274" s="496"/>
      <c r="AQ274" s="618"/>
      <c r="AR274" s="505"/>
      <c r="AS274" s="629"/>
      <c r="AT274" s="618"/>
      <c r="AU274" s="505"/>
      <c r="AV274" s="581"/>
      <c r="AW274" s="618"/>
    </row>
    <row r="275" spans="2:49">
      <c r="B275" s="516" t="s">
        <v>586</v>
      </c>
      <c r="C275" s="517" t="s">
        <v>66</v>
      </c>
      <c r="D275" s="517" t="s">
        <v>57</v>
      </c>
      <c r="E275" s="517" t="s">
        <v>647</v>
      </c>
      <c r="F275" s="517" t="s">
        <v>668</v>
      </c>
      <c r="G275" s="524">
        <v>0.01</v>
      </c>
      <c r="H275" s="524">
        <v>5.4169999999999999E-3</v>
      </c>
      <c r="I275" s="526">
        <v>0.4</v>
      </c>
      <c r="J275" s="592">
        <v>5</v>
      </c>
      <c r="K275" s="518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2"/>
      <c r="AE275" s="493" t="str">
        <f ca="1">IF('CDO Bespoke'!C300&lt;&gt;"",'CDO Bespoke'!C300,"")</f>
        <v/>
      </c>
      <c r="AF275" s="495"/>
      <c r="AG275" s="583"/>
      <c r="AH275" s="583"/>
      <c r="AI275" s="583"/>
      <c r="AJ275" s="496"/>
      <c r="AK275" s="618"/>
      <c r="AL275" s="495"/>
      <c r="AM275" s="583"/>
      <c r="AN275" s="583"/>
      <c r="AO275" s="583"/>
      <c r="AP275" s="496"/>
      <c r="AQ275" s="618"/>
      <c r="AR275" s="505"/>
      <c r="AS275" s="629"/>
      <c r="AT275" s="618"/>
      <c r="AU275" s="505"/>
      <c r="AV275" s="581"/>
      <c r="AW275" s="618"/>
    </row>
    <row r="276" spans="2:49">
      <c r="B276" s="533" t="s">
        <v>586</v>
      </c>
      <c r="C276" s="534" t="s">
        <v>66</v>
      </c>
      <c r="D276" s="534" t="s">
        <v>59</v>
      </c>
      <c r="E276" s="534" t="s">
        <v>647</v>
      </c>
      <c r="F276" s="534" t="s">
        <v>668</v>
      </c>
      <c r="G276" s="535">
        <v>0.01</v>
      </c>
      <c r="H276" s="535">
        <v>8.0789999999999994E-3</v>
      </c>
      <c r="I276" s="536">
        <v>0.4</v>
      </c>
      <c r="J276" s="593">
        <v>5</v>
      </c>
      <c r="K276" s="537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2"/>
      <c r="AE276" s="493" t="str">
        <f ca="1">IF('CDO Bespoke'!C301&lt;&gt;"",'CDO Bespoke'!C301,"")</f>
        <v/>
      </c>
      <c r="AF276" s="495"/>
      <c r="AG276" s="583"/>
      <c r="AH276" s="583"/>
      <c r="AI276" s="583"/>
      <c r="AJ276" s="496"/>
      <c r="AK276" s="618"/>
      <c r="AL276" s="495"/>
      <c r="AM276" s="583"/>
      <c r="AN276" s="583"/>
      <c r="AO276" s="583"/>
      <c r="AP276" s="496"/>
      <c r="AQ276" s="618"/>
      <c r="AR276" s="505"/>
      <c r="AS276" s="629"/>
      <c r="AT276" s="618"/>
      <c r="AU276" s="505"/>
      <c r="AV276" s="581"/>
      <c r="AW276" s="618"/>
    </row>
    <row r="277" spans="2:49">
      <c r="B277" s="538" t="s">
        <v>595</v>
      </c>
      <c r="C277" s="539" t="s">
        <v>66</v>
      </c>
      <c r="D277" s="539" t="s">
        <v>55</v>
      </c>
      <c r="E277" s="539" t="s">
        <v>647</v>
      </c>
      <c r="F277" s="539" t="s">
        <v>668</v>
      </c>
      <c r="G277" s="540">
        <v>0.01</v>
      </c>
      <c r="H277" s="540">
        <v>2.4889999999999999E-3</v>
      </c>
      <c r="I277" s="541">
        <v>0.4</v>
      </c>
      <c r="J277" s="600">
        <v>5</v>
      </c>
      <c r="K277" s="542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2"/>
      <c r="AE277" s="493" t="str">
        <f ca="1">IF('CDO Bespoke'!C302&lt;&gt;"",'CDO Bespoke'!C302,"")</f>
        <v/>
      </c>
      <c r="AF277" s="495"/>
      <c r="AG277" s="583"/>
      <c r="AH277" s="583"/>
      <c r="AI277" s="583"/>
      <c r="AJ277" s="496"/>
      <c r="AK277" s="618"/>
      <c r="AL277" s="495"/>
      <c r="AM277" s="583"/>
      <c r="AN277" s="583"/>
      <c r="AO277" s="583"/>
      <c r="AP277" s="496"/>
      <c r="AQ277" s="618"/>
      <c r="AR277" s="505"/>
      <c r="AS277" s="629"/>
      <c r="AT277" s="618"/>
      <c r="AU277" s="505"/>
      <c r="AV277" s="581"/>
      <c r="AW277" s="618"/>
    </row>
    <row r="278" spans="2:49">
      <c r="B278" s="516" t="s">
        <v>595</v>
      </c>
      <c r="C278" s="517" t="s">
        <v>66</v>
      </c>
      <c r="D278" s="517" t="s">
        <v>57</v>
      </c>
      <c r="E278" s="517" t="s">
        <v>647</v>
      </c>
      <c r="F278" s="517" t="s">
        <v>668</v>
      </c>
      <c r="G278" s="524">
        <v>0.01</v>
      </c>
      <c r="H278" s="524">
        <v>4.5339999999999998E-3</v>
      </c>
      <c r="I278" s="526">
        <v>0.4</v>
      </c>
      <c r="J278" s="592">
        <v>5</v>
      </c>
      <c r="K278" s="518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2"/>
      <c r="AE278" s="493" t="str">
        <f ca="1">IF('CDO Bespoke'!C303&lt;&gt;"",'CDO Bespoke'!C303,"")</f>
        <v/>
      </c>
      <c r="AF278" s="495"/>
      <c r="AG278" s="583"/>
      <c r="AH278" s="583"/>
      <c r="AI278" s="583"/>
      <c r="AJ278" s="496"/>
      <c r="AK278" s="618"/>
      <c r="AL278" s="495"/>
      <c r="AM278" s="583"/>
      <c r="AN278" s="583"/>
      <c r="AO278" s="583"/>
      <c r="AP278" s="496"/>
      <c r="AQ278" s="618"/>
      <c r="AR278" s="505"/>
      <c r="AS278" s="629"/>
      <c r="AT278" s="618"/>
      <c r="AU278" s="505"/>
      <c r="AV278" s="581"/>
      <c r="AW278" s="618"/>
    </row>
    <row r="279" spans="2:49">
      <c r="B279" s="533" t="s">
        <v>595</v>
      </c>
      <c r="C279" s="534" t="s">
        <v>66</v>
      </c>
      <c r="D279" s="534" t="s">
        <v>59</v>
      </c>
      <c r="E279" s="534" t="s">
        <v>647</v>
      </c>
      <c r="F279" s="534" t="s">
        <v>668</v>
      </c>
      <c r="G279" s="535">
        <v>0.01</v>
      </c>
      <c r="H279" s="535">
        <v>6.875E-3</v>
      </c>
      <c r="I279" s="536">
        <v>0.4</v>
      </c>
      <c r="J279" s="593">
        <v>5</v>
      </c>
      <c r="K279" s="537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2"/>
      <c r="AE279" s="493" t="str">
        <f ca="1">IF('CDO Bespoke'!C304&lt;&gt;"",'CDO Bespoke'!C304,"")</f>
        <v/>
      </c>
      <c r="AF279" s="495"/>
      <c r="AG279" s="583"/>
      <c r="AH279" s="583"/>
      <c r="AI279" s="583"/>
      <c r="AJ279" s="496"/>
      <c r="AK279" s="618"/>
      <c r="AL279" s="495"/>
      <c r="AM279" s="583"/>
      <c r="AN279" s="583"/>
      <c r="AO279" s="583"/>
      <c r="AP279" s="496"/>
      <c r="AQ279" s="618"/>
      <c r="AR279" s="505"/>
      <c r="AS279" s="629"/>
      <c r="AT279" s="618"/>
      <c r="AU279" s="505"/>
      <c r="AV279" s="581"/>
      <c r="AW279" s="618"/>
    </row>
    <row r="280" spans="2:49">
      <c r="B280" s="538" t="s">
        <v>587</v>
      </c>
      <c r="C280" s="539" t="s">
        <v>66</v>
      </c>
      <c r="D280" s="539" t="s">
        <v>55</v>
      </c>
      <c r="E280" s="539" t="s">
        <v>647</v>
      </c>
      <c r="F280" s="539" t="s">
        <v>672</v>
      </c>
      <c r="G280" s="540">
        <v>0.01</v>
      </c>
      <c r="H280" s="540">
        <v>9.5580000000000005E-3</v>
      </c>
      <c r="I280" s="541">
        <v>0.4</v>
      </c>
      <c r="J280" s="600">
        <v>6</v>
      </c>
      <c r="K280" s="542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2"/>
      <c r="AE280" s="493" t="str">
        <f ca="1">IF('CDO Bespoke'!C305&lt;&gt;"",'CDO Bespoke'!C305,"")</f>
        <v/>
      </c>
      <c r="AF280" s="495"/>
      <c r="AG280" s="583"/>
      <c r="AH280" s="583"/>
      <c r="AI280" s="583"/>
      <c r="AJ280" s="496"/>
      <c r="AK280" s="618"/>
      <c r="AL280" s="495"/>
      <c r="AM280" s="583"/>
      <c r="AN280" s="583"/>
      <c r="AO280" s="583"/>
      <c r="AP280" s="496"/>
      <c r="AQ280" s="618"/>
      <c r="AR280" s="505"/>
      <c r="AS280" s="629"/>
      <c r="AT280" s="618"/>
      <c r="AU280" s="505"/>
      <c r="AV280" s="581"/>
      <c r="AW280" s="618"/>
    </row>
    <row r="281" spans="2:49">
      <c r="B281" s="516" t="s">
        <v>587</v>
      </c>
      <c r="C281" s="517" t="s">
        <v>66</v>
      </c>
      <c r="D281" s="517" t="s">
        <v>57</v>
      </c>
      <c r="E281" s="517" t="s">
        <v>647</v>
      </c>
      <c r="F281" s="517" t="s">
        <v>672</v>
      </c>
      <c r="G281" s="524">
        <v>0.01</v>
      </c>
      <c r="H281" s="524">
        <v>1.5862999999999999E-2</v>
      </c>
      <c r="I281" s="526">
        <v>0.4</v>
      </c>
      <c r="J281" s="592">
        <v>6</v>
      </c>
      <c r="K281" s="518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2"/>
      <c r="AE281" s="493" t="str">
        <f ca="1">IF('CDO Bespoke'!C306&lt;&gt;"",'CDO Bespoke'!C306,"")</f>
        <v/>
      </c>
      <c r="AF281" s="495"/>
      <c r="AG281" s="583"/>
      <c r="AH281" s="583"/>
      <c r="AI281" s="583"/>
      <c r="AJ281" s="496"/>
      <c r="AK281" s="618"/>
      <c r="AL281" s="495"/>
      <c r="AM281" s="583"/>
      <c r="AN281" s="583"/>
      <c r="AO281" s="583"/>
      <c r="AP281" s="496"/>
      <c r="AQ281" s="618"/>
      <c r="AR281" s="505"/>
      <c r="AS281" s="629"/>
      <c r="AT281" s="618"/>
      <c r="AU281" s="505"/>
      <c r="AV281" s="581"/>
      <c r="AW281" s="618"/>
    </row>
    <row r="282" spans="2:49">
      <c r="B282" s="533" t="s">
        <v>587</v>
      </c>
      <c r="C282" s="534" t="s">
        <v>66</v>
      </c>
      <c r="D282" s="534" t="s">
        <v>59</v>
      </c>
      <c r="E282" s="534" t="s">
        <v>647</v>
      </c>
      <c r="F282" s="534" t="s">
        <v>672</v>
      </c>
      <c r="G282" s="535">
        <v>0.01</v>
      </c>
      <c r="H282" s="535">
        <v>1.9740000000000001E-2</v>
      </c>
      <c r="I282" s="536">
        <v>0.4</v>
      </c>
      <c r="J282" s="593">
        <v>6</v>
      </c>
      <c r="K282" s="537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2"/>
      <c r="AE282" s="493" t="str">
        <f ca="1">IF('CDO Bespoke'!C307&lt;&gt;"",'CDO Bespoke'!C307,"")</f>
        <v/>
      </c>
      <c r="AF282" s="495"/>
      <c r="AG282" s="583"/>
      <c r="AH282" s="583"/>
      <c r="AI282" s="583"/>
      <c r="AJ282" s="496"/>
      <c r="AK282" s="618"/>
      <c r="AL282" s="495"/>
      <c r="AM282" s="583"/>
      <c r="AN282" s="583"/>
      <c r="AO282" s="583"/>
      <c r="AP282" s="496"/>
      <c r="AQ282" s="618"/>
      <c r="AR282" s="505"/>
      <c r="AS282" s="629"/>
      <c r="AT282" s="618"/>
      <c r="AU282" s="505"/>
      <c r="AV282" s="581"/>
      <c r="AW282" s="618"/>
    </row>
    <row r="283" spans="2:49">
      <c r="B283" s="538" t="s">
        <v>615</v>
      </c>
      <c r="C283" s="539" t="s">
        <v>66</v>
      </c>
      <c r="D283" s="539" t="s">
        <v>55</v>
      </c>
      <c r="E283" s="539" t="s">
        <v>645</v>
      </c>
      <c r="F283" s="539" t="s">
        <v>668</v>
      </c>
      <c r="G283" s="540">
        <v>0.01</v>
      </c>
      <c r="H283" s="540">
        <v>7.8799999999999996E-4</v>
      </c>
      <c r="I283" s="541">
        <v>0.4</v>
      </c>
      <c r="J283" s="600">
        <v>5</v>
      </c>
      <c r="K283" s="542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2"/>
      <c r="AE283" s="493" t="str">
        <f ca="1">IF('CDO Bespoke'!C308&lt;&gt;"",'CDO Bespoke'!C308,"")</f>
        <v/>
      </c>
      <c r="AF283" s="495"/>
      <c r="AG283" s="583"/>
      <c r="AH283" s="583"/>
      <c r="AI283" s="583"/>
      <c r="AJ283" s="496"/>
      <c r="AK283" s="618"/>
      <c r="AL283" s="495"/>
      <c r="AM283" s="583"/>
      <c r="AN283" s="583"/>
      <c r="AO283" s="583"/>
      <c r="AP283" s="496"/>
      <c r="AQ283" s="618"/>
      <c r="AR283" s="505"/>
      <c r="AS283" s="629"/>
      <c r="AT283" s="618"/>
      <c r="AU283" s="505"/>
      <c r="AV283" s="581"/>
      <c r="AW283" s="618"/>
    </row>
    <row r="284" spans="2:49">
      <c r="B284" s="516" t="s">
        <v>615</v>
      </c>
      <c r="C284" s="517" t="s">
        <v>66</v>
      </c>
      <c r="D284" s="517" t="s">
        <v>57</v>
      </c>
      <c r="E284" s="517" t="s">
        <v>645</v>
      </c>
      <c r="F284" s="517" t="s">
        <v>668</v>
      </c>
      <c r="G284" s="524">
        <v>0.01</v>
      </c>
      <c r="H284" s="524">
        <v>1.3649999999999999E-3</v>
      </c>
      <c r="I284" s="526">
        <v>0.4</v>
      </c>
      <c r="J284" s="592">
        <v>5</v>
      </c>
      <c r="K284" s="518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2"/>
      <c r="AE284" s="493" t="str">
        <f ca="1">IF('CDO Bespoke'!C309&lt;&gt;"",'CDO Bespoke'!C309,"")</f>
        <v/>
      </c>
      <c r="AF284" s="495"/>
      <c r="AG284" s="583"/>
      <c r="AH284" s="583"/>
      <c r="AI284" s="583"/>
      <c r="AJ284" s="496"/>
      <c r="AK284" s="618"/>
      <c r="AL284" s="495"/>
      <c r="AM284" s="583"/>
      <c r="AN284" s="583"/>
      <c r="AO284" s="583"/>
      <c r="AP284" s="496"/>
      <c r="AQ284" s="618"/>
      <c r="AR284" s="505"/>
      <c r="AS284" s="629"/>
      <c r="AT284" s="618"/>
      <c r="AU284" s="505"/>
      <c r="AV284" s="581"/>
      <c r="AW284" s="618"/>
    </row>
    <row r="285" spans="2:49">
      <c r="B285" s="533" t="s">
        <v>615</v>
      </c>
      <c r="C285" s="534" t="s">
        <v>66</v>
      </c>
      <c r="D285" s="534" t="s">
        <v>59</v>
      </c>
      <c r="E285" s="534" t="s">
        <v>645</v>
      </c>
      <c r="F285" s="534" t="s">
        <v>668</v>
      </c>
      <c r="G285" s="535">
        <v>0.01</v>
      </c>
      <c r="H285" s="535">
        <v>2.568E-3</v>
      </c>
      <c r="I285" s="536">
        <v>0.4</v>
      </c>
      <c r="J285" s="593">
        <v>5</v>
      </c>
      <c r="K285" s="537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2"/>
      <c r="AE285" s="493" t="str">
        <f ca="1">IF('CDO Bespoke'!C310&lt;&gt;"",'CDO Bespoke'!C310,"")</f>
        <v/>
      </c>
      <c r="AF285" s="495"/>
      <c r="AG285" s="583"/>
      <c r="AH285" s="583"/>
      <c r="AI285" s="583"/>
      <c r="AJ285" s="496"/>
      <c r="AK285" s="618"/>
      <c r="AL285" s="495"/>
      <c r="AM285" s="583"/>
      <c r="AN285" s="583"/>
      <c r="AO285" s="583"/>
      <c r="AP285" s="496"/>
      <c r="AQ285" s="618"/>
      <c r="AR285" s="505"/>
      <c r="AS285" s="629"/>
      <c r="AT285" s="618"/>
      <c r="AU285" s="505"/>
      <c r="AV285" s="581"/>
      <c r="AW285" s="618"/>
    </row>
    <row r="286" spans="2:49">
      <c r="B286" s="538" t="s">
        <v>588</v>
      </c>
      <c r="C286" s="539" t="s">
        <v>66</v>
      </c>
      <c r="D286" s="539" t="s">
        <v>55</v>
      </c>
      <c r="E286" s="539" t="s">
        <v>647</v>
      </c>
      <c r="F286" s="539" t="s">
        <v>652</v>
      </c>
      <c r="G286" s="540">
        <v>0.01</v>
      </c>
      <c r="H286" s="540">
        <v>1.861E-3</v>
      </c>
      <c r="I286" s="541">
        <v>0.4</v>
      </c>
      <c r="J286" s="600">
        <v>6</v>
      </c>
      <c r="K286" s="542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2"/>
      <c r="AE286" s="493" t="str">
        <f ca="1">IF('CDO Bespoke'!C311&lt;&gt;"",'CDO Bespoke'!C311,"")</f>
        <v/>
      </c>
      <c r="AF286" s="495"/>
      <c r="AG286" s="583"/>
      <c r="AH286" s="583"/>
      <c r="AI286" s="583"/>
      <c r="AJ286" s="496"/>
      <c r="AK286" s="618"/>
      <c r="AL286" s="495"/>
      <c r="AM286" s="583"/>
      <c r="AN286" s="583"/>
      <c r="AO286" s="583"/>
      <c r="AP286" s="496"/>
      <c r="AQ286" s="618"/>
      <c r="AR286" s="505"/>
      <c r="AS286" s="629"/>
      <c r="AT286" s="618"/>
      <c r="AU286" s="505"/>
      <c r="AV286" s="581"/>
      <c r="AW286" s="618"/>
    </row>
    <row r="287" spans="2:49">
      <c r="B287" s="516" t="s">
        <v>588</v>
      </c>
      <c r="C287" s="517" t="s">
        <v>66</v>
      </c>
      <c r="D287" s="517" t="s">
        <v>57</v>
      </c>
      <c r="E287" s="517" t="s">
        <v>647</v>
      </c>
      <c r="F287" s="517" t="s">
        <v>652</v>
      </c>
      <c r="G287" s="524">
        <v>0.01</v>
      </c>
      <c r="H287" s="524">
        <v>3.0709999999999999E-3</v>
      </c>
      <c r="I287" s="526">
        <v>0.4</v>
      </c>
      <c r="J287" s="592">
        <v>6</v>
      </c>
      <c r="K287" s="518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2"/>
      <c r="AE287" s="493" t="str">
        <f ca="1">IF('CDO Bespoke'!C312&lt;&gt;"",'CDO Bespoke'!C312,"")</f>
        <v/>
      </c>
      <c r="AF287" s="495"/>
      <c r="AG287" s="583"/>
      <c r="AH287" s="583"/>
      <c r="AI287" s="583"/>
      <c r="AJ287" s="496"/>
      <c r="AK287" s="618"/>
      <c r="AL287" s="495"/>
      <c r="AM287" s="583"/>
      <c r="AN287" s="583"/>
      <c r="AO287" s="583"/>
      <c r="AP287" s="496"/>
      <c r="AQ287" s="618"/>
      <c r="AR287" s="505"/>
      <c r="AS287" s="629"/>
      <c r="AT287" s="618"/>
      <c r="AU287" s="505"/>
      <c r="AV287" s="581"/>
      <c r="AW287" s="618"/>
    </row>
    <row r="288" spans="2:49">
      <c r="B288" s="533" t="s">
        <v>588</v>
      </c>
      <c r="C288" s="534" t="s">
        <v>66</v>
      </c>
      <c r="D288" s="534" t="s">
        <v>59</v>
      </c>
      <c r="E288" s="534" t="s">
        <v>647</v>
      </c>
      <c r="F288" s="534" t="s">
        <v>652</v>
      </c>
      <c r="G288" s="535">
        <v>0.01</v>
      </c>
      <c r="H288" s="535">
        <v>4.4549999999999998E-3</v>
      </c>
      <c r="I288" s="536">
        <v>0.4</v>
      </c>
      <c r="J288" s="593">
        <v>6</v>
      </c>
      <c r="K288" s="537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2"/>
      <c r="AE288" s="493" t="str">
        <f ca="1">IF('CDO Bespoke'!C313&lt;&gt;"",'CDO Bespoke'!C313,"")</f>
        <v/>
      </c>
      <c r="AF288" s="495"/>
      <c r="AG288" s="583"/>
      <c r="AH288" s="583"/>
      <c r="AI288" s="583"/>
      <c r="AJ288" s="496"/>
      <c r="AK288" s="618"/>
      <c r="AL288" s="495"/>
      <c r="AM288" s="583"/>
      <c r="AN288" s="583"/>
      <c r="AO288" s="583"/>
      <c r="AP288" s="496"/>
      <c r="AQ288" s="618"/>
      <c r="AR288" s="505"/>
      <c r="AS288" s="629"/>
      <c r="AT288" s="618"/>
      <c r="AU288" s="505"/>
      <c r="AV288" s="581"/>
      <c r="AW288" s="618"/>
    </row>
    <row r="289" spans="2:49">
      <c r="B289" s="538" t="s">
        <v>596</v>
      </c>
      <c r="C289" s="539" t="s">
        <v>66</v>
      </c>
      <c r="D289" s="539" t="s">
        <v>55</v>
      </c>
      <c r="E289" s="539" t="s">
        <v>647</v>
      </c>
      <c r="F289" s="539" t="s">
        <v>672</v>
      </c>
      <c r="G289" s="540">
        <v>0.01</v>
      </c>
      <c r="H289" s="540">
        <v>3.8760000000000001E-3</v>
      </c>
      <c r="I289" s="541">
        <v>0.4</v>
      </c>
      <c r="J289" s="600">
        <v>6</v>
      </c>
      <c r="K289" s="542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2"/>
      <c r="AE289" s="493" t="str">
        <f ca="1">IF('CDO Bespoke'!C314&lt;&gt;"",'CDO Bespoke'!C314,"")</f>
        <v/>
      </c>
      <c r="AF289" s="495"/>
      <c r="AG289" s="583"/>
      <c r="AH289" s="583"/>
      <c r="AI289" s="583"/>
      <c r="AJ289" s="496"/>
      <c r="AK289" s="618"/>
      <c r="AL289" s="495"/>
      <c r="AM289" s="583"/>
      <c r="AN289" s="583"/>
      <c r="AO289" s="583"/>
      <c r="AP289" s="496"/>
      <c r="AQ289" s="618"/>
      <c r="AR289" s="505"/>
      <c r="AS289" s="629"/>
      <c r="AT289" s="618"/>
      <c r="AU289" s="505"/>
      <c r="AV289" s="581"/>
      <c r="AW289" s="618"/>
    </row>
    <row r="290" spans="2:49">
      <c r="B290" s="516" t="s">
        <v>596</v>
      </c>
      <c r="C290" s="517" t="s">
        <v>66</v>
      </c>
      <c r="D290" s="517" t="s">
        <v>57</v>
      </c>
      <c r="E290" s="517" t="s">
        <v>647</v>
      </c>
      <c r="F290" s="517" t="s">
        <v>672</v>
      </c>
      <c r="G290" s="524">
        <v>0.01</v>
      </c>
      <c r="H290" s="524">
        <v>6.6940000000000003E-3</v>
      </c>
      <c r="I290" s="526">
        <v>0.4</v>
      </c>
      <c r="J290" s="592">
        <v>6</v>
      </c>
      <c r="K290" s="518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2"/>
      <c r="AE290" s="493" t="str">
        <f ca="1">IF('CDO Bespoke'!C315&lt;&gt;"",'CDO Bespoke'!C315,"")</f>
        <v/>
      </c>
      <c r="AF290" s="495"/>
      <c r="AG290" s="583"/>
      <c r="AH290" s="583"/>
      <c r="AI290" s="583"/>
      <c r="AJ290" s="496"/>
      <c r="AK290" s="618"/>
      <c r="AL290" s="495"/>
      <c r="AM290" s="583"/>
      <c r="AN290" s="583"/>
      <c r="AO290" s="583"/>
      <c r="AP290" s="496"/>
      <c r="AQ290" s="618"/>
      <c r="AR290" s="505"/>
      <c r="AS290" s="629"/>
      <c r="AT290" s="618"/>
      <c r="AU290" s="505"/>
      <c r="AV290" s="581"/>
      <c r="AW290" s="618"/>
    </row>
    <row r="291" spans="2:49">
      <c r="B291" s="533" t="s">
        <v>596</v>
      </c>
      <c r="C291" s="534" t="s">
        <v>66</v>
      </c>
      <c r="D291" s="534" t="s">
        <v>59</v>
      </c>
      <c r="E291" s="534" t="s">
        <v>647</v>
      </c>
      <c r="F291" s="534" t="s">
        <v>672</v>
      </c>
      <c r="G291" s="535">
        <v>0.01</v>
      </c>
      <c r="H291" s="535">
        <v>1.0071999999999999E-2</v>
      </c>
      <c r="I291" s="536">
        <v>0.4</v>
      </c>
      <c r="J291" s="593">
        <v>6</v>
      </c>
      <c r="K291" s="537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2"/>
      <c r="AE291" s="493" t="str">
        <f ca="1">IF('CDO Bespoke'!C316&lt;&gt;"",'CDO Bespoke'!C316,"")</f>
        <v/>
      </c>
      <c r="AF291" s="495"/>
      <c r="AG291" s="583"/>
      <c r="AH291" s="583"/>
      <c r="AI291" s="583"/>
      <c r="AJ291" s="496"/>
      <c r="AK291" s="618"/>
      <c r="AL291" s="495"/>
      <c r="AM291" s="583"/>
      <c r="AN291" s="583"/>
      <c r="AO291" s="583"/>
      <c r="AP291" s="496"/>
      <c r="AQ291" s="618"/>
      <c r="AR291" s="505"/>
      <c r="AS291" s="629"/>
      <c r="AT291" s="618"/>
      <c r="AU291" s="505"/>
      <c r="AV291" s="581"/>
      <c r="AW291" s="618"/>
    </row>
    <row r="292" spans="2:49">
      <c r="B292" s="538" t="s">
        <v>589</v>
      </c>
      <c r="C292" s="539" t="s">
        <v>66</v>
      </c>
      <c r="D292" s="539" t="s">
        <v>55</v>
      </c>
      <c r="E292" s="539" t="s">
        <v>645</v>
      </c>
      <c r="F292" s="539" t="s">
        <v>672</v>
      </c>
      <c r="G292" s="540">
        <v>0.01</v>
      </c>
      <c r="H292" s="540">
        <v>1.3079999999999999E-3</v>
      </c>
      <c r="I292" s="541">
        <v>0.4</v>
      </c>
      <c r="J292" s="600">
        <v>6</v>
      </c>
      <c r="K292" s="542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2"/>
      <c r="AE292" s="493" t="str">
        <f ca="1">IF('CDO Bespoke'!C317&lt;&gt;"",'CDO Bespoke'!C317,"")</f>
        <v/>
      </c>
      <c r="AF292" s="495"/>
      <c r="AG292" s="583"/>
      <c r="AH292" s="583"/>
      <c r="AI292" s="583"/>
      <c r="AJ292" s="496"/>
      <c r="AK292" s="618"/>
      <c r="AL292" s="495"/>
      <c r="AM292" s="583"/>
      <c r="AN292" s="583"/>
      <c r="AO292" s="583"/>
      <c r="AP292" s="496"/>
      <c r="AQ292" s="618"/>
      <c r="AR292" s="505"/>
      <c r="AS292" s="629"/>
      <c r="AT292" s="618"/>
      <c r="AU292" s="505"/>
      <c r="AV292" s="581"/>
      <c r="AW292" s="618"/>
    </row>
    <row r="293" spans="2:49">
      <c r="B293" s="516" t="s">
        <v>589</v>
      </c>
      <c r="C293" s="517" t="s">
        <v>66</v>
      </c>
      <c r="D293" s="517" t="s">
        <v>57</v>
      </c>
      <c r="E293" s="517" t="s">
        <v>645</v>
      </c>
      <c r="F293" s="517" t="s">
        <v>672</v>
      </c>
      <c r="G293" s="524">
        <v>0.01</v>
      </c>
      <c r="H293" s="524">
        <v>2.3080000000000002E-3</v>
      </c>
      <c r="I293" s="526">
        <v>0.4</v>
      </c>
      <c r="J293" s="592">
        <v>6</v>
      </c>
      <c r="K293" s="518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2"/>
      <c r="AE293" s="493" t="str">
        <f ca="1">IF('CDO Bespoke'!C318&lt;&gt;"",'CDO Bespoke'!C318,"")</f>
        <v/>
      </c>
      <c r="AF293" s="495"/>
      <c r="AG293" s="583"/>
      <c r="AH293" s="583"/>
      <c r="AI293" s="583"/>
      <c r="AJ293" s="496"/>
      <c r="AK293" s="618"/>
      <c r="AL293" s="495"/>
      <c r="AM293" s="583"/>
      <c r="AN293" s="583"/>
      <c r="AO293" s="583"/>
      <c r="AP293" s="496"/>
      <c r="AQ293" s="618"/>
      <c r="AR293" s="505"/>
      <c r="AS293" s="629"/>
      <c r="AT293" s="618"/>
      <c r="AU293" s="505"/>
      <c r="AV293" s="581"/>
      <c r="AW293" s="618"/>
    </row>
    <row r="294" spans="2:49">
      <c r="B294" s="533" t="s">
        <v>589</v>
      </c>
      <c r="C294" s="534" t="s">
        <v>66</v>
      </c>
      <c r="D294" s="534" t="s">
        <v>59</v>
      </c>
      <c r="E294" s="534" t="s">
        <v>645</v>
      </c>
      <c r="F294" s="534" t="s">
        <v>672</v>
      </c>
      <c r="G294" s="535">
        <v>0.01</v>
      </c>
      <c r="H294" s="535">
        <v>3.643E-3</v>
      </c>
      <c r="I294" s="536">
        <v>0.4</v>
      </c>
      <c r="J294" s="593">
        <v>6</v>
      </c>
      <c r="K294" s="537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2"/>
      <c r="AE294" s="493" t="str">
        <f ca="1">IF('CDO Bespoke'!C319&lt;&gt;"",'CDO Bespoke'!C319,"")</f>
        <v/>
      </c>
      <c r="AF294" s="495"/>
      <c r="AG294" s="583"/>
      <c r="AH294" s="583"/>
      <c r="AI294" s="583"/>
      <c r="AJ294" s="496"/>
      <c r="AK294" s="618"/>
      <c r="AL294" s="495"/>
      <c r="AM294" s="583"/>
      <c r="AN294" s="583"/>
      <c r="AO294" s="583"/>
      <c r="AP294" s="496"/>
      <c r="AQ294" s="618"/>
      <c r="AR294" s="505"/>
      <c r="AS294" s="629"/>
      <c r="AT294" s="618"/>
      <c r="AU294" s="505"/>
      <c r="AV294" s="581"/>
      <c r="AW294" s="618"/>
    </row>
    <row r="295" spans="2:49">
      <c r="B295" s="538" t="s">
        <v>597</v>
      </c>
      <c r="C295" s="539" t="s">
        <v>66</v>
      </c>
      <c r="D295" s="539" t="s">
        <v>55</v>
      </c>
      <c r="E295" s="539" t="s">
        <v>647</v>
      </c>
      <c r="F295" s="539" t="s">
        <v>672</v>
      </c>
      <c r="G295" s="540">
        <v>0.01</v>
      </c>
      <c r="H295" s="540">
        <v>1.5479999999999999E-3</v>
      </c>
      <c r="I295" s="541">
        <v>0.4</v>
      </c>
      <c r="J295" s="600">
        <v>6</v>
      </c>
      <c r="K295" s="542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2"/>
      <c r="AE295" s="493" t="str">
        <f ca="1">IF('CDO Bespoke'!C320&lt;&gt;"",'CDO Bespoke'!C320,"")</f>
        <v/>
      </c>
      <c r="AF295" s="495"/>
      <c r="AG295" s="583"/>
      <c r="AH295" s="583"/>
      <c r="AI295" s="583"/>
      <c r="AJ295" s="496"/>
      <c r="AK295" s="618"/>
      <c r="AL295" s="495"/>
      <c r="AM295" s="583"/>
      <c r="AN295" s="583"/>
      <c r="AO295" s="583"/>
      <c r="AP295" s="496"/>
      <c r="AQ295" s="618"/>
      <c r="AR295" s="505"/>
      <c r="AS295" s="629"/>
      <c r="AT295" s="618"/>
      <c r="AU295" s="505"/>
      <c r="AV295" s="581"/>
      <c r="AW295" s="618"/>
    </row>
    <row r="296" spans="2:49">
      <c r="B296" s="516" t="s">
        <v>597</v>
      </c>
      <c r="C296" s="517" t="s">
        <v>66</v>
      </c>
      <c r="D296" s="517" t="s">
        <v>57</v>
      </c>
      <c r="E296" s="517" t="s">
        <v>647</v>
      </c>
      <c r="F296" s="517" t="s">
        <v>672</v>
      </c>
      <c r="G296" s="524">
        <v>0.01</v>
      </c>
      <c r="H296" s="524">
        <v>2.565E-3</v>
      </c>
      <c r="I296" s="526">
        <v>0.4</v>
      </c>
      <c r="J296" s="592">
        <v>6</v>
      </c>
      <c r="K296" s="518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2"/>
      <c r="AE296" s="493" t="str">
        <f ca="1">IF('CDO Bespoke'!C321&lt;&gt;"",'CDO Bespoke'!C321,"")</f>
        <v/>
      </c>
      <c r="AF296" s="495"/>
      <c r="AG296" s="583"/>
      <c r="AH296" s="583"/>
      <c r="AI296" s="583"/>
      <c r="AJ296" s="496"/>
      <c r="AK296" s="618"/>
      <c r="AL296" s="495"/>
      <c r="AM296" s="583"/>
      <c r="AN296" s="583"/>
      <c r="AO296" s="583"/>
      <c r="AP296" s="496"/>
      <c r="AQ296" s="618"/>
      <c r="AR296" s="505"/>
      <c r="AS296" s="629"/>
      <c r="AT296" s="618"/>
      <c r="AU296" s="505"/>
      <c r="AV296" s="581"/>
      <c r="AW296" s="618"/>
    </row>
    <row r="297" spans="2:49">
      <c r="B297" s="533" t="s">
        <v>597</v>
      </c>
      <c r="C297" s="534" t="s">
        <v>66</v>
      </c>
      <c r="D297" s="534" t="s">
        <v>59</v>
      </c>
      <c r="E297" s="534" t="s">
        <v>647</v>
      </c>
      <c r="F297" s="534" t="s">
        <v>672</v>
      </c>
      <c r="G297" s="535">
        <v>0.01</v>
      </c>
      <c r="H297" s="535">
        <v>3.594E-3</v>
      </c>
      <c r="I297" s="536">
        <v>0.4</v>
      </c>
      <c r="J297" s="593">
        <v>6</v>
      </c>
      <c r="K297" s="537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2"/>
      <c r="AE297" s="493" t="str">
        <f ca="1">IF('CDO Bespoke'!C322&lt;&gt;"",'CDO Bespoke'!C322,"")</f>
        <v/>
      </c>
      <c r="AF297" s="495"/>
      <c r="AG297" s="583"/>
      <c r="AH297" s="583"/>
      <c r="AI297" s="583"/>
      <c r="AJ297" s="496"/>
      <c r="AK297" s="618"/>
      <c r="AL297" s="495"/>
      <c r="AM297" s="583"/>
      <c r="AN297" s="583"/>
      <c r="AO297" s="583"/>
      <c r="AP297" s="496"/>
      <c r="AQ297" s="618"/>
      <c r="AR297" s="505"/>
      <c r="AS297" s="629"/>
      <c r="AT297" s="618"/>
      <c r="AU297" s="505"/>
      <c r="AV297" s="581"/>
      <c r="AW297" s="618"/>
    </row>
    <row r="298" spans="2:49">
      <c r="B298" s="538" t="s">
        <v>590</v>
      </c>
      <c r="C298" s="539" t="s">
        <v>66</v>
      </c>
      <c r="D298" s="539" t="s">
        <v>55</v>
      </c>
      <c r="E298" s="539" t="s">
        <v>647</v>
      </c>
      <c r="F298" s="539" t="s">
        <v>672</v>
      </c>
      <c r="G298" s="540">
        <v>0.01</v>
      </c>
      <c r="H298" s="540">
        <v>1.606E-3</v>
      </c>
      <c r="I298" s="541">
        <v>0.4</v>
      </c>
      <c r="J298" s="600">
        <v>6</v>
      </c>
      <c r="K298" s="542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2"/>
      <c r="AE298" s="493" t="str">
        <f ca="1">IF('CDO Bespoke'!C323&lt;&gt;"",'CDO Bespoke'!C323,"")</f>
        <v/>
      </c>
      <c r="AF298" s="495"/>
      <c r="AG298" s="583"/>
      <c r="AH298" s="583"/>
      <c r="AI298" s="583"/>
      <c r="AJ298" s="496"/>
      <c r="AK298" s="618"/>
      <c r="AL298" s="495"/>
      <c r="AM298" s="583"/>
      <c r="AN298" s="583"/>
      <c r="AO298" s="583"/>
      <c r="AP298" s="496"/>
      <c r="AQ298" s="618"/>
      <c r="AR298" s="505"/>
      <c r="AS298" s="629"/>
      <c r="AT298" s="618"/>
      <c r="AU298" s="505"/>
      <c r="AV298" s="581"/>
      <c r="AW298" s="618"/>
    </row>
    <row r="299" spans="2:49">
      <c r="B299" s="516" t="s">
        <v>590</v>
      </c>
      <c r="C299" s="517" t="s">
        <v>66</v>
      </c>
      <c r="D299" s="517" t="s">
        <v>57</v>
      </c>
      <c r="E299" s="517" t="s">
        <v>647</v>
      </c>
      <c r="F299" s="517" t="s">
        <v>672</v>
      </c>
      <c r="G299" s="524">
        <v>0.01</v>
      </c>
      <c r="H299" s="524">
        <v>2.6679999999999998E-3</v>
      </c>
      <c r="I299" s="526">
        <v>0.4</v>
      </c>
      <c r="J299" s="592">
        <v>6</v>
      </c>
      <c r="K299" s="518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2"/>
      <c r="AE299" s="493" t="str">
        <f ca="1">IF('CDO Bespoke'!C324&lt;&gt;"",'CDO Bespoke'!C324,"")</f>
        <v/>
      </c>
      <c r="AF299" s="495"/>
      <c r="AG299" s="583"/>
      <c r="AH299" s="583"/>
      <c r="AI299" s="583"/>
      <c r="AJ299" s="496"/>
      <c r="AK299" s="618"/>
      <c r="AL299" s="495"/>
      <c r="AM299" s="583"/>
      <c r="AN299" s="583"/>
      <c r="AO299" s="583"/>
      <c r="AP299" s="496"/>
      <c r="AQ299" s="618"/>
      <c r="AR299" s="505"/>
      <c r="AS299" s="629"/>
      <c r="AT299" s="618"/>
      <c r="AU299" s="505"/>
      <c r="AV299" s="581"/>
      <c r="AW299" s="618"/>
    </row>
    <row r="300" spans="2:49">
      <c r="B300" s="533" t="s">
        <v>590</v>
      </c>
      <c r="C300" s="534" t="s">
        <v>66</v>
      </c>
      <c r="D300" s="534" t="s">
        <v>59</v>
      </c>
      <c r="E300" s="534" t="s">
        <v>647</v>
      </c>
      <c r="F300" s="534" t="s">
        <v>672</v>
      </c>
      <c r="G300" s="535">
        <v>0.01</v>
      </c>
      <c r="H300" s="535">
        <v>3.9750000000000002E-3</v>
      </c>
      <c r="I300" s="536">
        <v>0.4</v>
      </c>
      <c r="J300" s="593">
        <v>6</v>
      </c>
      <c r="K300" s="537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2"/>
      <c r="AE300" s="493" t="str">
        <f ca="1">IF('CDO Bespoke'!C325&lt;&gt;"",'CDO Bespoke'!C325,"")</f>
        <v/>
      </c>
      <c r="AF300" s="495"/>
      <c r="AG300" s="583"/>
      <c r="AH300" s="583"/>
      <c r="AI300" s="583"/>
      <c r="AJ300" s="496"/>
      <c r="AK300" s="618"/>
      <c r="AL300" s="495"/>
      <c r="AM300" s="583"/>
      <c r="AN300" s="583"/>
      <c r="AO300" s="583"/>
      <c r="AP300" s="496"/>
      <c r="AQ300" s="618"/>
      <c r="AR300" s="505"/>
      <c r="AS300" s="629"/>
      <c r="AT300" s="618"/>
      <c r="AU300" s="505"/>
      <c r="AV300" s="581"/>
      <c r="AW300" s="618"/>
    </row>
    <row r="301" spans="2:49">
      <c r="B301" s="538" t="s">
        <v>591</v>
      </c>
      <c r="C301" s="539" t="s">
        <v>66</v>
      </c>
      <c r="D301" s="539" t="s">
        <v>55</v>
      </c>
      <c r="E301" s="539" t="s">
        <v>647</v>
      </c>
      <c r="F301" s="539" t="s">
        <v>668</v>
      </c>
      <c r="G301" s="540">
        <v>0.01</v>
      </c>
      <c r="H301" s="540">
        <v>3.0330000000000001E-3</v>
      </c>
      <c r="I301" s="541">
        <v>0.4</v>
      </c>
      <c r="J301" s="600">
        <v>5</v>
      </c>
      <c r="K301" s="542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2"/>
      <c r="AE301" s="493" t="str">
        <f ca="1">IF('CDO Bespoke'!C326&lt;&gt;"",'CDO Bespoke'!C326,"")</f>
        <v/>
      </c>
      <c r="AF301" s="495"/>
      <c r="AG301" s="583"/>
      <c r="AH301" s="583"/>
      <c r="AI301" s="583"/>
      <c r="AJ301" s="496"/>
      <c r="AK301" s="618"/>
      <c r="AL301" s="495"/>
      <c r="AM301" s="583"/>
      <c r="AN301" s="583"/>
      <c r="AO301" s="583"/>
      <c r="AP301" s="496"/>
      <c r="AQ301" s="618"/>
      <c r="AR301" s="505"/>
      <c r="AS301" s="629"/>
      <c r="AT301" s="618"/>
      <c r="AU301" s="505"/>
      <c r="AV301" s="581"/>
      <c r="AW301" s="618"/>
    </row>
    <row r="302" spans="2:49">
      <c r="B302" s="516" t="s">
        <v>591</v>
      </c>
      <c r="C302" s="517" t="s">
        <v>66</v>
      </c>
      <c r="D302" s="517" t="s">
        <v>57</v>
      </c>
      <c r="E302" s="517" t="s">
        <v>647</v>
      </c>
      <c r="F302" s="517" t="s">
        <v>668</v>
      </c>
      <c r="G302" s="524">
        <v>0.01</v>
      </c>
      <c r="H302" s="524">
        <v>5.5510000000000004E-3</v>
      </c>
      <c r="I302" s="526">
        <v>0.4</v>
      </c>
      <c r="J302" s="592">
        <v>5</v>
      </c>
      <c r="K302" s="518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2"/>
      <c r="AE302" s="493" t="str">
        <f ca="1">IF('CDO Bespoke'!C327&lt;&gt;"",'CDO Bespoke'!C327,"")</f>
        <v/>
      </c>
      <c r="AF302" s="495"/>
      <c r="AG302" s="583"/>
      <c r="AH302" s="583"/>
      <c r="AI302" s="583"/>
      <c r="AJ302" s="496"/>
      <c r="AK302" s="618"/>
      <c r="AL302" s="495"/>
      <c r="AM302" s="583"/>
      <c r="AN302" s="583"/>
      <c r="AO302" s="583"/>
      <c r="AP302" s="496"/>
      <c r="AQ302" s="618"/>
      <c r="AR302" s="505"/>
      <c r="AS302" s="629"/>
      <c r="AT302" s="618"/>
      <c r="AU302" s="505"/>
      <c r="AV302" s="581"/>
      <c r="AW302" s="618"/>
    </row>
    <row r="303" spans="2:49">
      <c r="B303" s="533" t="s">
        <v>591</v>
      </c>
      <c r="C303" s="534" t="s">
        <v>66</v>
      </c>
      <c r="D303" s="534" t="s">
        <v>59</v>
      </c>
      <c r="E303" s="534" t="s">
        <v>647</v>
      </c>
      <c r="F303" s="534" t="s">
        <v>668</v>
      </c>
      <c r="G303" s="535">
        <v>0.01</v>
      </c>
      <c r="H303" s="535">
        <v>8.4740000000000006E-3</v>
      </c>
      <c r="I303" s="536">
        <v>0.4</v>
      </c>
      <c r="J303" s="593">
        <v>5</v>
      </c>
      <c r="K303" s="537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2"/>
      <c r="AE303" s="493" t="str">
        <f ca="1">IF('CDO Bespoke'!C328&lt;&gt;"",'CDO Bespoke'!C328,"")</f>
        <v/>
      </c>
      <c r="AF303" s="495"/>
      <c r="AG303" s="583"/>
      <c r="AH303" s="583"/>
      <c r="AI303" s="583"/>
      <c r="AJ303" s="496"/>
      <c r="AK303" s="618"/>
      <c r="AL303" s="495"/>
      <c r="AM303" s="583"/>
      <c r="AN303" s="583"/>
      <c r="AO303" s="583"/>
      <c r="AP303" s="496"/>
      <c r="AQ303" s="618"/>
      <c r="AR303" s="505"/>
      <c r="AS303" s="629"/>
      <c r="AT303" s="618"/>
      <c r="AU303" s="505"/>
      <c r="AV303" s="581"/>
      <c r="AW303" s="618"/>
    </row>
    <row r="304" spans="2:49">
      <c r="B304" s="538" t="s">
        <v>592</v>
      </c>
      <c r="C304" s="539" t="s">
        <v>66</v>
      </c>
      <c r="D304" s="539" t="s">
        <v>55</v>
      </c>
      <c r="E304" s="539" t="s">
        <v>647</v>
      </c>
      <c r="F304" s="539" t="s">
        <v>672</v>
      </c>
      <c r="G304" s="540">
        <v>0.01</v>
      </c>
      <c r="H304" s="540">
        <v>3.7399999999999998E-3</v>
      </c>
      <c r="I304" s="541">
        <v>0.4</v>
      </c>
      <c r="J304" s="600">
        <v>6</v>
      </c>
      <c r="K304" s="542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2"/>
      <c r="AE304" s="493" t="str">
        <f ca="1">IF('CDO Bespoke'!C329&lt;&gt;"",'CDO Bespoke'!C329,"")</f>
        <v/>
      </c>
      <c r="AF304" s="495"/>
      <c r="AG304" s="583"/>
      <c r="AH304" s="583"/>
      <c r="AI304" s="583"/>
      <c r="AJ304" s="496"/>
      <c r="AK304" s="618"/>
      <c r="AL304" s="495"/>
      <c r="AM304" s="583"/>
      <c r="AN304" s="583"/>
      <c r="AO304" s="583"/>
      <c r="AP304" s="496"/>
      <c r="AQ304" s="618"/>
      <c r="AR304" s="505"/>
      <c r="AS304" s="629"/>
      <c r="AT304" s="618"/>
      <c r="AU304" s="505"/>
      <c r="AV304" s="581"/>
      <c r="AW304" s="618"/>
    </row>
    <row r="305" spans="2:49">
      <c r="B305" s="516" t="s">
        <v>592</v>
      </c>
      <c r="C305" s="517" t="s">
        <v>66</v>
      </c>
      <c r="D305" s="517" t="s">
        <v>57</v>
      </c>
      <c r="E305" s="517" t="s">
        <v>647</v>
      </c>
      <c r="F305" s="517" t="s">
        <v>672</v>
      </c>
      <c r="G305" s="524">
        <v>0.01</v>
      </c>
      <c r="H305" s="524">
        <v>6.6239999999999997E-3</v>
      </c>
      <c r="I305" s="526">
        <v>0.4</v>
      </c>
      <c r="J305" s="592">
        <v>6</v>
      </c>
      <c r="K305" s="518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2"/>
      <c r="AE305" s="493" t="str">
        <f ca="1">IF('CDO Bespoke'!C330&lt;&gt;"",'CDO Bespoke'!C330,"")</f>
        <v/>
      </c>
      <c r="AF305" s="495"/>
      <c r="AG305" s="583"/>
      <c r="AH305" s="583"/>
      <c r="AI305" s="583"/>
      <c r="AJ305" s="496"/>
      <c r="AK305" s="618"/>
      <c r="AL305" s="495"/>
      <c r="AM305" s="583"/>
      <c r="AN305" s="583"/>
      <c r="AO305" s="583"/>
      <c r="AP305" s="496"/>
      <c r="AQ305" s="618"/>
      <c r="AR305" s="505"/>
      <c r="AS305" s="629"/>
      <c r="AT305" s="618"/>
      <c r="AU305" s="505"/>
      <c r="AV305" s="581"/>
      <c r="AW305" s="618"/>
    </row>
    <row r="306" spans="2:49">
      <c r="B306" s="533" t="s">
        <v>592</v>
      </c>
      <c r="C306" s="534" t="s">
        <v>66</v>
      </c>
      <c r="D306" s="534" t="s">
        <v>59</v>
      </c>
      <c r="E306" s="534" t="s">
        <v>647</v>
      </c>
      <c r="F306" s="534" t="s">
        <v>672</v>
      </c>
      <c r="G306" s="535">
        <v>0.01</v>
      </c>
      <c r="H306" s="535">
        <v>9.2910000000000006E-3</v>
      </c>
      <c r="I306" s="536">
        <v>0.4</v>
      </c>
      <c r="J306" s="593">
        <v>6</v>
      </c>
      <c r="K306" s="537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2"/>
      <c r="AE306" s="493" t="str">
        <f ca="1">IF('CDO Bespoke'!C331&lt;&gt;"",'CDO Bespoke'!C331,"")</f>
        <v/>
      </c>
      <c r="AF306" s="495"/>
      <c r="AG306" s="583"/>
      <c r="AH306" s="583"/>
      <c r="AI306" s="583"/>
      <c r="AJ306" s="496"/>
      <c r="AK306" s="618"/>
      <c r="AL306" s="495"/>
      <c r="AM306" s="583"/>
      <c r="AN306" s="583"/>
      <c r="AO306" s="583"/>
      <c r="AP306" s="496"/>
      <c r="AQ306" s="618"/>
      <c r="AR306" s="505"/>
      <c r="AS306" s="629"/>
      <c r="AT306" s="618"/>
      <c r="AU306" s="505"/>
      <c r="AV306" s="581"/>
      <c r="AW306" s="618"/>
    </row>
    <row r="307" spans="2:49">
      <c r="B307" s="538" t="s">
        <v>593</v>
      </c>
      <c r="C307" s="539" t="s">
        <v>66</v>
      </c>
      <c r="D307" s="539" t="s">
        <v>55</v>
      </c>
      <c r="E307" s="539" t="s">
        <v>647</v>
      </c>
      <c r="F307" s="539" t="s">
        <v>668</v>
      </c>
      <c r="G307" s="540">
        <v>0.01</v>
      </c>
      <c r="H307" s="540">
        <v>3.8470000000000002E-3</v>
      </c>
      <c r="I307" s="541">
        <v>0.4</v>
      </c>
      <c r="J307" s="600">
        <v>5</v>
      </c>
      <c r="K307" s="542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2"/>
      <c r="AE307" s="493" t="str">
        <f ca="1">IF('CDO Bespoke'!C332&lt;&gt;"",'CDO Bespoke'!C332,"")</f>
        <v/>
      </c>
      <c r="AF307" s="495"/>
      <c r="AG307" s="583"/>
      <c r="AH307" s="583"/>
      <c r="AI307" s="583"/>
      <c r="AJ307" s="496"/>
      <c r="AK307" s="618"/>
      <c r="AL307" s="495"/>
      <c r="AM307" s="583"/>
      <c r="AN307" s="583"/>
      <c r="AO307" s="583"/>
      <c r="AP307" s="496"/>
      <c r="AQ307" s="618"/>
      <c r="AR307" s="505"/>
      <c r="AS307" s="629"/>
      <c r="AT307" s="618"/>
      <c r="AU307" s="505"/>
      <c r="AV307" s="581"/>
      <c r="AW307" s="618"/>
    </row>
    <row r="308" spans="2:49">
      <c r="B308" s="516" t="s">
        <v>593</v>
      </c>
      <c r="C308" s="517" t="s">
        <v>66</v>
      </c>
      <c r="D308" s="517" t="s">
        <v>57</v>
      </c>
      <c r="E308" s="517" t="s">
        <v>647</v>
      </c>
      <c r="F308" s="517" t="s">
        <v>668</v>
      </c>
      <c r="G308" s="524">
        <v>0.01</v>
      </c>
      <c r="H308" s="524">
        <v>6.4609999999999997E-3</v>
      </c>
      <c r="I308" s="526">
        <v>0.4</v>
      </c>
      <c r="J308" s="592">
        <v>5</v>
      </c>
      <c r="K308" s="518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2"/>
      <c r="AE308" s="493" t="str">
        <f ca="1">IF('CDO Bespoke'!C333&lt;&gt;"",'CDO Bespoke'!C333,"")</f>
        <v/>
      </c>
      <c r="AF308" s="495"/>
      <c r="AG308" s="583"/>
      <c r="AH308" s="583"/>
      <c r="AI308" s="583"/>
      <c r="AJ308" s="496"/>
      <c r="AK308" s="618"/>
      <c r="AL308" s="495"/>
      <c r="AM308" s="583"/>
      <c r="AN308" s="583"/>
      <c r="AO308" s="583"/>
      <c r="AP308" s="496"/>
      <c r="AQ308" s="618"/>
      <c r="AR308" s="505"/>
      <c r="AS308" s="629"/>
      <c r="AT308" s="618"/>
      <c r="AU308" s="505"/>
      <c r="AV308" s="581"/>
      <c r="AW308" s="618"/>
    </row>
    <row r="309" spans="2:49">
      <c r="B309" s="533" t="s">
        <v>593</v>
      </c>
      <c r="C309" s="534" t="s">
        <v>66</v>
      </c>
      <c r="D309" s="534" t="s">
        <v>59</v>
      </c>
      <c r="E309" s="534" t="s">
        <v>647</v>
      </c>
      <c r="F309" s="534" t="s">
        <v>668</v>
      </c>
      <c r="G309" s="535">
        <v>0.01</v>
      </c>
      <c r="H309" s="535">
        <v>8.9420000000000003E-3</v>
      </c>
      <c r="I309" s="536">
        <v>0.4</v>
      </c>
      <c r="J309" s="593">
        <v>5</v>
      </c>
      <c r="K309" s="537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2"/>
      <c r="AE309" s="493" t="str">
        <f ca="1">IF('CDO Bespoke'!C334&lt;&gt;"",'CDO Bespoke'!C334,"")</f>
        <v/>
      </c>
      <c r="AF309" s="495"/>
      <c r="AG309" s="583"/>
      <c r="AH309" s="583"/>
      <c r="AI309" s="583"/>
      <c r="AJ309" s="496"/>
      <c r="AK309" s="618"/>
      <c r="AL309" s="495"/>
      <c r="AM309" s="583"/>
      <c r="AN309" s="583"/>
      <c r="AO309" s="583"/>
      <c r="AP309" s="496"/>
      <c r="AQ309" s="618"/>
      <c r="AR309" s="505"/>
      <c r="AS309" s="629"/>
      <c r="AT309" s="618"/>
      <c r="AU309" s="505"/>
      <c r="AV309" s="581"/>
      <c r="AW309" s="618"/>
    </row>
    <row r="310" spans="2:49">
      <c r="B310" s="538"/>
      <c r="C310" s="539" t="s">
        <v>66</v>
      </c>
      <c r="D310" s="539" t="s">
        <v>55</v>
      </c>
      <c r="E310" s="539"/>
      <c r="F310" s="539"/>
      <c r="G310" s="540">
        <v>0.01</v>
      </c>
      <c r="H310" s="540"/>
      <c r="I310" s="541">
        <v>0.4</v>
      </c>
      <c r="J310" s="600"/>
      <c r="K310" s="542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2"/>
      <c r="AE310" s="493" t="str">
        <f ca="1">IF('CDO Bespoke'!C335&lt;&gt;"",'CDO Bespoke'!C335,"")</f>
        <v/>
      </c>
      <c r="AF310" s="495"/>
      <c r="AG310" s="583"/>
      <c r="AH310" s="583"/>
      <c r="AI310" s="583"/>
      <c r="AJ310" s="496"/>
      <c r="AK310" s="618"/>
      <c r="AL310" s="495"/>
      <c r="AM310" s="583"/>
      <c r="AN310" s="583"/>
      <c r="AO310" s="583"/>
      <c r="AP310" s="496"/>
      <c r="AQ310" s="618"/>
      <c r="AR310" s="505"/>
      <c r="AS310" s="629"/>
      <c r="AT310" s="618"/>
      <c r="AU310" s="505"/>
      <c r="AV310" s="581"/>
      <c r="AW310" s="618"/>
    </row>
    <row r="311" spans="2:49">
      <c r="B311" s="516"/>
      <c r="C311" s="517" t="s">
        <v>66</v>
      </c>
      <c r="D311" s="517" t="s">
        <v>57</v>
      </c>
      <c r="E311" s="517"/>
      <c r="F311" s="517"/>
      <c r="G311" s="524">
        <v>0.01</v>
      </c>
      <c r="H311" s="524"/>
      <c r="I311" s="526">
        <v>0.4</v>
      </c>
      <c r="J311" s="592"/>
      <c r="K311" s="518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2"/>
      <c r="AE311" s="493" t="str">
        <f ca="1">IF('CDO Bespoke'!C336&lt;&gt;"",'CDO Bespoke'!C336,"")</f>
        <v/>
      </c>
      <c r="AF311" s="495"/>
      <c r="AG311" s="583"/>
      <c r="AH311" s="583"/>
      <c r="AI311" s="583"/>
      <c r="AJ311" s="496"/>
      <c r="AK311" s="618"/>
      <c r="AL311" s="495"/>
      <c r="AM311" s="583"/>
      <c r="AN311" s="583"/>
      <c r="AO311" s="583"/>
      <c r="AP311" s="496"/>
      <c r="AQ311" s="618"/>
      <c r="AR311" s="505"/>
      <c r="AS311" s="629"/>
      <c r="AT311" s="618"/>
      <c r="AU311" s="505"/>
      <c r="AV311" s="581"/>
      <c r="AW311" s="618"/>
    </row>
    <row r="312" spans="2:49">
      <c r="B312" s="533"/>
      <c r="C312" s="534" t="s">
        <v>66</v>
      </c>
      <c r="D312" s="534" t="s">
        <v>59</v>
      </c>
      <c r="E312" s="534"/>
      <c r="F312" s="534"/>
      <c r="G312" s="535">
        <v>0.01</v>
      </c>
      <c r="H312" s="535"/>
      <c r="I312" s="536">
        <v>0.4</v>
      </c>
      <c r="J312" s="593"/>
      <c r="K312" s="537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2"/>
      <c r="AE312" s="493" t="str">
        <f ca="1">IF('CDO Bespoke'!C337&lt;&gt;"",'CDO Bespoke'!C337,"")</f>
        <v/>
      </c>
      <c r="AF312" s="495"/>
      <c r="AG312" s="583"/>
      <c r="AH312" s="583"/>
      <c r="AI312" s="583"/>
      <c r="AJ312" s="496"/>
      <c r="AK312" s="618"/>
      <c r="AL312" s="495"/>
      <c r="AM312" s="583"/>
      <c r="AN312" s="583"/>
      <c r="AO312" s="583"/>
      <c r="AP312" s="496"/>
      <c r="AQ312" s="618"/>
      <c r="AR312" s="505"/>
      <c r="AS312" s="629"/>
      <c r="AT312" s="618"/>
      <c r="AU312" s="505"/>
      <c r="AV312" s="581"/>
      <c r="AW312" s="618"/>
    </row>
    <row r="313" spans="2:49" ht="10.5" thickBot="1">
      <c r="B313" s="538"/>
      <c r="C313" s="539" t="s">
        <v>66</v>
      </c>
      <c r="D313" s="539" t="s">
        <v>55</v>
      </c>
      <c r="E313" s="539"/>
      <c r="F313" s="539"/>
      <c r="G313" s="540">
        <v>0.01</v>
      </c>
      <c r="H313" s="540"/>
      <c r="I313" s="541">
        <v>0.4</v>
      </c>
      <c r="J313" s="600"/>
      <c r="K313" s="542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2"/>
      <c r="AE313" s="494" t="str">
        <f ca="1">IF('CDO Bespoke'!C338&lt;&gt;"",'CDO Bespoke'!C338,"")</f>
        <v/>
      </c>
      <c r="AF313" s="497"/>
      <c r="AG313" s="498"/>
      <c r="AH313" s="498"/>
      <c r="AI313" s="498"/>
      <c r="AJ313" s="499"/>
      <c r="AK313" s="618"/>
      <c r="AL313" s="497"/>
      <c r="AM313" s="498"/>
      <c r="AN313" s="498"/>
      <c r="AO313" s="498"/>
      <c r="AP313" s="499"/>
      <c r="AQ313" s="618"/>
      <c r="AR313" s="506"/>
      <c r="AS313" s="630"/>
      <c r="AT313" s="618"/>
      <c r="AU313" s="506"/>
      <c r="AV313" s="631"/>
      <c r="AW313" s="618"/>
    </row>
    <row r="314" spans="2:49">
      <c r="B314" s="516"/>
      <c r="C314" s="517" t="s">
        <v>66</v>
      </c>
      <c r="D314" s="517" t="s">
        <v>57</v>
      </c>
      <c r="E314" s="517"/>
      <c r="F314" s="517"/>
      <c r="G314" s="524">
        <v>0.01</v>
      </c>
      <c r="H314" s="524"/>
      <c r="I314" s="526">
        <v>0.4</v>
      </c>
      <c r="J314" s="592"/>
      <c r="K314" s="518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2"/>
      <c r="AL314" s="579"/>
      <c r="AM314" s="579"/>
      <c r="AN314" s="579"/>
      <c r="AO314" s="579"/>
      <c r="AP314" s="579"/>
    </row>
    <row r="315" spans="2:49">
      <c r="B315" s="533"/>
      <c r="C315" s="534" t="s">
        <v>66</v>
      </c>
      <c r="D315" s="534" t="s">
        <v>59</v>
      </c>
      <c r="E315" s="534"/>
      <c r="F315" s="534"/>
      <c r="G315" s="535">
        <v>0.01</v>
      </c>
      <c r="H315" s="535"/>
      <c r="I315" s="536">
        <v>0.4</v>
      </c>
      <c r="J315" s="593"/>
      <c r="K315" s="537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2"/>
      <c r="AL315" s="579"/>
      <c r="AM315" s="579"/>
      <c r="AN315" s="579"/>
      <c r="AO315" s="579"/>
      <c r="AP315" s="579"/>
    </row>
    <row r="316" spans="2:49">
      <c r="B316" s="538"/>
      <c r="C316" s="539" t="s">
        <v>66</v>
      </c>
      <c r="D316" s="539" t="s">
        <v>55</v>
      </c>
      <c r="E316" s="539"/>
      <c r="F316" s="539"/>
      <c r="G316" s="540">
        <v>0.01</v>
      </c>
      <c r="H316" s="540"/>
      <c r="I316" s="541">
        <v>0.4</v>
      </c>
      <c r="J316" s="600"/>
      <c r="K316" s="542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2"/>
    </row>
    <row r="317" spans="2:49">
      <c r="B317" s="516"/>
      <c r="C317" s="517" t="s">
        <v>66</v>
      </c>
      <c r="D317" s="517" t="s">
        <v>57</v>
      </c>
      <c r="E317" s="517"/>
      <c r="F317" s="517"/>
      <c r="G317" s="524">
        <v>0.01</v>
      </c>
      <c r="H317" s="524"/>
      <c r="I317" s="526">
        <v>0.4</v>
      </c>
      <c r="J317" s="592"/>
      <c r="K317" s="518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2"/>
    </row>
    <row r="318" spans="2:49">
      <c r="B318" s="533"/>
      <c r="C318" s="534" t="s">
        <v>66</v>
      </c>
      <c r="D318" s="534" t="s">
        <v>59</v>
      </c>
      <c r="E318" s="534"/>
      <c r="F318" s="534"/>
      <c r="G318" s="535">
        <v>0.01</v>
      </c>
      <c r="H318" s="535"/>
      <c r="I318" s="536">
        <v>0.4</v>
      </c>
      <c r="J318" s="593"/>
      <c r="K318" s="537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2"/>
    </row>
    <row r="319" spans="2:49">
      <c r="B319" s="538"/>
      <c r="C319" s="539" t="s">
        <v>66</v>
      </c>
      <c r="D319" s="539" t="s">
        <v>55</v>
      </c>
      <c r="E319" s="539"/>
      <c r="F319" s="539"/>
      <c r="G319" s="540">
        <v>0.01</v>
      </c>
      <c r="H319" s="540"/>
      <c r="I319" s="541">
        <v>0.4</v>
      </c>
      <c r="J319" s="600"/>
      <c r="K319" s="542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2"/>
    </row>
    <row r="320" spans="2:49">
      <c r="B320" s="516"/>
      <c r="C320" s="517" t="s">
        <v>66</v>
      </c>
      <c r="D320" s="517" t="s">
        <v>57</v>
      </c>
      <c r="E320" s="517"/>
      <c r="F320" s="517"/>
      <c r="G320" s="524">
        <v>0.01</v>
      </c>
      <c r="H320" s="524"/>
      <c r="I320" s="526">
        <v>0.4</v>
      </c>
      <c r="J320" s="592"/>
      <c r="K320" s="518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2"/>
    </row>
    <row r="321" spans="2:30">
      <c r="B321" s="533"/>
      <c r="C321" s="534" t="s">
        <v>66</v>
      </c>
      <c r="D321" s="534" t="s">
        <v>59</v>
      </c>
      <c r="E321" s="534"/>
      <c r="F321" s="534"/>
      <c r="G321" s="535">
        <v>0.01</v>
      </c>
      <c r="H321" s="535"/>
      <c r="I321" s="536">
        <v>0.4</v>
      </c>
      <c r="J321" s="593"/>
      <c r="K321" s="537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2"/>
    </row>
    <row r="322" spans="2:30">
      <c r="B322" s="538"/>
      <c r="C322" s="539" t="s">
        <v>66</v>
      </c>
      <c r="D322" s="539" t="s">
        <v>55</v>
      </c>
      <c r="E322" s="539"/>
      <c r="F322" s="539"/>
      <c r="G322" s="540">
        <v>0.01</v>
      </c>
      <c r="H322" s="540"/>
      <c r="I322" s="541">
        <v>0.4</v>
      </c>
      <c r="J322" s="600"/>
      <c r="K322" s="542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2"/>
    </row>
    <row r="323" spans="2:30">
      <c r="B323" s="516"/>
      <c r="C323" s="517" t="s">
        <v>66</v>
      </c>
      <c r="D323" s="517" t="s">
        <v>57</v>
      </c>
      <c r="E323" s="517"/>
      <c r="F323" s="517"/>
      <c r="G323" s="524">
        <v>0.01</v>
      </c>
      <c r="H323" s="524"/>
      <c r="I323" s="526">
        <v>0.4</v>
      </c>
      <c r="J323" s="592"/>
      <c r="K323" s="518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2"/>
    </row>
    <row r="324" spans="2:30">
      <c r="B324" s="533"/>
      <c r="C324" s="534" t="s">
        <v>66</v>
      </c>
      <c r="D324" s="534" t="s">
        <v>59</v>
      </c>
      <c r="E324" s="534"/>
      <c r="F324" s="534"/>
      <c r="G324" s="535">
        <v>0.01</v>
      </c>
      <c r="H324" s="535"/>
      <c r="I324" s="536">
        <v>0.4</v>
      </c>
      <c r="J324" s="593"/>
      <c r="K324" s="537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2"/>
    </row>
    <row r="325" spans="2:30">
      <c r="B325" s="538"/>
      <c r="C325" s="539" t="s">
        <v>66</v>
      </c>
      <c r="D325" s="539" t="s">
        <v>55</v>
      </c>
      <c r="E325" s="539"/>
      <c r="F325" s="539"/>
      <c r="G325" s="540">
        <v>0.01</v>
      </c>
      <c r="H325" s="540"/>
      <c r="I325" s="541">
        <v>0.4</v>
      </c>
      <c r="J325" s="600"/>
      <c r="K325" s="542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2"/>
    </row>
    <row r="326" spans="2:30">
      <c r="B326" s="516"/>
      <c r="C326" s="517" t="s">
        <v>66</v>
      </c>
      <c r="D326" s="517" t="s">
        <v>57</v>
      </c>
      <c r="E326" s="517"/>
      <c r="F326" s="517"/>
      <c r="G326" s="524">
        <v>0.01</v>
      </c>
      <c r="H326" s="524"/>
      <c r="I326" s="526">
        <v>0.4</v>
      </c>
      <c r="J326" s="592"/>
      <c r="K326" s="518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2"/>
    </row>
    <row r="327" spans="2:30">
      <c r="B327" s="533"/>
      <c r="C327" s="534" t="s">
        <v>66</v>
      </c>
      <c r="D327" s="534" t="s">
        <v>59</v>
      </c>
      <c r="E327" s="534"/>
      <c r="F327" s="534"/>
      <c r="G327" s="535">
        <v>0.01</v>
      </c>
      <c r="H327" s="535"/>
      <c r="I327" s="536">
        <v>0.4</v>
      </c>
      <c r="J327" s="593"/>
      <c r="K327" s="537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2"/>
    </row>
    <row r="328" spans="2:30">
      <c r="B328" s="538"/>
      <c r="C328" s="539" t="s">
        <v>66</v>
      </c>
      <c r="D328" s="539" t="s">
        <v>55</v>
      </c>
      <c r="E328" s="539"/>
      <c r="F328" s="539"/>
      <c r="G328" s="540">
        <v>0.01</v>
      </c>
      <c r="H328" s="540"/>
      <c r="I328" s="541">
        <v>0.4</v>
      </c>
      <c r="J328" s="600"/>
      <c r="K328" s="542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2"/>
    </row>
    <row r="329" spans="2:30">
      <c r="B329" s="516"/>
      <c r="C329" s="517" t="s">
        <v>66</v>
      </c>
      <c r="D329" s="517" t="s">
        <v>57</v>
      </c>
      <c r="E329" s="517"/>
      <c r="F329" s="517"/>
      <c r="G329" s="524">
        <v>0.01</v>
      </c>
      <c r="H329" s="524"/>
      <c r="I329" s="526">
        <v>0.4</v>
      </c>
      <c r="J329" s="592"/>
      <c r="K329" s="518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3"/>
      <c r="W329" s="273"/>
      <c r="X329" s="273"/>
      <c r="Y329" s="273"/>
      <c r="Z329" s="273"/>
      <c r="AA329" s="273"/>
      <c r="AB329" s="273"/>
      <c r="AC329" s="273"/>
      <c r="AD329" s="272"/>
    </row>
    <row r="330" spans="2:30">
      <c r="B330" s="533"/>
      <c r="C330" s="534" t="s">
        <v>66</v>
      </c>
      <c r="D330" s="534" t="s">
        <v>59</v>
      </c>
      <c r="E330" s="534"/>
      <c r="F330" s="534"/>
      <c r="G330" s="535">
        <v>0.01</v>
      </c>
      <c r="H330" s="535"/>
      <c r="I330" s="536">
        <v>0.4</v>
      </c>
      <c r="J330" s="593"/>
      <c r="K330" s="537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3"/>
      <c r="W330" s="273"/>
      <c r="X330" s="273"/>
      <c r="Y330" s="273"/>
      <c r="Z330" s="273"/>
      <c r="AA330" s="273"/>
      <c r="AB330" s="273"/>
      <c r="AC330" s="273"/>
      <c r="AD330" s="272"/>
    </row>
    <row r="331" spans="2:30">
      <c r="B331" s="538"/>
      <c r="C331" s="539" t="s">
        <v>66</v>
      </c>
      <c r="D331" s="539" t="s">
        <v>55</v>
      </c>
      <c r="E331" s="539"/>
      <c r="F331" s="539"/>
      <c r="G331" s="540">
        <v>0.01</v>
      </c>
      <c r="H331" s="540"/>
      <c r="I331" s="541">
        <v>0.4</v>
      </c>
      <c r="J331" s="600"/>
      <c r="K331" s="542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3"/>
      <c r="W331" s="273"/>
      <c r="X331" s="273"/>
      <c r="Y331" s="273"/>
      <c r="Z331" s="273"/>
      <c r="AA331" s="273"/>
      <c r="AB331" s="273"/>
      <c r="AC331" s="273"/>
      <c r="AD331" s="272"/>
    </row>
    <row r="332" spans="2:30">
      <c r="B332" s="516"/>
      <c r="C332" s="517" t="s">
        <v>66</v>
      </c>
      <c r="D332" s="517" t="s">
        <v>57</v>
      </c>
      <c r="E332" s="517"/>
      <c r="F332" s="517"/>
      <c r="G332" s="524">
        <v>0.01</v>
      </c>
      <c r="H332" s="524"/>
      <c r="I332" s="526">
        <v>0.4</v>
      </c>
      <c r="J332" s="592"/>
      <c r="K332" s="518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3"/>
      <c r="W332" s="273"/>
      <c r="X332" s="273"/>
      <c r="Y332" s="273"/>
      <c r="Z332" s="273"/>
      <c r="AA332" s="273"/>
      <c r="AB332" s="273"/>
      <c r="AC332" s="273"/>
      <c r="AD332" s="272"/>
    </row>
    <row r="333" spans="2:30">
      <c r="B333" s="533"/>
      <c r="C333" s="534" t="s">
        <v>66</v>
      </c>
      <c r="D333" s="534" t="s">
        <v>59</v>
      </c>
      <c r="E333" s="534"/>
      <c r="F333" s="534"/>
      <c r="G333" s="535">
        <v>0.01</v>
      </c>
      <c r="H333" s="535"/>
      <c r="I333" s="536">
        <v>0.4</v>
      </c>
      <c r="J333" s="593"/>
      <c r="K333" s="537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3"/>
      <c r="W333" s="273"/>
      <c r="X333" s="273"/>
      <c r="Y333" s="273"/>
      <c r="Z333" s="273"/>
      <c r="AA333" s="273"/>
      <c r="AB333" s="273"/>
      <c r="AC333" s="273"/>
      <c r="AD333" s="272"/>
    </row>
    <row r="334" spans="2:30">
      <c r="B334" s="538"/>
      <c r="C334" s="539" t="s">
        <v>66</v>
      </c>
      <c r="D334" s="539" t="s">
        <v>55</v>
      </c>
      <c r="E334" s="539"/>
      <c r="F334" s="539"/>
      <c r="G334" s="540">
        <v>0.01</v>
      </c>
      <c r="H334" s="540"/>
      <c r="I334" s="541">
        <v>0.4</v>
      </c>
      <c r="J334" s="600"/>
      <c r="K334" s="542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3"/>
      <c r="W334" s="273"/>
      <c r="X334" s="273"/>
      <c r="Y334" s="273"/>
      <c r="Z334" s="273"/>
      <c r="AA334" s="273"/>
      <c r="AB334" s="273"/>
      <c r="AC334" s="273"/>
      <c r="AD334" s="272"/>
    </row>
    <row r="335" spans="2:30">
      <c r="B335" s="516"/>
      <c r="C335" s="517" t="s">
        <v>66</v>
      </c>
      <c r="D335" s="517" t="s">
        <v>57</v>
      </c>
      <c r="E335" s="517"/>
      <c r="F335" s="517"/>
      <c r="G335" s="524">
        <v>0.01</v>
      </c>
      <c r="H335" s="524"/>
      <c r="I335" s="526">
        <v>0.4</v>
      </c>
      <c r="J335" s="592"/>
      <c r="K335" s="518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3"/>
      <c r="W335" s="273"/>
      <c r="X335" s="273"/>
      <c r="Y335" s="273"/>
      <c r="Z335" s="273"/>
      <c r="AA335" s="273"/>
      <c r="AB335" s="273"/>
      <c r="AC335" s="273"/>
      <c r="AD335" s="272"/>
    </row>
    <row r="336" spans="2:30">
      <c r="B336" s="533"/>
      <c r="C336" s="534" t="s">
        <v>66</v>
      </c>
      <c r="D336" s="534" t="s">
        <v>59</v>
      </c>
      <c r="E336" s="534"/>
      <c r="F336" s="534"/>
      <c r="G336" s="535">
        <v>0.01</v>
      </c>
      <c r="H336" s="535"/>
      <c r="I336" s="536">
        <v>0.4</v>
      </c>
      <c r="J336" s="593"/>
      <c r="K336" s="537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3"/>
      <c r="W336" s="273"/>
      <c r="X336" s="273"/>
      <c r="Y336" s="273"/>
      <c r="Z336" s="273"/>
      <c r="AA336" s="273"/>
      <c r="AB336" s="273"/>
      <c r="AC336" s="273"/>
      <c r="AD336" s="272"/>
    </row>
    <row r="337" spans="2:29">
      <c r="B337" s="538"/>
      <c r="C337" s="539" t="s">
        <v>66</v>
      </c>
      <c r="D337" s="539" t="s">
        <v>55</v>
      </c>
      <c r="E337" s="539"/>
      <c r="F337" s="539"/>
      <c r="G337" s="540">
        <v>0.01</v>
      </c>
      <c r="H337" s="540"/>
      <c r="I337" s="541">
        <v>0.4</v>
      </c>
      <c r="J337" s="600"/>
      <c r="K337" s="542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3"/>
      <c r="W337" s="273"/>
      <c r="X337" s="273"/>
      <c r="Y337" s="273"/>
      <c r="Z337" s="273"/>
      <c r="AA337" s="273"/>
      <c r="AB337" s="273"/>
      <c r="AC337" s="273"/>
    </row>
    <row r="338" spans="2:29">
      <c r="B338" s="516"/>
      <c r="C338" s="517" t="s">
        <v>66</v>
      </c>
      <c r="D338" s="517" t="s">
        <v>57</v>
      </c>
      <c r="E338" s="517"/>
      <c r="F338" s="517"/>
      <c r="G338" s="524">
        <v>0.01</v>
      </c>
      <c r="H338" s="524"/>
      <c r="I338" s="526">
        <v>0.4</v>
      </c>
      <c r="J338" s="592"/>
      <c r="K338" s="518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3"/>
      <c r="W338" s="273"/>
      <c r="X338" s="273"/>
      <c r="Y338" s="273"/>
      <c r="Z338" s="273"/>
      <c r="AA338" s="273"/>
      <c r="AB338" s="273"/>
      <c r="AC338" s="273"/>
    </row>
    <row r="339" spans="2:29">
      <c r="B339" s="533"/>
      <c r="C339" s="534" t="s">
        <v>66</v>
      </c>
      <c r="D339" s="534" t="s">
        <v>59</v>
      </c>
      <c r="E339" s="534"/>
      <c r="F339" s="534"/>
      <c r="G339" s="535">
        <v>0.01</v>
      </c>
      <c r="H339" s="535"/>
      <c r="I339" s="536">
        <v>0.4</v>
      </c>
      <c r="J339" s="593"/>
      <c r="K339" s="537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3"/>
      <c r="W339" s="273"/>
      <c r="X339" s="273"/>
      <c r="Y339" s="273"/>
      <c r="Z339" s="273"/>
      <c r="AA339" s="273"/>
      <c r="AB339" s="273"/>
      <c r="AC339" s="273"/>
    </row>
    <row r="340" spans="2:29">
      <c r="B340" s="538"/>
      <c r="C340" s="539" t="s">
        <v>66</v>
      </c>
      <c r="D340" s="539" t="s">
        <v>55</v>
      </c>
      <c r="E340" s="539"/>
      <c r="F340" s="539"/>
      <c r="G340" s="540">
        <v>0.01</v>
      </c>
      <c r="H340" s="540"/>
      <c r="I340" s="541">
        <v>0.4</v>
      </c>
      <c r="J340" s="600"/>
      <c r="K340" s="542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3"/>
      <c r="W340" s="273"/>
      <c r="X340" s="273"/>
      <c r="Y340" s="273"/>
      <c r="Z340" s="273"/>
      <c r="AA340" s="273"/>
      <c r="AB340" s="273"/>
      <c r="AC340" s="273"/>
    </row>
    <row r="341" spans="2:29">
      <c r="B341" s="516"/>
      <c r="C341" s="517" t="s">
        <v>66</v>
      </c>
      <c r="D341" s="517" t="s">
        <v>57</v>
      </c>
      <c r="E341" s="517"/>
      <c r="F341" s="517"/>
      <c r="G341" s="524">
        <v>0.01</v>
      </c>
      <c r="H341" s="524"/>
      <c r="I341" s="526">
        <v>0.4</v>
      </c>
      <c r="J341" s="592"/>
      <c r="K341" s="518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3"/>
      <c r="W341" s="273"/>
      <c r="X341" s="273"/>
      <c r="Y341" s="273"/>
      <c r="Z341" s="273"/>
      <c r="AA341" s="273"/>
      <c r="AB341" s="273"/>
      <c r="AC341" s="273"/>
    </row>
    <row r="342" spans="2:29">
      <c r="B342" s="533"/>
      <c r="C342" s="534" t="s">
        <v>66</v>
      </c>
      <c r="D342" s="534" t="s">
        <v>59</v>
      </c>
      <c r="E342" s="534"/>
      <c r="F342" s="534"/>
      <c r="G342" s="535">
        <v>0.01</v>
      </c>
      <c r="H342" s="535"/>
      <c r="I342" s="536">
        <v>0.4</v>
      </c>
      <c r="J342" s="593"/>
      <c r="K342" s="537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3"/>
      <c r="W342" s="273"/>
      <c r="X342" s="273"/>
      <c r="Y342" s="273"/>
      <c r="Z342" s="273"/>
      <c r="AA342" s="273"/>
      <c r="AB342" s="273"/>
      <c r="AC342" s="273"/>
    </row>
    <row r="343" spans="2:29">
      <c r="B343" s="538"/>
      <c r="C343" s="539" t="s">
        <v>66</v>
      </c>
      <c r="D343" s="539" t="s">
        <v>55</v>
      </c>
      <c r="E343" s="539"/>
      <c r="F343" s="539"/>
      <c r="G343" s="540">
        <v>0.01</v>
      </c>
      <c r="H343" s="540"/>
      <c r="I343" s="541">
        <v>0.4</v>
      </c>
      <c r="J343" s="600"/>
      <c r="K343" s="542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3"/>
      <c r="W343" s="273"/>
      <c r="X343" s="273"/>
      <c r="Y343" s="273"/>
      <c r="Z343" s="273"/>
      <c r="AA343" s="273"/>
      <c r="AB343" s="273"/>
      <c r="AC343" s="273"/>
    </row>
    <row r="344" spans="2:29">
      <c r="B344" s="516"/>
      <c r="C344" s="517" t="s">
        <v>66</v>
      </c>
      <c r="D344" s="517" t="s">
        <v>57</v>
      </c>
      <c r="E344" s="517"/>
      <c r="F344" s="517"/>
      <c r="G344" s="524">
        <v>0.01</v>
      </c>
      <c r="H344" s="524"/>
      <c r="I344" s="526">
        <v>0.4</v>
      </c>
      <c r="J344" s="592"/>
      <c r="K344" s="518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3"/>
      <c r="W344" s="273"/>
      <c r="X344" s="273"/>
      <c r="Y344" s="273"/>
      <c r="Z344" s="273"/>
      <c r="AA344" s="273"/>
      <c r="AB344" s="273"/>
      <c r="AC344" s="273"/>
    </row>
    <row r="345" spans="2:29">
      <c r="B345" s="533"/>
      <c r="C345" s="534" t="s">
        <v>66</v>
      </c>
      <c r="D345" s="534" t="s">
        <v>59</v>
      </c>
      <c r="E345" s="534"/>
      <c r="F345" s="534"/>
      <c r="G345" s="535">
        <v>0.01</v>
      </c>
      <c r="H345" s="535"/>
      <c r="I345" s="536">
        <v>0.4</v>
      </c>
      <c r="J345" s="593"/>
      <c r="K345" s="537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3"/>
      <c r="W345" s="273"/>
      <c r="X345" s="273"/>
      <c r="Y345" s="273"/>
      <c r="Z345" s="273"/>
      <c r="AA345" s="273"/>
      <c r="AB345" s="273"/>
      <c r="AC345" s="273"/>
    </row>
    <row r="346" spans="2:29">
      <c r="B346" s="538"/>
      <c r="C346" s="539" t="s">
        <v>66</v>
      </c>
      <c r="D346" s="539" t="s">
        <v>55</v>
      </c>
      <c r="E346" s="539"/>
      <c r="F346" s="539"/>
      <c r="G346" s="540">
        <v>0.01</v>
      </c>
      <c r="H346" s="540"/>
      <c r="I346" s="541">
        <v>0.4</v>
      </c>
      <c r="J346" s="600"/>
      <c r="K346" s="542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3"/>
      <c r="W346" s="273"/>
      <c r="X346" s="273"/>
      <c r="Y346" s="273"/>
      <c r="Z346" s="273"/>
      <c r="AA346" s="273"/>
      <c r="AB346" s="273"/>
      <c r="AC346" s="273"/>
    </row>
    <row r="347" spans="2:29">
      <c r="B347" s="516"/>
      <c r="C347" s="517" t="s">
        <v>66</v>
      </c>
      <c r="D347" s="517" t="s">
        <v>57</v>
      </c>
      <c r="E347" s="517"/>
      <c r="F347" s="517"/>
      <c r="G347" s="524">
        <v>0.01</v>
      </c>
      <c r="H347" s="524"/>
      <c r="I347" s="526">
        <v>0.4</v>
      </c>
      <c r="J347" s="592"/>
      <c r="K347" s="518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3"/>
      <c r="W347" s="273"/>
      <c r="X347" s="273"/>
      <c r="Y347" s="273"/>
      <c r="Z347" s="273"/>
      <c r="AA347" s="273"/>
      <c r="AB347" s="273"/>
      <c r="AC347" s="273"/>
    </row>
    <row r="348" spans="2:29">
      <c r="B348" s="533"/>
      <c r="C348" s="534" t="s">
        <v>66</v>
      </c>
      <c r="D348" s="534" t="s">
        <v>59</v>
      </c>
      <c r="E348" s="534"/>
      <c r="F348" s="534"/>
      <c r="G348" s="535">
        <v>0.01</v>
      </c>
      <c r="H348" s="535"/>
      <c r="I348" s="536">
        <v>0.4</v>
      </c>
      <c r="J348" s="593"/>
      <c r="K348" s="537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3"/>
      <c r="W348" s="273"/>
      <c r="X348" s="273"/>
      <c r="Y348" s="273"/>
      <c r="Z348" s="273"/>
      <c r="AA348" s="273"/>
      <c r="AB348" s="273"/>
      <c r="AC348" s="273"/>
    </row>
    <row r="349" spans="2:29">
      <c r="B349" s="538"/>
      <c r="C349" s="539" t="s">
        <v>66</v>
      </c>
      <c r="D349" s="539" t="s">
        <v>55</v>
      </c>
      <c r="E349" s="539"/>
      <c r="F349" s="539"/>
      <c r="G349" s="540">
        <v>0.01</v>
      </c>
      <c r="H349" s="540"/>
      <c r="I349" s="541">
        <v>0.4</v>
      </c>
      <c r="J349" s="600"/>
      <c r="K349" s="542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3"/>
      <c r="W349" s="273"/>
      <c r="X349" s="273"/>
      <c r="Y349" s="273"/>
      <c r="Z349" s="273"/>
      <c r="AA349" s="273"/>
      <c r="AB349" s="273"/>
      <c r="AC349" s="273"/>
    </row>
    <row r="350" spans="2:29">
      <c r="B350" s="516"/>
      <c r="C350" s="517" t="s">
        <v>66</v>
      </c>
      <c r="D350" s="517" t="s">
        <v>57</v>
      </c>
      <c r="E350" s="517"/>
      <c r="F350" s="517"/>
      <c r="G350" s="524">
        <v>0.01</v>
      </c>
      <c r="H350" s="524"/>
      <c r="I350" s="526">
        <v>0.4</v>
      </c>
      <c r="J350" s="592"/>
      <c r="K350" s="518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3"/>
      <c r="W350" s="273"/>
      <c r="X350" s="273"/>
      <c r="Y350" s="273"/>
      <c r="Z350" s="273"/>
      <c r="AA350" s="273"/>
      <c r="AB350" s="273"/>
      <c r="AC350" s="273"/>
    </row>
    <row r="351" spans="2:29">
      <c r="B351" s="533"/>
      <c r="C351" s="534" t="s">
        <v>66</v>
      </c>
      <c r="D351" s="534" t="s">
        <v>59</v>
      </c>
      <c r="E351" s="534"/>
      <c r="F351" s="534"/>
      <c r="G351" s="535">
        <v>0.01</v>
      </c>
      <c r="H351" s="535"/>
      <c r="I351" s="536">
        <v>0.4</v>
      </c>
      <c r="J351" s="593"/>
      <c r="K351" s="537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3"/>
      <c r="W351" s="273"/>
      <c r="X351" s="273"/>
      <c r="Y351" s="273"/>
      <c r="Z351" s="273"/>
      <c r="AA351" s="273"/>
      <c r="AB351" s="273"/>
      <c r="AC351" s="273"/>
    </row>
    <row r="352" spans="2:29">
      <c r="B352" s="538"/>
      <c r="C352" s="539" t="s">
        <v>66</v>
      </c>
      <c r="D352" s="539" t="s">
        <v>55</v>
      </c>
      <c r="E352" s="539"/>
      <c r="F352" s="539"/>
      <c r="G352" s="540">
        <v>0.01</v>
      </c>
      <c r="H352" s="540"/>
      <c r="I352" s="541">
        <v>0.4</v>
      </c>
      <c r="J352" s="600"/>
      <c r="K352" s="542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3"/>
      <c r="W352" s="273"/>
      <c r="X352" s="273"/>
      <c r="Y352" s="273"/>
      <c r="Z352" s="273"/>
      <c r="AA352" s="273"/>
      <c r="AB352" s="273"/>
      <c r="AC352" s="273"/>
    </row>
    <row r="353" spans="2:29">
      <c r="B353" s="516"/>
      <c r="C353" s="517" t="s">
        <v>66</v>
      </c>
      <c r="D353" s="517" t="s">
        <v>57</v>
      </c>
      <c r="E353" s="517"/>
      <c r="F353" s="517"/>
      <c r="G353" s="524">
        <v>0.01</v>
      </c>
      <c r="H353" s="524"/>
      <c r="I353" s="526">
        <v>0.4</v>
      </c>
      <c r="J353" s="592"/>
      <c r="K353" s="518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3"/>
      <c r="W353" s="273"/>
      <c r="X353" s="273"/>
      <c r="Y353" s="273"/>
      <c r="Z353" s="273"/>
      <c r="AA353" s="273"/>
      <c r="AB353" s="273"/>
      <c r="AC353" s="273"/>
    </row>
    <row r="354" spans="2:29">
      <c r="B354" s="533"/>
      <c r="C354" s="534" t="s">
        <v>66</v>
      </c>
      <c r="D354" s="534" t="s">
        <v>59</v>
      </c>
      <c r="E354" s="534"/>
      <c r="F354" s="534"/>
      <c r="G354" s="535">
        <v>0.01</v>
      </c>
      <c r="H354" s="535"/>
      <c r="I354" s="536">
        <v>0.4</v>
      </c>
      <c r="J354" s="593"/>
      <c r="K354" s="537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3"/>
      <c r="W354" s="273"/>
      <c r="X354" s="273"/>
      <c r="Y354" s="273"/>
      <c r="Z354" s="273"/>
      <c r="AA354" s="273"/>
      <c r="AB354" s="273"/>
      <c r="AC354" s="273"/>
    </row>
    <row r="355" spans="2:29">
      <c r="B355" s="538"/>
      <c r="C355" s="539" t="s">
        <v>66</v>
      </c>
      <c r="D355" s="539" t="s">
        <v>55</v>
      </c>
      <c r="E355" s="539"/>
      <c r="F355" s="539"/>
      <c r="G355" s="540">
        <v>0.01</v>
      </c>
      <c r="H355" s="540"/>
      <c r="I355" s="541">
        <v>0.4</v>
      </c>
      <c r="J355" s="600"/>
      <c r="K355" s="542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3"/>
      <c r="W355" s="273"/>
      <c r="X355" s="273"/>
      <c r="Y355" s="273"/>
      <c r="Z355" s="273"/>
      <c r="AA355" s="273"/>
      <c r="AB355" s="273"/>
      <c r="AC355" s="273"/>
    </row>
    <row r="356" spans="2:29">
      <c r="B356" s="516"/>
      <c r="C356" s="517" t="s">
        <v>66</v>
      </c>
      <c r="D356" s="517" t="s">
        <v>57</v>
      </c>
      <c r="E356" s="517"/>
      <c r="F356" s="517"/>
      <c r="G356" s="524">
        <v>0.01</v>
      </c>
      <c r="H356" s="524"/>
      <c r="I356" s="526">
        <v>0.4</v>
      </c>
      <c r="J356" s="592"/>
      <c r="K356" s="518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3"/>
      <c r="W356" s="273"/>
      <c r="X356" s="273"/>
      <c r="Y356" s="273"/>
      <c r="Z356" s="273"/>
      <c r="AA356" s="273"/>
      <c r="AB356" s="273"/>
      <c r="AC356" s="273"/>
    </row>
    <row r="357" spans="2:29">
      <c r="B357" s="533"/>
      <c r="C357" s="534" t="s">
        <v>66</v>
      </c>
      <c r="D357" s="534" t="s">
        <v>59</v>
      </c>
      <c r="E357" s="534"/>
      <c r="F357" s="534"/>
      <c r="G357" s="535">
        <v>0.01</v>
      </c>
      <c r="H357" s="535"/>
      <c r="I357" s="536">
        <v>0.4</v>
      </c>
      <c r="J357" s="593"/>
      <c r="K357" s="537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3"/>
      <c r="W357" s="273"/>
      <c r="X357" s="273"/>
      <c r="Y357" s="273"/>
      <c r="Z357" s="273"/>
      <c r="AA357" s="273"/>
      <c r="AB357" s="273"/>
      <c r="AC357" s="273"/>
    </row>
    <row r="358" spans="2:29">
      <c r="B358" s="538"/>
      <c r="C358" s="539" t="s">
        <v>66</v>
      </c>
      <c r="D358" s="539" t="s">
        <v>55</v>
      </c>
      <c r="E358" s="539"/>
      <c r="F358" s="539"/>
      <c r="G358" s="540">
        <v>0.01</v>
      </c>
      <c r="H358" s="540"/>
      <c r="I358" s="541">
        <v>0.4</v>
      </c>
      <c r="J358" s="600"/>
      <c r="K358" s="542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3"/>
      <c r="W358" s="273"/>
      <c r="X358" s="273"/>
      <c r="Y358" s="273"/>
      <c r="Z358" s="273"/>
      <c r="AA358" s="273"/>
      <c r="AB358" s="273"/>
      <c r="AC358" s="273"/>
    </row>
    <row r="359" spans="2:29">
      <c r="B359" s="516"/>
      <c r="C359" s="517" t="s">
        <v>66</v>
      </c>
      <c r="D359" s="517" t="s">
        <v>57</v>
      </c>
      <c r="E359" s="517"/>
      <c r="F359" s="517"/>
      <c r="G359" s="524">
        <v>0.01</v>
      </c>
      <c r="H359" s="524"/>
      <c r="I359" s="526">
        <v>0.4</v>
      </c>
      <c r="J359" s="592"/>
      <c r="K359" s="518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3"/>
      <c r="W359" s="273"/>
      <c r="X359" s="273"/>
      <c r="Y359" s="273"/>
      <c r="Z359" s="273"/>
      <c r="AA359" s="273"/>
      <c r="AB359" s="273"/>
      <c r="AC359" s="273"/>
    </row>
    <row r="360" spans="2:29">
      <c r="B360" s="533"/>
      <c r="C360" s="534" t="s">
        <v>66</v>
      </c>
      <c r="D360" s="534" t="s">
        <v>59</v>
      </c>
      <c r="E360" s="534"/>
      <c r="F360" s="534"/>
      <c r="G360" s="535">
        <v>0.01</v>
      </c>
      <c r="H360" s="535"/>
      <c r="I360" s="536">
        <v>0.4</v>
      </c>
      <c r="J360" s="593"/>
      <c r="K360" s="537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3"/>
      <c r="W360" s="273"/>
      <c r="X360" s="273"/>
      <c r="Y360" s="273"/>
      <c r="Z360" s="273"/>
      <c r="AA360" s="273"/>
      <c r="AB360" s="273"/>
      <c r="AC360" s="273"/>
    </row>
    <row r="361" spans="2:29">
      <c r="B361" s="538"/>
      <c r="C361" s="539" t="s">
        <v>66</v>
      </c>
      <c r="D361" s="539" t="s">
        <v>55</v>
      </c>
      <c r="E361" s="539"/>
      <c r="F361" s="539"/>
      <c r="G361" s="540">
        <v>0.01</v>
      </c>
      <c r="H361" s="540"/>
      <c r="I361" s="541">
        <v>0.4</v>
      </c>
      <c r="J361" s="600"/>
      <c r="K361" s="542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3"/>
      <c r="W361" s="273"/>
      <c r="X361" s="273"/>
      <c r="Y361" s="273"/>
      <c r="Z361" s="273"/>
      <c r="AA361" s="273"/>
      <c r="AB361" s="273"/>
      <c r="AC361" s="273"/>
    </row>
    <row r="362" spans="2:29">
      <c r="B362" s="516"/>
      <c r="C362" s="517" t="s">
        <v>66</v>
      </c>
      <c r="D362" s="517" t="s">
        <v>57</v>
      </c>
      <c r="E362" s="517"/>
      <c r="F362" s="517"/>
      <c r="G362" s="524">
        <v>0.01</v>
      </c>
      <c r="H362" s="524"/>
      <c r="I362" s="526">
        <v>0.4</v>
      </c>
      <c r="J362" s="592"/>
      <c r="K362" s="518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3"/>
      <c r="W362" s="273"/>
      <c r="X362" s="273"/>
      <c r="Y362" s="273"/>
      <c r="Z362" s="273"/>
      <c r="AA362" s="273"/>
      <c r="AB362" s="273"/>
      <c r="AC362" s="273"/>
    </row>
    <row r="363" spans="2:29">
      <c r="B363" s="533"/>
      <c r="C363" s="534" t="s">
        <v>66</v>
      </c>
      <c r="D363" s="534" t="s">
        <v>59</v>
      </c>
      <c r="E363" s="534"/>
      <c r="F363" s="534"/>
      <c r="G363" s="535">
        <v>0.01</v>
      </c>
      <c r="H363" s="535"/>
      <c r="I363" s="536">
        <v>0.4</v>
      </c>
      <c r="J363" s="593"/>
      <c r="K363" s="537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3"/>
      <c r="W363" s="273"/>
      <c r="X363" s="273"/>
      <c r="Y363" s="273"/>
      <c r="Z363" s="273"/>
      <c r="AA363" s="273"/>
      <c r="AB363" s="273"/>
      <c r="AC363" s="273"/>
    </row>
    <row r="364" spans="2:29">
      <c r="B364" s="538"/>
      <c r="C364" s="539" t="s">
        <v>66</v>
      </c>
      <c r="D364" s="539" t="s">
        <v>55</v>
      </c>
      <c r="E364" s="539"/>
      <c r="F364" s="539"/>
      <c r="G364" s="540">
        <v>0.01</v>
      </c>
      <c r="H364" s="540"/>
      <c r="I364" s="541">
        <v>0.4</v>
      </c>
      <c r="J364" s="600"/>
      <c r="K364" s="542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</row>
    <row r="365" spans="2:29">
      <c r="B365" s="516"/>
      <c r="C365" s="517" t="s">
        <v>66</v>
      </c>
      <c r="D365" s="517" t="s">
        <v>57</v>
      </c>
      <c r="E365" s="517"/>
      <c r="F365" s="517"/>
      <c r="G365" s="524">
        <v>0.01</v>
      </c>
      <c r="H365" s="524"/>
      <c r="I365" s="526">
        <v>0.4</v>
      </c>
      <c r="J365" s="592"/>
      <c r="K365" s="518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</row>
    <row r="366" spans="2:29">
      <c r="B366" s="533"/>
      <c r="C366" s="534" t="s">
        <v>66</v>
      </c>
      <c r="D366" s="534" t="s">
        <v>59</v>
      </c>
      <c r="E366" s="534"/>
      <c r="F366" s="534"/>
      <c r="G366" s="535">
        <v>0.01</v>
      </c>
      <c r="H366" s="535"/>
      <c r="I366" s="536">
        <v>0.4</v>
      </c>
      <c r="J366" s="593"/>
      <c r="K366" s="537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</row>
    <row r="367" spans="2:29">
      <c r="B367" s="538"/>
      <c r="C367" s="539" t="s">
        <v>66</v>
      </c>
      <c r="D367" s="539" t="s">
        <v>55</v>
      </c>
      <c r="E367" s="539"/>
      <c r="F367" s="539"/>
      <c r="G367" s="540">
        <v>0.01</v>
      </c>
      <c r="H367" s="540"/>
      <c r="I367" s="541">
        <v>0.4</v>
      </c>
      <c r="J367" s="600"/>
      <c r="K367" s="542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</row>
    <row r="368" spans="2:29">
      <c r="B368" s="516"/>
      <c r="C368" s="517" t="s">
        <v>66</v>
      </c>
      <c r="D368" s="517" t="s">
        <v>57</v>
      </c>
      <c r="E368" s="517"/>
      <c r="F368" s="517"/>
      <c r="G368" s="524">
        <v>0.01</v>
      </c>
      <c r="H368" s="524"/>
      <c r="I368" s="526">
        <v>0.4</v>
      </c>
      <c r="J368" s="592"/>
      <c r="K368" s="518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</row>
    <row r="369" spans="2:29">
      <c r="B369" s="533"/>
      <c r="C369" s="534" t="s">
        <v>66</v>
      </c>
      <c r="D369" s="534" t="s">
        <v>59</v>
      </c>
      <c r="E369" s="534"/>
      <c r="F369" s="534"/>
      <c r="G369" s="535">
        <v>0.01</v>
      </c>
      <c r="H369" s="535"/>
      <c r="I369" s="536">
        <v>0.4</v>
      </c>
      <c r="J369" s="593"/>
      <c r="K369" s="537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</row>
    <row r="370" spans="2:29">
      <c r="B370" s="538"/>
      <c r="C370" s="539" t="s">
        <v>66</v>
      </c>
      <c r="D370" s="539" t="s">
        <v>55</v>
      </c>
      <c r="E370" s="539"/>
      <c r="F370" s="539"/>
      <c r="G370" s="540">
        <v>0.01</v>
      </c>
      <c r="H370" s="540"/>
      <c r="I370" s="541">
        <v>0.4</v>
      </c>
      <c r="J370" s="600"/>
      <c r="K370" s="542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</row>
    <row r="371" spans="2:29">
      <c r="B371" s="516"/>
      <c r="C371" s="517" t="s">
        <v>66</v>
      </c>
      <c r="D371" s="517" t="s">
        <v>57</v>
      </c>
      <c r="E371" s="517"/>
      <c r="F371" s="517"/>
      <c r="G371" s="524">
        <v>0.01</v>
      </c>
      <c r="H371" s="524"/>
      <c r="I371" s="526">
        <v>0.4</v>
      </c>
      <c r="J371" s="592"/>
      <c r="K371" s="518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</row>
    <row r="372" spans="2:29">
      <c r="B372" s="533"/>
      <c r="C372" s="534" t="s">
        <v>66</v>
      </c>
      <c r="D372" s="534" t="s">
        <v>59</v>
      </c>
      <c r="E372" s="534"/>
      <c r="F372" s="534"/>
      <c r="G372" s="535">
        <v>0.01</v>
      </c>
      <c r="H372" s="535"/>
      <c r="I372" s="536">
        <v>0.4</v>
      </c>
      <c r="J372" s="593"/>
      <c r="K372" s="537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</row>
    <row r="373" spans="2:29">
      <c r="B373" s="538"/>
      <c r="C373" s="539" t="s">
        <v>66</v>
      </c>
      <c r="D373" s="539" t="s">
        <v>55</v>
      </c>
      <c r="E373" s="539"/>
      <c r="F373" s="539"/>
      <c r="G373" s="540">
        <v>0.01</v>
      </c>
      <c r="H373" s="540"/>
      <c r="I373" s="541">
        <v>0.4</v>
      </c>
      <c r="J373" s="600"/>
      <c r="K373" s="542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</row>
    <row r="374" spans="2:29">
      <c r="B374" s="516"/>
      <c r="C374" s="517" t="s">
        <v>66</v>
      </c>
      <c r="D374" s="517" t="s">
        <v>57</v>
      </c>
      <c r="E374" s="517"/>
      <c r="F374" s="517"/>
      <c r="G374" s="524">
        <v>0.01</v>
      </c>
      <c r="H374" s="524"/>
      <c r="I374" s="526">
        <v>0.4</v>
      </c>
      <c r="J374" s="592"/>
      <c r="K374" s="518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</row>
    <row r="375" spans="2:29">
      <c r="B375" s="533"/>
      <c r="C375" s="534" t="s">
        <v>66</v>
      </c>
      <c r="D375" s="534" t="s">
        <v>59</v>
      </c>
      <c r="E375" s="534"/>
      <c r="F375" s="534"/>
      <c r="G375" s="535">
        <v>0.01</v>
      </c>
      <c r="H375" s="535"/>
      <c r="I375" s="536">
        <v>0.4</v>
      </c>
      <c r="J375" s="593"/>
      <c r="K375" s="537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</row>
    <row r="376" spans="2:29">
      <c r="B376" s="538"/>
      <c r="C376" s="539" t="s">
        <v>66</v>
      </c>
      <c r="D376" s="539" t="s">
        <v>55</v>
      </c>
      <c r="E376" s="539"/>
      <c r="F376" s="539"/>
      <c r="G376" s="540">
        <v>0.01</v>
      </c>
      <c r="H376" s="540"/>
      <c r="I376" s="541">
        <v>0.4</v>
      </c>
      <c r="J376" s="600"/>
      <c r="K376" s="542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</row>
    <row r="377" spans="2:29">
      <c r="B377" s="516"/>
      <c r="C377" s="517" t="s">
        <v>66</v>
      </c>
      <c r="D377" s="517" t="s">
        <v>57</v>
      </c>
      <c r="E377" s="517"/>
      <c r="F377" s="517"/>
      <c r="G377" s="524">
        <v>0.01</v>
      </c>
      <c r="H377" s="524"/>
      <c r="I377" s="526">
        <v>0.4</v>
      </c>
      <c r="J377" s="592"/>
      <c r="K377" s="518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</row>
    <row r="378" spans="2:29">
      <c r="B378" s="533"/>
      <c r="C378" s="534" t="s">
        <v>66</v>
      </c>
      <c r="D378" s="534" t="s">
        <v>59</v>
      </c>
      <c r="E378" s="534"/>
      <c r="F378" s="534"/>
      <c r="G378" s="535">
        <v>0.01</v>
      </c>
      <c r="H378" s="535"/>
      <c r="I378" s="536">
        <v>0.4</v>
      </c>
      <c r="J378" s="593"/>
      <c r="K378" s="537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</row>
    <row r="379" spans="2:29">
      <c r="B379" s="538"/>
      <c r="C379" s="539" t="s">
        <v>66</v>
      </c>
      <c r="D379" s="539" t="s">
        <v>55</v>
      </c>
      <c r="E379" s="539"/>
      <c r="F379" s="539"/>
      <c r="G379" s="540">
        <v>0.01</v>
      </c>
      <c r="H379" s="540"/>
      <c r="I379" s="541">
        <v>0.4</v>
      </c>
      <c r="J379" s="600"/>
      <c r="K379" s="542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</row>
    <row r="380" spans="2:29">
      <c r="B380" s="516"/>
      <c r="C380" s="517" t="s">
        <v>66</v>
      </c>
      <c r="D380" s="517" t="s">
        <v>57</v>
      </c>
      <c r="E380" s="517"/>
      <c r="F380" s="517"/>
      <c r="G380" s="524">
        <v>0.01</v>
      </c>
      <c r="H380" s="524"/>
      <c r="I380" s="526">
        <v>0.4</v>
      </c>
      <c r="J380" s="592"/>
      <c r="K380" s="518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</row>
    <row r="381" spans="2:29">
      <c r="B381" s="533"/>
      <c r="C381" s="534" t="s">
        <v>66</v>
      </c>
      <c r="D381" s="534" t="s">
        <v>59</v>
      </c>
      <c r="E381" s="534"/>
      <c r="F381" s="534"/>
      <c r="G381" s="535">
        <v>0.01</v>
      </c>
      <c r="H381" s="535"/>
      <c r="I381" s="536">
        <v>0.4</v>
      </c>
      <c r="J381" s="593"/>
      <c r="K381" s="537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</row>
    <row r="382" spans="2:29">
      <c r="B382" s="538"/>
      <c r="C382" s="539" t="s">
        <v>66</v>
      </c>
      <c r="D382" s="539" t="s">
        <v>55</v>
      </c>
      <c r="E382" s="539"/>
      <c r="F382" s="539"/>
      <c r="G382" s="540">
        <v>0.01</v>
      </c>
      <c r="H382" s="540"/>
      <c r="I382" s="541">
        <v>0.4</v>
      </c>
      <c r="J382" s="600"/>
      <c r="K382" s="542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</row>
    <row r="383" spans="2:29">
      <c r="B383" s="516"/>
      <c r="C383" s="517" t="s">
        <v>66</v>
      </c>
      <c r="D383" s="517" t="s">
        <v>57</v>
      </c>
      <c r="E383" s="517"/>
      <c r="F383" s="517"/>
      <c r="G383" s="524">
        <v>0.01</v>
      </c>
      <c r="H383" s="524"/>
      <c r="I383" s="526">
        <v>0.4</v>
      </c>
      <c r="J383" s="592"/>
      <c r="K383" s="518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</row>
    <row r="384" spans="2:29">
      <c r="B384" s="533"/>
      <c r="C384" s="534" t="s">
        <v>66</v>
      </c>
      <c r="D384" s="534" t="s">
        <v>59</v>
      </c>
      <c r="E384" s="534"/>
      <c r="F384" s="534"/>
      <c r="G384" s="535">
        <v>0.01</v>
      </c>
      <c r="H384" s="535"/>
      <c r="I384" s="536">
        <v>0.4</v>
      </c>
      <c r="J384" s="593"/>
      <c r="K384" s="537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</row>
    <row r="385" spans="2:29">
      <c r="B385" s="538"/>
      <c r="C385" s="539" t="s">
        <v>66</v>
      </c>
      <c r="D385" s="539" t="s">
        <v>55</v>
      </c>
      <c r="E385" s="539"/>
      <c r="F385" s="539"/>
      <c r="G385" s="540">
        <v>0.01</v>
      </c>
      <c r="H385" s="540"/>
      <c r="I385" s="541">
        <v>0.4</v>
      </c>
      <c r="J385" s="600"/>
      <c r="K385" s="542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</row>
    <row r="386" spans="2:29">
      <c r="B386" s="516"/>
      <c r="C386" s="517" t="s">
        <v>66</v>
      </c>
      <c r="D386" s="517" t="s">
        <v>57</v>
      </c>
      <c r="E386" s="517"/>
      <c r="F386" s="517"/>
      <c r="G386" s="524">
        <v>0.01</v>
      </c>
      <c r="H386" s="524"/>
      <c r="I386" s="526">
        <v>0.4</v>
      </c>
      <c r="J386" s="592"/>
      <c r="K386" s="518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</row>
    <row r="387" spans="2:29">
      <c r="B387" s="533"/>
      <c r="C387" s="534" t="s">
        <v>66</v>
      </c>
      <c r="D387" s="534" t="s">
        <v>59</v>
      </c>
      <c r="E387" s="534"/>
      <c r="F387" s="534"/>
      <c r="G387" s="535">
        <v>0.01</v>
      </c>
      <c r="H387" s="535"/>
      <c r="I387" s="536">
        <v>0.4</v>
      </c>
      <c r="J387" s="593"/>
      <c r="K387" s="537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</row>
    <row r="388" spans="2:29">
      <c r="B388" s="538"/>
      <c r="C388" s="539" t="s">
        <v>66</v>
      </c>
      <c r="D388" s="539" t="s">
        <v>55</v>
      </c>
      <c r="E388" s="539"/>
      <c r="F388" s="539"/>
      <c r="G388" s="540">
        <v>0.01</v>
      </c>
      <c r="H388" s="540"/>
      <c r="I388" s="541">
        <v>0.4</v>
      </c>
      <c r="J388" s="600"/>
      <c r="K388" s="542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</row>
    <row r="389" spans="2:29">
      <c r="B389" s="516"/>
      <c r="C389" s="517" t="s">
        <v>66</v>
      </c>
      <c r="D389" s="517" t="s">
        <v>57</v>
      </c>
      <c r="E389" s="517"/>
      <c r="F389" s="517"/>
      <c r="G389" s="524">
        <v>0.01</v>
      </c>
      <c r="H389" s="524"/>
      <c r="I389" s="526">
        <v>0.4</v>
      </c>
      <c r="J389" s="592"/>
      <c r="K389" s="518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</row>
    <row r="390" spans="2:29">
      <c r="B390" s="533"/>
      <c r="C390" s="534" t="s">
        <v>66</v>
      </c>
      <c r="D390" s="534" t="s">
        <v>59</v>
      </c>
      <c r="E390" s="534"/>
      <c r="F390" s="534"/>
      <c r="G390" s="535">
        <v>0.01</v>
      </c>
      <c r="H390" s="535"/>
      <c r="I390" s="536">
        <v>0.4</v>
      </c>
      <c r="J390" s="593"/>
      <c r="K390" s="537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</row>
    <row r="391" spans="2:29">
      <c r="B391" s="538"/>
      <c r="C391" s="539" t="s">
        <v>66</v>
      </c>
      <c r="D391" s="539" t="s">
        <v>55</v>
      </c>
      <c r="E391" s="539"/>
      <c r="F391" s="539"/>
      <c r="G391" s="540">
        <v>0.01</v>
      </c>
      <c r="H391" s="540"/>
      <c r="I391" s="541">
        <v>0.4</v>
      </c>
      <c r="J391" s="600"/>
      <c r="K391" s="542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</row>
    <row r="392" spans="2:29">
      <c r="B392" s="516"/>
      <c r="C392" s="517" t="s">
        <v>66</v>
      </c>
      <c r="D392" s="517" t="s">
        <v>57</v>
      </c>
      <c r="E392" s="517"/>
      <c r="F392" s="517"/>
      <c r="G392" s="524">
        <v>0.01</v>
      </c>
      <c r="H392" s="524"/>
      <c r="I392" s="526">
        <v>0.4</v>
      </c>
      <c r="J392" s="592"/>
      <c r="K392" s="518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</row>
    <row r="393" spans="2:29">
      <c r="B393" s="533"/>
      <c r="C393" s="534" t="s">
        <v>66</v>
      </c>
      <c r="D393" s="534" t="s">
        <v>59</v>
      </c>
      <c r="E393" s="534"/>
      <c r="F393" s="534"/>
      <c r="G393" s="535">
        <v>0.01</v>
      </c>
      <c r="H393" s="535"/>
      <c r="I393" s="536">
        <v>0.4</v>
      </c>
      <c r="J393" s="593"/>
      <c r="K393" s="537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</row>
    <row r="394" spans="2:29">
      <c r="B394" s="538"/>
      <c r="C394" s="539" t="s">
        <v>66</v>
      </c>
      <c r="D394" s="539" t="s">
        <v>55</v>
      </c>
      <c r="E394" s="539"/>
      <c r="F394" s="539"/>
      <c r="G394" s="540">
        <v>0.01</v>
      </c>
      <c r="H394" s="540"/>
      <c r="I394" s="541">
        <v>0.4</v>
      </c>
      <c r="J394" s="600"/>
      <c r="K394" s="542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</row>
    <row r="395" spans="2:29">
      <c r="B395" s="516"/>
      <c r="C395" s="517" t="s">
        <v>66</v>
      </c>
      <c r="D395" s="517" t="s">
        <v>57</v>
      </c>
      <c r="E395" s="517"/>
      <c r="F395" s="517"/>
      <c r="G395" s="524">
        <v>0.01</v>
      </c>
      <c r="H395" s="524"/>
      <c r="I395" s="526">
        <v>0.4</v>
      </c>
      <c r="J395" s="592"/>
      <c r="K395" s="518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</row>
    <row r="396" spans="2:29">
      <c r="B396" s="533"/>
      <c r="C396" s="534" t="s">
        <v>66</v>
      </c>
      <c r="D396" s="534" t="s">
        <v>59</v>
      </c>
      <c r="E396" s="534"/>
      <c r="F396" s="534"/>
      <c r="G396" s="535">
        <v>0.01</v>
      </c>
      <c r="H396" s="535"/>
      <c r="I396" s="536">
        <v>0.4</v>
      </c>
      <c r="J396" s="593"/>
      <c r="K396" s="537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</row>
    <row r="397" spans="2:29">
      <c r="B397" s="516"/>
      <c r="C397" s="517" t="s">
        <v>66</v>
      </c>
      <c r="D397" s="517" t="s">
        <v>55</v>
      </c>
      <c r="E397" s="517"/>
      <c r="F397" s="517"/>
      <c r="G397" s="524">
        <v>0.01</v>
      </c>
      <c r="H397" s="524"/>
      <c r="I397" s="526">
        <v>0.4</v>
      </c>
      <c r="J397" s="592"/>
      <c r="K397" s="518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</row>
    <row r="398" spans="2:29">
      <c r="B398" s="516"/>
      <c r="C398" s="517" t="s">
        <v>66</v>
      </c>
      <c r="D398" s="517" t="s">
        <v>57</v>
      </c>
      <c r="E398" s="517"/>
      <c r="F398" s="517"/>
      <c r="G398" s="524">
        <v>0.01</v>
      </c>
      <c r="H398" s="524"/>
      <c r="I398" s="526">
        <v>0.4</v>
      </c>
      <c r="J398" s="592"/>
      <c r="K398" s="518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</row>
    <row r="399" spans="2:29" ht="10.5" thickBot="1">
      <c r="B399" s="519"/>
      <c r="C399" s="520" t="s">
        <v>66</v>
      </c>
      <c r="D399" s="520" t="s">
        <v>59</v>
      </c>
      <c r="E399" s="520"/>
      <c r="F399" s="520"/>
      <c r="G399" s="525">
        <v>0.01</v>
      </c>
      <c r="H399" s="525"/>
      <c r="I399" s="527">
        <v>0.4</v>
      </c>
      <c r="J399" s="601"/>
      <c r="K399" s="521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</row>
    <row r="400" spans="2:29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0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</row>
    <row r="754" spans="4:30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</row>
    <row r="755" spans="4:30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</row>
    <row r="756" spans="4:30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</row>
    <row r="757" spans="4:30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</row>
    <row r="758" spans="4:30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</row>
    <row r="759" spans="4:30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</row>
    <row r="760" spans="4:30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</row>
    <row r="761" spans="4:30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</row>
    <row r="762" spans="4:30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</row>
    <row r="763" spans="4:30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</row>
    <row r="764" spans="4:30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</row>
    <row r="765" spans="4:30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</row>
    <row r="766" spans="4:30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</row>
    <row r="767" spans="4:30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</row>
    <row r="768" spans="4:30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</row>
    <row r="769" spans="16:30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</row>
    <row r="770" spans="16:30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</row>
    <row r="771" spans="16:30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</row>
    <row r="772" spans="16:30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</row>
    <row r="773" spans="16:30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</row>
    <row r="774" spans="16:30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</row>
    <row r="775" spans="16:30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</row>
    <row r="776" spans="16:30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</row>
    <row r="777" spans="16:30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</row>
    <row r="778" spans="16:30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</row>
    <row r="779" spans="16:30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</row>
    <row r="780" spans="16:30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</row>
    <row r="781" spans="16:30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</row>
    <row r="782" spans="16:30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</row>
    <row r="783" spans="16:30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</row>
    <row r="784" spans="16:30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</row>
    <row r="785" spans="16:30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</row>
    <row r="786" spans="16:30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</row>
    <row r="787" spans="16:30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</row>
    <row r="788" spans="16:30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</row>
    <row r="789" spans="16:30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</row>
    <row r="790" spans="16:30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</row>
    <row r="791" spans="16:30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</row>
    <row r="792" spans="16:30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</row>
    <row r="793" spans="16:30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</row>
    <row r="794" spans="16:30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</row>
    <row r="795" spans="16:30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</row>
    <row r="796" spans="16:30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</row>
    <row r="797" spans="16:30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</row>
    <row r="798" spans="16:30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</row>
    <row r="799" spans="16:30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</row>
    <row r="800" spans="16:30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</row>
    <row r="801" spans="16:30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</row>
    <row r="802" spans="16:30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</row>
    <row r="803" spans="16:30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</row>
    <row r="804" spans="16:30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</row>
    <row r="805" spans="16:30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</row>
    <row r="806" spans="16:30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</row>
    <row r="807" spans="16:30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</row>
    <row r="808" spans="16:30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</row>
  </sheetData>
  <autoFilter ref="B24:K399" xr:uid="{BAB8E048-3245-4E24-912E-3BBF0790E685}"/>
  <dataValidations disablePrompts="1" count="3">
    <dataValidation type="list" allowBlank="1" showInputMessage="1" showErrorMessage="1" sqref="W8" xr:uid="{44381CB1-248E-4567-9214-77DFC5B13FFC}">
      <formula1>TrueFalseTab</formula1>
    </dataValidation>
    <dataValidation type="list" allowBlank="1" showInputMessage="1" showErrorMessage="1" sqref="AT9 AW9" xr:uid="{C92ADC74-D9A3-400E-9284-59CF7D83F111}">
      <formula1>"SecCtp,NonSec"</formula1>
    </dataValidation>
    <dataValidation type="list" allowBlank="1" showInputMessage="1" showErrorMessage="1" sqref="AT10 AW10" xr:uid="{1CDD63ED-E5D2-4B62-B6DA-82E87376F347}">
      <formula1>"Low,Medium,High"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44" r:id="rId3" name="Button 60">
              <controlPr defaultSize="0" print="0" autoFill="0" autoPict="0" macro="[0]!CurrentRegionCalculate">
                <anchor moveWithCells="1">
                  <from>
                    <xdr:col>23</xdr:col>
                    <xdr:colOff>387350</xdr:colOff>
                    <xdr:row>5</xdr:row>
                    <xdr:rowOff>12700</xdr:rowOff>
                  </from>
                  <to>
                    <xdr:col>24</xdr:col>
                    <xdr:colOff>342900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88"/>
      <c r="F6" s="688"/>
      <c r="G6" s="688"/>
      <c r="H6" s="688"/>
      <c r="I6" s="688"/>
      <c r="J6" s="688"/>
      <c r="K6" s="688"/>
      <c r="L6" s="688"/>
      <c r="M6" s="688"/>
      <c r="N6" s="688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88"/>
      <c r="P7" s="688"/>
      <c r="Q7" s="688"/>
      <c r="R7" s="688"/>
      <c r="S7" s="688"/>
      <c r="T7" s="688"/>
      <c r="U7" s="688"/>
      <c r="V7" s="688"/>
      <c r="W7" s="688"/>
      <c r="X7" s="688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9" t="s">
        <v>481</v>
      </c>
      <c r="F19" s="689"/>
      <c r="G19" s="689"/>
      <c r="H19" s="689"/>
      <c r="I19" s="689"/>
      <c r="J19" s="689"/>
      <c r="K19" s="689"/>
      <c r="L19" s="689"/>
      <c r="M19" s="689"/>
      <c r="N19" s="690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87" t="s">
        <v>486</v>
      </c>
      <c r="F25" s="687"/>
      <c r="G25" s="687"/>
      <c r="H25" s="687"/>
      <c r="I25" s="687"/>
      <c r="J25" s="687"/>
      <c r="K25" s="687"/>
      <c r="L25" s="687"/>
      <c r="M25" s="687"/>
      <c r="N25" s="686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85" t="s">
        <v>480</v>
      </c>
      <c r="D37" s="686"/>
      <c r="E37" s="687" t="s">
        <v>489</v>
      </c>
      <c r="F37" s="687"/>
      <c r="G37" s="687"/>
      <c r="H37" s="687"/>
      <c r="I37" s="687"/>
      <c r="J37" s="687"/>
      <c r="K37" s="687"/>
      <c r="L37" s="687"/>
      <c r="M37" s="687"/>
      <c r="N37" s="686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88"/>
      <c r="Q41" s="688"/>
      <c r="R41" s="688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85" t="s">
        <v>493</v>
      </c>
      <c r="F44" s="687"/>
      <c r="G44" s="687"/>
      <c r="H44" s="687"/>
      <c r="I44" s="687"/>
      <c r="J44" s="687"/>
      <c r="K44" s="687"/>
      <c r="L44" s="687"/>
      <c r="M44" s="687"/>
      <c r="N44" s="686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2024-09-30T14:53:07Z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