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2DE68908-DF70-42A2-9ACB-2FC04BD79C15}" xr6:coauthVersionLast="47" xr6:coauthVersionMax="47" xr10:uidLastSave="{00000000-0000-0000-0000-000000000000}"/>
  <bookViews>
    <workbookView xWindow="-120" yWindow="-120" windowWidth="29040" windowHeight="1644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0" i="11" l="1" a="1"/>
  <c r="AO10" i="11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F120" i="11"/>
  <c r="AF118" i="11"/>
  <c r="AI122" i="11"/>
  <c r="AJ122" i="11"/>
  <c r="AK122" i="11"/>
  <c r="AI123" i="11"/>
  <c r="AJ123" i="11"/>
  <c r="AK123" i="11"/>
  <c r="AI124" i="11"/>
  <c r="AJ124" i="11"/>
  <c r="AK124" i="11"/>
  <c r="AI125" i="11"/>
  <c r="AJ125" i="11"/>
  <c r="AK125" i="11"/>
  <c r="AI126" i="11"/>
  <c r="AJ126" i="11"/>
  <c r="AK126" i="11"/>
  <c r="AI127" i="11"/>
  <c r="AJ127" i="11"/>
  <c r="AK127" i="11"/>
  <c r="AI128" i="11"/>
  <c r="AJ128" i="11"/>
  <c r="AK128" i="11"/>
  <c r="AI129" i="11"/>
  <c r="AJ129" i="11"/>
  <c r="AK129" i="11"/>
  <c r="AI130" i="11"/>
  <c r="AJ130" i="11"/>
  <c r="AK130" i="11"/>
  <c r="AI131" i="11"/>
  <c r="AJ131" i="11"/>
  <c r="AK131" i="11"/>
  <c r="AI132" i="11"/>
  <c r="AJ132" i="11"/>
  <c r="AK132" i="11"/>
  <c r="AI133" i="11"/>
  <c r="AJ133" i="11"/>
  <c r="AK133" i="11"/>
  <c r="AI134" i="11"/>
  <c r="AJ134" i="11"/>
  <c r="AK134" i="11"/>
  <c r="AI135" i="11"/>
  <c r="AJ135" i="11"/>
  <c r="AK135" i="11"/>
  <c r="AI136" i="11"/>
  <c r="AJ136" i="11"/>
  <c r="AK136" i="11"/>
  <c r="AI137" i="11"/>
  <c r="AJ137" i="11"/>
  <c r="AK137" i="11"/>
  <c r="AI138" i="11"/>
  <c r="AJ138" i="11"/>
  <c r="AK138" i="11"/>
  <c r="AI139" i="11"/>
  <c r="AJ139" i="11"/>
  <c r="AK139" i="11"/>
  <c r="AI140" i="11"/>
  <c r="AJ140" i="11"/>
  <c r="AK140" i="11"/>
  <c r="AI141" i="11"/>
  <c r="AJ141" i="11"/>
  <c r="AK141" i="11"/>
  <c r="AI142" i="11"/>
  <c r="AJ142" i="11"/>
  <c r="AK142" i="11"/>
  <c r="AI143" i="11"/>
  <c r="AJ143" i="11"/>
  <c r="AK143" i="11"/>
  <c r="AI144" i="11"/>
  <c r="AJ144" i="11"/>
  <c r="AK144" i="11"/>
  <c r="AI145" i="11"/>
  <c r="AJ145" i="11"/>
  <c r="AK145" i="11"/>
  <c r="AI146" i="11"/>
  <c r="AJ146" i="11"/>
  <c r="AK146" i="11"/>
  <c r="AI147" i="11"/>
  <c r="AJ147" i="11"/>
  <c r="AK147" i="11"/>
  <c r="AI148" i="11"/>
  <c r="AJ148" i="11"/>
  <c r="AK148" i="11"/>
  <c r="AI149" i="11"/>
  <c r="AJ149" i="11"/>
  <c r="AK149" i="11"/>
  <c r="AI150" i="11"/>
  <c r="AJ150" i="11"/>
  <c r="AK150" i="11"/>
  <c r="AI151" i="11"/>
  <c r="AJ151" i="11"/>
  <c r="AK151" i="11"/>
  <c r="AI152" i="11"/>
  <c r="AJ152" i="11"/>
  <c r="AK152" i="11"/>
  <c r="AI153" i="11"/>
  <c r="AJ153" i="11"/>
  <c r="AK153" i="11"/>
  <c r="AI154" i="11"/>
  <c r="AJ154" i="11"/>
  <c r="AK154" i="11"/>
  <c r="AI155" i="11"/>
  <c r="AJ155" i="11"/>
  <c r="AK155" i="11"/>
  <c r="AI156" i="11"/>
  <c r="AJ156" i="11"/>
  <c r="AK156" i="11"/>
  <c r="AI157" i="11"/>
  <c r="AJ157" i="11"/>
  <c r="AK157" i="11"/>
  <c r="AI158" i="11"/>
  <c r="AJ158" i="11"/>
  <c r="AK158" i="11"/>
  <c r="AI159" i="11"/>
  <c r="AJ159" i="11"/>
  <c r="AK159" i="11"/>
  <c r="AI160" i="11"/>
  <c r="AJ160" i="11"/>
  <c r="AK160" i="11"/>
  <c r="AI161" i="11"/>
  <c r="AJ161" i="11"/>
  <c r="AK161" i="11"/>
  <c r="AI162" i="11"/>
  <c r="AJ162" i="11"/>
  <c r="AK162" i="11"/>
  <c r="AI163" i="11"/>
  <c r="AJ163" i="11"/>
  <c r="AK163" i="11"/>
  <c r="AI164" i="11"/>
  <c r="AJ164" i="11"/>
  <c r="AK164" i="11"/>
  <c r="AI165" i="11"/>
  <c r="AJ165" i="11"/>
  <c r="AK165" i="11"/>
  <c r="AI166" i="11"/>
  <c r="AJ166" i="11"/>
  <c r="AK166" i="11"/>
  <c r="AI167" i="11"/>
  <c r="AJ167" i="11"/>
  <c r="AK167" i="11"/>
  <c r="AI168" i="11"/>
  <c r="AJ168" i="11"/>
  <c r="AK168" i="11"/>
  <c r="AI169" i="11"/>
  <c r="AJ169" i="11"/>
  <c r="AK169" i="11"/>
  <c r="AI170" i="11"/>
  <c r="AJ170" i="11"/>
  <c r="AK170" i="11"/>
  <c r="AI171" i="11"/>
  <c r="AJ171" i="11"/>
  <c r="AK171" i="11"/>
  <c r="AI172" i="11"/>
  <c r="AJ172" i="11"/>
  <c r="AK172" i="11"/>
  <c r="AI173" i="11"/>
  <c r="AJ173" i="11"/>
  <c r="AK173" i="11"/>
  <c r="AI174" i="11"/>
  <c r="AJ174" i="11"/>
  <c r="AK174" i="11"/>
  <c r="AI175" i="11"/>
  <c r="AJ175" i="11"/>
  <c r="AK175" i="11"/>
  <c r="AI176" i="11"/>
  <c r="AJ176" i="11"/>
  <c r="AK176" i="11"/>
  <c r="AI177" i="11"/>
  <c r="AJ177" i="11"/>
  <c r="AK177" i="11"/>
  <c r="AI178" i="11"/>
  <c r="AJ178" i="11"/>
  <c r="AK178" i="11"/>
  <c r="AI179" i="11"/>
  <c r="AJ179" i="11"/>
  <c r="AK179" i="11"/>
  <c r="AI180" i="11"/>
  <c r="AJ180" i="11"/>
  <c r="AK180" i="11"/>
  <c r="AI181" i="11"/>
  <c r="AJ181" i="11"/>
  <c r="AK181" i="11"/>
  <c r="AI182" i="11"/>
  <c r="AJ182" i="11"/>
  <c r="AK182" i="11"/>
  <c r="AI183" i="11"/>
  <c r="AJ183" i="11"/>
  <c r="AK183" i="11"/>
  <c r="AI184" i="11"/>
  <c r="AJ184" i="11"/>
  <c r="AK184" i="11"/>
  <c r="AI185" i="11"/>
  <c r="AJ185" i="11"/>
  <c r="AK185" i="11"/>
  <c r="AI186" i="11"/>
  <c r="AJ186" i="11"/>
  <c r="AK186" i="11"/>
  <c r="AI187" i="11"/>
  <c r="AJ187" i="11"/>
  <c r="AK187" i="11"/>
  <c r="AI188" i="11"/>
  <c r="AJ188" i="11"/>
  <c r="AK188" i="11"/>
  <c r="AI189" i="11"/>
  <c r="AJ189" i="11"/>
  <c r="AK189" i="11"/>
  <c r="AI190" i="11"/>
  <c r="AJ190" i="11"/>
  <c r="AK190" i="11"/>
  <c r="AI191" i="11"/>
  <c r="AJ191" i="11"/>
  <c r="AK191" i="11"/>
  <c r="AI192" i="11"/>
  <c r="AJ192" i="11"/>
  <c r="AK192" i="11"/>
  <c r="AI193" i="11"/>
  <c r="AJ193" i="11"/>
  <c r="AK193" i="11"/>
  <c r="AI194" i="11"/>
  <c r="AJ194" i="11"/>
  <c r="AK194" i="11"/>
  <c r="AI195" i="11"/>
  <c r="AJ195" i="11"/>
  <c r="AK195" i="11"/>
  <c r="AI196" i="11"/>
  <c r="AJ196" i="11"/>
  <c r="AK196" i="11"/>
  <c r="AI197" i="11"/>
  <c r="AJ197" i="11"/>
  <c r="AK197" i="11"/>
  <c r="AI198" i="11"/>
  <c r="AJ198" i="11"/>
  <c r="AK198" i="11"/>
  <c r="AI199" i="11"/>
  <c r="AJ199" i="11"/>
  <c r="AK199" i="11"/>
  <c r="AI200" i="11"/>
  <c r="AJ200" i="11"/>
  <c r="AK200" i="11"/>
  <c r="AI201" i="11"/>
  <c r="AJ201" i="11"/>
  <c r="AK201" i="11"/>
  <c r="AI202" i="11"/>
  <c r="AJ202" i="11"/>
  <c r="AK202" i="11"/>
  <c r="AI203" i="11"/>
  <c r="AJ203" i="11"/>
  <c r="AK203" i="11"/>
  <c r="AI204" i="11"/>
  <c r="AJ204" i="11"/>
  <c r="AK204" i="11"/>
  <c r="AI205" i="11"/>
  <c r="AJ205" i="11"/>
  <c r="AK205" i="11"/>
  <c r="AI206" i="11"/>
  <c r="AJ206" i="11"/>
  <c r="AK206" i="11"/>
  <c r="AI207" i="11"/>
  <c r="AJ207" i="11"/>
  <c r="AK207" i="11"/>
  <c r="AI208" i="11"/>
  <c r="AJ208" i="11"/>
  <c r="AK208" i="11"/>
  <c r="AI209" i="11"/>
  <c r="AJ209" i="11"/>
  <c r="AK209" i="11"/>
  <c r="AI210" i="11"/>
  <c r="AJ210" i="11"/>
  <c r="AK210" i="11"/>
  <c r="AI211" i="11"/>
  <c r="AJ211" i="11"/>
  <c r="AK211" i="11"/>
  <c r="AI212" i="11"/>
  <c r="AJ212" i="11"/>
  <c r="AK212" i="11"/>
  <c r="AI213" i="11"/>
  <c r="AJ213" i="11"/>
  <c r="AK213" i="11"/>
  <c r="AI214" i="11"/>
  <c r="AJ214" i="11"/>
  <c r="AK214" i="11"/>
  <c r="AI215" i="11"/>
  <c r="AJ215" i="11"/>
  <c r="AK215" i="11"/>
  <c r="AI216" i="11"/>
  <c r="AJ216" i="11"/>
  <c r="AK216" i="11"/>
  <c r="AI217" i="11"/>
  <c r="AJ217" i="11"/>
  <c r="AK217" i="11"/>
  <c r="AI218" i="11"/>
  <c r="AJ218" i="11"/>
  <c r="AK218" i="11"/>
  <c r="AI219" i="11"/>
  <c r="AJ219" i="11"/>
  <c r="AK219" i="11"/>
  <c r="AI220" i="11"/>
  <c r="AJ220" i="11"/>
  <c r="AK220" i="11"/>
  <c r="AI221" i="11"/>
  <c r="AJ221" i="11"/>
  <c r="AK2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J120" i="11"/>
  <c r="AJ119" i="11"/>
  <c r="AJ118" i="11"/>
  <c r="AF119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F93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F13" i="11"/>
  <c r="AF12" i="11"/>
  <c r="AF11" i="11"/>
  <c r="AI15" i="11"/>
  <c r="AJ15" i="11"/>
  <c r="AK15" i="11"/>
  <c r="AI16" i="11"/>
  <c r="AJ16" i="11"/>
  <c r="AK16" i="11"/>
  <c r="AI17" i="11"/>
  <c r="AJ17" i="11"/>
  <c r="AK17" i="11"/>
  <c r="AI18" i="11"/>
  <c r="AJ18" i="11"/>
  <c r="AK18" i="11"/>
  <c r="AI19" i="11"/>
  <c r="AJ19" i="11"/>
  <c r="AK19" i="11"/>
  <c r="AI20" i="11"/>
  <c r="AJ20" i="11"/>
  <c r="AK20" i="11"/>
  <c r="AI21" i="11"/>
  <c r="AJ21" i="11"/>
  <c r="AK21" i="11"/>
  <c r="AI22" i="11"/>
  <c r="AJ22" i="11"/>
  <c r="AK22" i="11"/>
  <c r="AI23" i="11"/>
  <c r="AJ23" i="11"/>
  <c r="AK23" i="11"/>
  <c r="AI24" i="11"/>
  <c r="AJ24" i="11"/>
  <c r="AK24" i="11"/>
  <c r="AI25" i="11"/>
  <c r="AJ25" i="11"/>
  <c r="AK25" i="11"/>
  <c r="AI26" i="11"/>
  <c r="AJ26" i="11"/>
  <c r="AK26" i="11"/>
  <c r="AI27" i="11"/>
  <c r="AJ27" i="11"/>
  <c r="AK27" i="11"/>
  <c r="AI28" i="11"/>
  <c r="AJ28" i="11"/>
  <c r="AK28" i="11"/>
  <c r="AI29" i="11"/>
  <c r="AJ29" i="11"/>
  <c r="AK29" i="11"/>
  <c r="AI30" i="11"/>
  <c r="AJ30" i="11"/>
  <c r="AK30" i="11"/>
  <c r="AI31" i="11"/>
  <c r="AJ31" i="11"/>
  <c r="AK31" i="11"/>
  <c r="AI32" i="11"/>
  <c r="AJ32" i="11"/>
  <c r="AK32" i="11"/>
  <c r="AI33" i="11"/>
  <c r="AJ33" i="11"/>
  <c r="AK33" i="11"/>
  <c r="AI34" i="11"/>
  <c r="AJ34" i="11"/>
  <c r="AK34" i="11"/>
  <c r="AI35" i="11"/>
  <c r="AJ35" i="11"/>
  <c r="AK35" i="11"/>
  <c r="AI36" i="11"/>
  <c r="AJ36" i="11"/>
  <c r="AK36" i="11"/>
  <c r="AI37" i="11"/>
  <c r="AJ37" i="11"/>
  <c r="AK37" i="11"/>
  <c r="AI38" i="11"/>
  <c r="AJ38" i="11"/>
  <c r="AK38" i="11"/>
  <c r="AI39" i="11"/>
  <c r="AJ39" i="11"/>
  <c r="AK39" i="11"/>
  <c r="AI40" i="11"/>
  <c r="AJ40" i="11"/>
  <c r="AK40" i="11"/>
  <c r="AI41" i="11"/>
  <c r="AJ41" i="11"/>
  <c r="AK41" i="11"/>
  <c r="AI42" i="11"/>
  <c r="AJ42" i="11"/>
  <c r="AK42" i="11"/>
  <c r="AI43" i="11"/>
  <c r="AJ43" i="11"/>
  <c r="AK43" i="11"/>
  <c r="AI44" i="11"/>
  <c r="AJ44" i="11"/>
  <c r="AK44" i="11"/>
  <c r="AI45" i="11"/>
  <c r="AJ45" i="11"/>
  <c r="AK45" i="11"/>
  <c r="AI46" i="11"/>
  <c r="AJ46" i="11"/>
  <c r="AK46" i="11"/>
  <c r="AI47" i="11"/>
  <c r="AJ47" i="11"/>
  <c r="AK47" i="11"/>
  <c r="AI48" i="11"/>
  <c r="AJ48" i="11"/>
  <c r="AK48" i="11"/>
  <c r="AI49" i="11"/>
  <c r="AJ49" i="11"/>
  <c r="AK49" i="11"/>
  <c r="AI50" i="11"/>
  <c r="AJ50" i="11"/>
  <c r="AK50" i="11"/>
  <c r="AI51" i="11"/>
  <c r="AJ51" i="11"/>
  <c r="AK51" i="11"/>
  <c r="AI52" i="11"/>
  <c r="AJ52" i="11"/>
  <c r="AK52" i="11"/>
  <c r="AI53" i="11"/>
  <c r="AJ53" i="11"/>
  <c r="AK53" i="11"/>
  <c r="AI54" i="11"/>
  <c r="AJ54" i="11"/>
  <c r="AK54" i="11"/>
  <c r="AI55" i="11"/>
  <c r="AJ55" i="11"/>
  <c r="AK55" i="11"/>
  <c r="AI56" i="11"/>
  <c r="AJ56" i="11"/>
  <c r="AK56" i="11"/>
  <c r="AI57" i="11"/>
  <c r="AJ57" i="11"/>
  <c r="AK57" i="11"/>
  <c r="AI58" i="11"/>
  <c r="AJ58" i="11"/>
  <c r="AK58" i="11"/>
  <c r="AI59" i="11"/>
  <c r="AJ59" i="11"/>
  <c r="AK59" i="11"/>
  <c r="AI60" i="11"/>
  <c r="AJ60" i="11"/>
  <c r="AK60" i="11"/>
  <c r="AI61" i="11"/>
  <c r="AJ61" i="11"/>
  <c r="AK61" i="11"/>
  <c r="AI62" i="11"/>
  <c r="AJ62" i="11"/>
  <c r="AK62" i="11"/>
  <c r="AI63" i="11"/>
  <c r="AJ63" i="11"/>
  <c r="AK63" i="11"/>
  <c r="AI64" i="11"/>
  <c r="AJ64" i="11"/>
  <c r="AK64" i="11"/>
  <c r="AI65" i="11"/>
  <c r="AJ65" i="11"/>
  <c r="AK65" i="11"/>
  <c r="AI66" i="11"/>
  <c r="AJ66" i="11"/>
  <c r="AK66" i="11"/>
  <c r="AI67" i="11"/>
  <c r="AJ67" i="11"/>
  <c r="AK67" i="11"/>
  <c r="AI68" i="11"/>
  <c r="AJ68" i="11"/>
  <c r="AK68" i="11"/>
  <c r="AI69" i="11"/>
  <c r="AJ69" i="11"/>
  <c r="AK69" i="11"/>
  <c r="AI70" i="11"/>
  <c r="AJ70" i="11"/>
  <c r="AK70" i="11"/>
  <c r="AI71" i="11"/>
  <c r="AJ71" i="11"/>
  <c r="AK71" i="11"/>
  <c r="AI72" i="11"/>
  <c r="AJ72" i="11"/>
  <c r="AK72" i="11"/>
  <c r="AI73" i="11"/>
  <c r="AJ73" i="11"/>
  <c r="AK73" i="11"/>
  <c r="AI74" i="11"/>
  <c r="AJ74" i="11"/>
  <c r="AK74" i="11"/>
  <c r="AI75" i="11"/>
  <c r="AJ75" i="11"/>
  <c r="AK75" i="11"/>
  <c r="AI76" i="11"/>
  <c r="AJ76" i="11"/>
  <c r="AK76" i="11"/>
  <c r="AI77" i="11"/>
  <c r="AJ77" i="11"/>
  <c r="AK77" i="11"/>
  <c r="AI78" i="11"/>
  <c r="AJ78" i="11"/>
  <c r="AK78" i="11"/>
  <c r="AI79" i="11"/>
  <c r="AJ79" i="11"/>
  <c r="AK79" i="11"/>
  <c r="AI80" i="11"/>
  <c r="AJ80" i="11"/>
  <c r="AK80" i="11"/>
  <c r="AI81" i="11"/>
  <c r="AJ81" i="11"/>
  <c r="AK81" i="11"/>
  <c r="AI82" i="11"/>
  <c r="AJ82" i="11"/>
  <c r="AK82" i="11"/>
  <c r="AI83" i="11"/>
  <c r="AJ83" i="11"/>
  <c r="AK83" i="11"/>
  <c r="AI84" i="11"/>
  <c r="AJ84" i="11"/>
  <c r="AK84" i="11"/>
  <c r="AI85" i="11"/>
  <c r="AJ85" i="11"/>
  <c r="AK85" i="11"/>
  <c r="AI86" i="11"/>
  <c r="AJ86" i="11"/>
  <c r="AK86" i="11"/>
  <c r="AI87" i="11"/>
  <c r="AJ87" i="11"/>
  <c r="AK87" i="11"/>
  <c r="AI88" i="11"/>
  <c r="AJ88" i="11"/>
  <c r="AK88" i="11"/>
  <c r="AI89" i="11"/>
  <c r="AJ89" i="11"/>
  <c r="AK89" i="11"/>
  <c r="AI90" i="11"/>
  <c r="AJ90" i="11"/>
  <c r="AK90" i="11"/>
  <c r="AI91" i="11"/>
  <c r="AJ91" i="11"/>
  <c r="AK91" i="11"/>
  <c r="AI92" i="11"/>
  <c r="AJ92" i="11"/>
  <c r="AK92" i="11"/>
  <c r="AI93" i="11"/>
  <c r="AJ93" i="11"/>
  <c r="AK93" i="11"/>
  <c r="AI94" i="11"/>
  <c r="AJ94" i="11"/>
  <c r="AK94" i="11"/>
  <c r="AI95" i="11"/>
  <c r="AJ95" i="11"/>
  <c r="AK95" i="11"/>
  <c r="AI96" i="11"/>
  <c r="AJ96" i="11"/>
  <c r="AK96" i="11"/>
  <c r="AI97" i="11"/>
  <c r="AJ97" i="11"/>
  <c r="AK97" i="11"/>
  <c r="AI98" i="11"/>
  <c r="AJ98" i="11"/>
  <c r="AK98" i="11"/>
  <c r="AI99" i="11"/>
  <c r="AJ99" i="11"/>
  <c r="AK99" i="11"/>
  <c r="AI100" i="11"/>
  <c r="AJ100" i="11"/>
  <c r="AK100" i="11"/>
  <c r="AI101" i="11"/>
  <c r="AJ101" i="11"/>
  <c r="AK101" i="11"/>
  <c r="AI102" i="11"/>
  <c r="AJ102" i="11"/>
  <c r="AK102" i="11"/>
  <c r="AI103" i="11"/>
  <c r="AJ103" i="11"/>
  <c r="AK103" i="11"/>
  <c r="AI104" i="11"/>
  <c r="AJ104" i="11"/>
  <c r="AK104" i="11"/>
  <c r="AI105" i="11"/>
  <c r="AJ105" i="11"/>
  <c r="AK105" i="11"/>
  <c r="AI106" i="11"/>
  <c r="AJ106" i="11"/>
  <c r="AK106" i="11"/>
  <c r="AI107" i="11"/>
  <c r="AJ107" i="11"/>
  <c r="AK107" i="11"/>
  <c r="AI108" i="11"/>
  <c r="AJ108" i="11"/>
  <c r="AK108" i="11"/>
  <c r="AI109" i="11"/>
  <c r="AJ109" i="11"/>
  <c r="AK109" i="11"/>
  <c r="AI110" i="11"/>
  <c r="AJ110" i="11"/>
  <c r="AK110" i="11"/>
  <c r="AI111" i="11"/>
  <c r="AJ111" i="11"/>
  <c r="AK111" i="11"/>
  <c r="AI112" i="11"/>
  <c r="AJ112" i="11"/>
  <c r="AK112" i="11"/>
  <c r="AI113" i="11"/>
  <c r="AJ113" i="11"/>
  <c r="AK113" i="11"/>
  <c r="AI114" i="11"/>
  <c r="AJ114" i="11"/>
  <c r="AK1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J13" i="11"/>
  <c r="AJ12" i="11"/>
  <c r="AJ11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H12" i="8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Francois Jordan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9" authorId="2" shapeId="0" xr:uid="{E623F53E-4CCC-4D66-8D65-01A344545FD5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N10" authorId="2" shapeId="0" xr:uid="{568D15F8-C59E-4191-9E9A-89316B6E1F84}">
      <text>
        <r>
          <rPr>
            <b/>
            <sz val="9"/>
            <color indexed="81"/>
            <rFont val="Tahoma"/>
            <family val="2"/>
          </rPr>
          <t>Change of NPV when the riskfree curve is shifted by 1bp, divided by 0.0001</t>
        </r>
      </text>
    </comment>
    <comment ref="AE11" authorId="3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N11" authorId="2" shapeId="0" xr:uid="{1EDA8A48-8A4A-493F-ACEA-239F266C83D6}">
      <text>
        <r>
          <rPr>
            <b/>
            <sz val="9"/>
            <color indexed="81"/>
            <rFont val="Tahoma"/>
            <family val="2"/>
          </rPr>
          <t>Change of NPV when the spread (not the curve), is shifted by 1bp, divided by 0.0001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AE12" authorId="3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3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4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2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2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  <comment ref="AE116" authorId="2" shapeId="0" xr:uid="{70496763-B990-4200-B8E8-580390D6F98F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8" authorId="3" shapeId="0" xr:uid="{B09314BD-0E54-4BB3-8E86-F489715C5466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E119" authorId="3" shapeId="0" xr:uid="{264B1BD8-08FC-41F3-BEDC-E29BFBB4E7D7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20" authorId="3" shapeId="0" xr:uid="{13999356-2965-4DB3-A921-26C678FD8C51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AE121" authorId="2" shapeId="0" xr:uid="{49FBD7C6-C76B-468D-B114-0CC0A31825B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21" authorId="2" shapeId="0" xr:uid="{E34E05C3-1224-46DA-A17D-9D7B56718F5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where Q15*(0,75-P15) is the MTM of the first CDS, 0.75 is the LGD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<sst xmlns="http://schemas.openxmlformats.org/spreadsheetml/2006/main" count="2490" uniqueCount="625">
  <si>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</si>
  <si>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</si>
  <si>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</si>
  <si>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</si>
  <si>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</si>
  <si>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</si>
  <si>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</si>
  <si>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</si>
  <si>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</si>
  <si>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</si>
  <si>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</si>
  <si>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</si>
  <si>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</si>
  <si>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</si>
  <si>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</si>
  <si>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</si>
  <si>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</si>
  <si>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</si>
  <si>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</si>
  <si>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</si>
  <si>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</si>
  <si>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</si>
  <si>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</si>
  <si>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</si>
  <si>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</si>
  <si>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</si>
  <si>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</si>
  <si>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</si>
  <si>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</si>
  <si>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</si>
  <si>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</si>
  <si>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</si>
  <si>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</si>
  <si>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</si>
  <si>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</si>
  <si>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</si>
  <si>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</si>
  <si>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</si>
  <si>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</si>
  <si>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</si>
  <si>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</si>
  <si>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</si>
  <si>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</si>
  <si>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</si>
  <si>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</si>
  <si>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</si>
  <si>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</si>
  <si>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</si>
  <si>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</si>
  <si>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</si>
  <si>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</si>
  <si>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</si>
  <si>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</si>
  <si>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</si>
  <si>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</si>
  <si>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</si>
  <si>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</si>
  <si>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</si>
  <si>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</si>
  <si>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</si>
  <si>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</si>
  <si>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</si>
  <si>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</si>
  <si>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</si>
  <si>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</si>
  <si>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</si>
  <si>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</si>
  <si>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</si>
  <si>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</si>
  <si>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</si>
  <si>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</si>
  <si>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</si>
  <si>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</si>
  <si>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</si>
  <si>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</si>
  <si>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</si>
  <si>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</si>
  <si>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</si>
  <si>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</si>
  <si>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</si>
  <si>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</si>
  <si>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</si>
  <si>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</si>
  <si>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</si>
  <si>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</si>
  <si>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</si>
  <si>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</si>
  <si>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</si>
  <si>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</si>
  <si>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</si>
  <si>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</si>
  <si>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</si>
  <si>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</si>
  <si>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</si>
  <si>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</si>
  <si>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</si>
  <si>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</si>
  <si>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</si>
  <si>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</si>
  <si>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</si>
  <si>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</si>
  <si>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</si>
  <si>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</si>
  <si>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</si>
  <si>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</si>
  <si>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</si>
  <si>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</si>
  <si>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</si>
  <si>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</si>
  <si>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</si>
  <si>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</si>
  <si>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</si>
  <si>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</si>
  <si>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</si>
  <si>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</si>
  <si>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</si>
  <si>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</si>
  <si>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</si>
  <si>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</si>
  <si>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</si>
  <si>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</si>
  <si>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</si>
  <si>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</si>
  <si>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</si>
  <si>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</si>
  <si>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</si>
  <si>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</si>
  <si>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</si>
  <si>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</si>
  <si>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</si>
  <si>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</si>
  <si>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</si>
  <si>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</si>
  <si>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</si>
  <si>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</si>
  <si>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</si>
  <si>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</si>
  <si>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</si>
  <si>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</si>
  <si>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</si>
  <si>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</si>
  <si>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</si>
  <si>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</si>
  <si>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</si>
  <si>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</si>
  <si>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</si>
  <si>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</si>
  <si>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</si>
  <si>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</si>
  <si>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</si>
  <si>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</si>
  <si>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</si>
  <si>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</si>
  <si>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</si>
  <si>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</si>
  <si>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</si>
  <si>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</si>
  <si>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</si>
  <si>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</si>
  <si>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</si>
  <si>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</si>
  <si>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</si>
  <si>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</si>
  <si>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</si>
  <si>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</si>
  <si>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</si>
  <si>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</si>
  <si>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</si>
  <si>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</si>
  <si>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</si>
  <si>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</si>
  <si>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</si>
  <si>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</si>
  <si>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</si>
  <si>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</si>
  <si>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</si>
  <si>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</si>
  <si>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</si>
  <si>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</si>
  <si>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</si>
  <si>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</si>
  <si>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</si>
  <si>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</si>
  <si>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</si>
  <si>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</si>
  <si>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</si>
  <si>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</si>
  <si>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</si>
  <si>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</si>
  <si>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</si>
  <si>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</si>
  <si>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</si>
  <si>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</si>
  <si>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</si>
  <si>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</si>
  <si>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</si>
  <si>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</si>
  <si>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</si>
  <si>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</si>
  <si>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</si>
  <si>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</si>
  <si>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</si>
  <si>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</si>
  <si>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</si>
  <si>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</si>
  <si>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</si>
  <si>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</si>
  <si>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</si>
  <si>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</si>
  <si>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</si>
  <si>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</si>
  <si>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</si>
  <si>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</si>
  <si>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</si>
  <si>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</si>
  <si>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</si>
  <si>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</si>
  <si>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</si>
  <si>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</si>
  <si>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</si>
  <si>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</si>
  <si>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</si>
  <si>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</si>
  <si>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</si>
  <si>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</si>
  <si>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</si>
  <si>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</si>
  <si>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</si>
  <si>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</si>
  <si>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</si>
  <si>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</si>
  <si>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</si>
  <si>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</si>
  <si>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</si>
  <si>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</si>
  <si>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</si>
  <si>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</si>
  <si>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</si>
  <si>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</si>
  <si>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</si>
  <si>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</si>
  <si>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</si>
  <si>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</si>
  <si>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</si>
  <si>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</si>
  <si>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</si>
  <si>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</si>
  <si>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</si>
  <si>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</si>
  <si>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</si>
  <si>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</si>
  <si>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</si>
  <si>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</si>
  <si>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</si>
  <si>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</si>
  <si>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</si>
  <si>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</si>
  <si>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</si>
  <si>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</si>
  <si>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</si>
  <si>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</si>
  <si>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</si>
  <si>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</si>
  <si>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</si>
  <si>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</si>
  <si>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</si>
  <si>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</si>
  <si>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</si>
  <si>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</si>
  <si>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</si>
  <si>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</si>
  <si>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</si>
  <si>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</si>
  <si>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</si>
  <si>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</si>
  <si>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</si>
  <si>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</si>
  <si>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</si>
  <si>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</si>
  <si>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</si>
  <si>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</si>
  <si>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</si>
  <si>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</si>
  <si>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</si>
  <si>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</si>
  <si>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</si>
  <si>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</si>
  <si>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</si>
  <si>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</si>
  <si>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</si>
  <si>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</si>
  <si>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</si>
  <si>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</si>
  <si>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</si>
  <si>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</si>
  <si>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</si>
  <si>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</si>
  <si>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</si>
  <si>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</si>
  <si>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</si>
  <si>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</si>
  <si>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</si>
  <si>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</si>
  <si>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</si>
  <si>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</si>
  <si>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</si>
  <si>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</si>
  <si>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</si>
  <si>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</si>
  <si>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</si>
  <si>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</si>
  <si>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</si>
  <si>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</si>
  <si>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</si>
  <si>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</si>
  <si>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</si>
  <si>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</si>
  <si>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</si>
  <si>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</si>
  <si>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</si>
  <si>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</si>
  <si>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</si>
  <si>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</si>
  <si>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</si>
  <si>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</si>
  <si>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</si>
  <si>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</si>
  <si>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</si>
  <si>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</si>
  <si>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</si>
  <si>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</si>
  <si>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</si>
  <si>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</si>
  <si>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</si>
  <si>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</si>
  <si>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</si>
  <si>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</si>
  <si>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</si>
  <si>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</si>
  <si>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</si>
  <si>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</si>
  <si>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</si>
  <si>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</si>
  <si>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</si>
  <si>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</si>
  <si>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</si>
  <si>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</si>
  <si>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</si>
  <si>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</si>
  <si>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</si>
  <si>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</si>
  <si>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</si>
  <si>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</si>
  <si>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</si>
  <si>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</si>
  <si>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</si>
  <si>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</si>
  <si>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</si>
  <si>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</si>
  <si>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</si>
  <si>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</si>
  <si>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</si>
  <si>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</si>
  <si>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</si>
  <si>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</si>
  <si>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</si>
  <si>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</si>
  <si>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</si>
  <si>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</si>
  <si>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</si>
  <si>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</si>
  <si>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</si>
  <si>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</si>
  <si>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</si>
  <si>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</si>
  <si>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</si>
  <si>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</si>
  <si>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</si>
  <si>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</si>
  <si>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</si>
  <si>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</si>
  <si>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</si>
  <si>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</si>
  <si>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</si>
  <si>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</si>
  <si>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</si>
  <si>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</si>
  <si>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</si>
  <si>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</si>
  <si>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</si>
  <si>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</si>
  <si>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</si>
  <si>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</si>
  <si>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</si>
  <si>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</si>
  <si>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</si>
  <si>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</si>
  <si>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</si>
  <si>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</si>
  <si>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</si>
  <si>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</si>
  <si>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</si>
  <si>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</si>
  <si>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</si>
  <si>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</si>
  <si>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</si>
  <si>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</si>
  <si>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</si>
  <si>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</si>
  <si>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</si>
  <si>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</si>
  <si>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</si>
  <si>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</si>
  <si>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</si>
  <si>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</si>
  <si>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</si>
  <si>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</si>
  <si>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</si>
  <si>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</si>
  <si>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</si>
  <si>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</si>
  <si>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</si>
  <si>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</si>
  <si>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</si>
  <si>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</si>
  <si>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</si>
  <si>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</si>
  <si>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</si>
  <si>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</si>
  <si>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</si>
  <si>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</si>
  <si>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</si>
  <si>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</si>
  <si>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</si>
  <si>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</si>
  <si>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</si>
  <si>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</si>
  <si>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</si>
  <si>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</si>
  <si>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</si>
  <si>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</si>
  <si>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</si>
  <si>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</si>
  <si>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</si>
  <si>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</si>
  <si>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</si>
  <si>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</si>
  <si>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</si>
  <si>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</si>
  <si>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</si>
  <si>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</si>
  <si>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</si>
  <si>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</si>
  <si>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</si>
  <si>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</si>
  <si>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</si>
  <si>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</si>
  <si>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</si>
  <si>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</si>
  <si>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</si>
  <si>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</si>
  <si>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</si>
  <si>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</si>
  <si>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</si>
  <si>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</si>
  <si>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</si>
  <si>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</si>
  <si>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</si>
  <si>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</si>
  <si>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</si>
  <si>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</si>
  <si>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</si>
  <si>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</si>
  <si>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</si>
  <si>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</si>
  <si>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</si>
  <si>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</si>
  <si>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</si>
  <si>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</si>
  <si>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</si>
  <si>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</si>
  <si>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</si>
  <si>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</si>
  <si>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</si>
  <si>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</si>
  <si>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</si>
  <si>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</si>
  <si>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</si>
  <si>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</si>
  <si>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</si>
  <si>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</si>
  <si>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</si>
  <si>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</si>
  <si>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</si>
  <si>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</si>
  <si>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</si>
  <si>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</si>
  <si>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</si>
  <si>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</si>
  <si>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</si>
  <si>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</si>
  <si>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</si>
  <si>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</si>
  <si>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</si>
  <si>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</si>
  <si>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</si>
  <si>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</si>
  <si>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</si>
  <si>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</si>
  <si>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</si>
  <si>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</si>
  <si>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</si>
  <si>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</si>
  <si>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</si>
  <si>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</si>
  <si>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</si>
  <si>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</si>
  <si>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</si>
  <si>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</si>
  <si>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</si>
  <si>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</si>
  <si>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</si>
  <si>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</si>
  <si>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</si>
  <si>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</si>
  <si>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</si>
  <si>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</si>
  <si>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</si>
  <si>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</si>
  <si>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</si>
  <si>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</si>
  <si>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</si>
  <si>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</si>
  <si>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</si>
  <si>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</si>
  <si>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</si>
  <si>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</si>
  <si>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</si>
  <si>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</si>
  <si>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</si>
  <si>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</si>
  <si>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</si>
  <si>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</si>
  <si>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</si>
  <si>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</si>
  <si>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</si>
  <si>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</si>
  <si>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</si>
  <si>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</si>
  <si>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</si>
  <si>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</si>
  <si>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</si>
  <si>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</si>
  <si>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</si>
  <si>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</si>
  <si>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</si>
  <si>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</si>
  <si>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</si>
  <si>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</si>
  <si>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</si>
  <si>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</si>
  <si>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</si>
  <si>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</si>
  <si>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</si>
  <si>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</si>
  <si>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</si>
  <si>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</si>
  <si>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</si>
  <si>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</si>
  <si>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</si>
  <si>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</si>
  <si>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</si>
  <si>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</si>
  <si>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</si>
  <si>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</si>
  <si>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</si>
  <si>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</si>
  <si>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</si>
  <si>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</si>
  <si>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</si>
  <si>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</si>
  <si>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</si>
  <si>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</si>
  <si>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</si>
  <si>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</si>
  <si>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</si>
  <si>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</si>
  <si>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</si>
  <si>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</si>
  <si>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</si>
  <si>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</si>
  <si>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</si>
  <si>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</si>
  <si>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</si>
  <si>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</si>
  <si>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</si>
  <si>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</si>
  <si>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</si>
  <si>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</si>
  <si>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</si>
  <si>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</si>
  <si>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</si>
  <si>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</si>
  <si>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</si>
  <si>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</si>
  <si>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</si>
  <si>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</si>
  <si>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</si>
  <si>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</si>
  <si>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</si>
  <si>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</si>
  <si>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</si>
  <si>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</si>
  <si>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</si>
  <si>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</si>
  <si>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</si>
  <si>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Caution, LGD may be wrong for the CDS and the weights too</t>
  </si>
  <si>
    <t>Net JTD Long</t>
  </si>
  <si>
    <t>Net JTD short</t>
  </si>
  <si>
    <t>Offsetable ?</t>
  </si>
  <si>
    <t>Can be this if 22.11 FAQ holds ( ie JTD bucket of CDS is only (0 recov)  the nominal - MTM)</t>
  </si>
  <si>
    <t>Delta GIRR</t>
  </si>
  <si>
    <t>Delta CSR</t>
  </si>
  <si>
    <t>CDO SBM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</si>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</sst>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7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177" fontId="25" fillId="4" borderId="23" xfId="1" quotePrefix="1" applyNumberFormat="1" applyFont="1" applyFill="1" applyBorder="1" applyAlignment="1">
      <alignment horizontal="center"/>
    </xf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0" fontId="26" fillId="4" borderId="9" xfId="0" applyFont="1" applyFill="1" applyBorder="1"/>
    <xf numFmtId="177" fontId="0" fillId="0" borderId="0" xfId="0" applyNumberFormat="1"/>
    <xf numFmtId="11" fontId="0" fillId="0" borderId="0" xfId="0" applyNumberFormat="1"/>
    <xf numFmtId="178" fontId="47" fillId="0" borderId="7" xfId="2" applyNumberFormat="1" applyFont="1" applyBorder="1" applyAlignment="1"/>
    <xf numFmtId="177" fontId="47" fillId="0" borderId="0" xfId="2" applyNumberFormat="1" applyFont="1" applyAlignment="1"/>
    <xf numFmtId="178" fontId="47" fillId="0" borderId="23" xfId="2" applyNumberFormat="1" applyFont="1" applyBorder="1" applyAlignment="1"/>
    <xf numFmtId="177" fontId="47" fillId="0" borderId="8" xfId="2" applyNumberFormat="1" applyFont="1" applyBorder="1" applyAlignment="1"/>
    <xf numFmtId="178" fontId="47" fillId="0" borderId="1" xfId="2" applyNumberFormat="1" applyFont="1" applyBorder="1" applyAlignment="1"/>
    <xf numFmtId="178" fontId="47" fillId="0" borderId="0" xfId="2" applyNumberFormat="1" applyFont="1" applyAlignment="1"/>
    <xf numFmtId="177" fontId="47" fillId="0" borderId="2" xfId="2" applyNumberFormat="1" applyFont="1" applyBorder="1" applyAlignment="1"/>
    <xf numFmtId="178" fontId="47" fillId="0" borderId="3" xfId="2" applyNumberFormat="1" applyFont="1" applyBorder="1" applyAlignment="1"/>
    <xf numFmtId="178" fontId="47" fillId="0" borderId="28" xfId="2" applyNumberFormat="1" applyFont="1" applyBorder="1" applyAlignment="1"/>
    <xf numFmtId="177" fontId="47" fillId="0" borderId="4" xfId="2" applyNumberFormat="1" applyFont="1" applyBorder="1" applyAlignment="1"/>
    <xf numFmtId="178" fontId="47" fillId="4" borderId="10" xfId="0" applyNumberFormat="1" applyFont="1" applyFill="1" applyBorder="1"/>
    <xf numFmtId="178" fontId="47" fillId="0" borderId="10" xfId="2" applyNumberFormat="1" applyFont="1" applyBorder="1" applyAlignment="1"/>
    <xf numFmtId="178" fontId="47" fillId="4" borderId="1" xfId="0" applyNumberFormat="1" applyFont="1" applyFill="1" applyBorder="1"/>
    <xf numFmtId="177" fontId="47" fillId="0" borderId="28" xfId="2" applyNumberFormat="1" applyFont="1" applyBorder="1" applyAlignment="1"/>
    <xf numFmtId="0" fontId="26" fillId="2" borderId="5" xfId="0" applyFont="1" applyFill="1" applyBorder="1"/>
    <xf numFmtId="0" fontId="26" fillId="2" borderId="6" xfId="0" applyFont="1" applyFill="1" applyBorder="1"/>
    <xf numFmtId="177" fontId="47" fillId="0" borderId="23" xfId="2" applyNumberFormat="1" applyFont="1" applyBorder="1" applyAlignment="1"/>
    <xf numFmtId="178" fontId="47" fillId="0" borderId="11" xfId="2" applyNumberFormat="1" applyFont="1" applyBorder="1" applyAlignment="1"/>
    <xf numFmtId="0" fontId="21" fillId="0" borderId="3" xfId="2" applyFont="1" applyBorder="1" applyAlignment="1"/>
    <xf numFmtId="0" fontId="21" fillId="0" borderId="4" xfId="2" applyFont="1" applyBorder="1" applyAlignment="1"/>
    <xf numFmtId="177" fontId="47" fillId="0" borderId="3" xfId="2" applyNumberFormat="1" applyFont="1" applyBorder="1" applyAlignment="1"/>
    <xf numFmtId="178" fontId="47" fillId="0" borderId="28" xfId="2" applyNumberFormat="1" applyFont="1" applyBorder="1" applyAlignment="1">
      <alignment horizontal="left"/>
    </xf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177" fontId="47" fillId="0" borderId="7" xfId="2" applyNumberFormat="1" applyFont="1" applyBorder="1" applyAlignment="1">
      <alignment horizontal="center"/>
    </xf>
    <xf numFmtId="177" fontId="47" fillId="0" borderId="23" xfId="2" applyNumberFormat="1" applyFont="1" applyBorder="1" applyAlignment="1">
      <alignment horizontal="center"/>
    </xf>
    <xf numFmtId="177" fontId="47" fillId="0" borderId="8" xfId="2" applyNumberFormat="1" applyFont="1" applyBorder="1" applyAlignment="1">
      <alignment horizontal="center"/>
    </xf>
    <xf numFmtId="177" fontId="47" fillId="0" borderId="3" xfId="2" applyNumberFormat="1" applyFont="1" applyBorder="1" applyAlignment="1">
      <alignment horizontal="center"/>
    </xf>
    <xf numFmtId="177" fontId="47" fillId="0" borderId="28" xfId="2" applyNumberFormat="1" applyFont="1" applyBorder="1" applyAlignment="1">
      <alignment horizontal="center"/>
    </xf>
    <xf numFmtId="177" fontId="47" fillId="0" borderId="4" xfId="2" applyNumberFormat="1" applyFont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133350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9525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</xdr:colOff>
          <xdr:row>6</xdr:row>
          <xdr:rowOff>95250</xdr:rowOff>
        </xdr:from>
        <xdr:to>
          <xdr:col>30</xdr:col>
          <xdr:colOff>609600</xdr:colOff>
          <xdr:row>7</xdr:row>
          <xdr:rowOff>123825</xdr:rowOff>
        </xdr:to>
        <xdr:sp macro="" textlink="">
          <xdr:nvSpPr>
            <xdr:cNvPr id="11336" name="Button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7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FRTB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B1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45445</v>
      </c>
      <c r="D7" s="110"/>
      <c r="E7" s="111"/>
      <c r="F7" s="525" t="s">
        <v>48</v>
      </c>
      <c r="G7" s="526"/>
      <c r="H7" s="526"/>
      <c r="I7" s="526"/>
      <c r="J7" s="526"/>
      <c r="K7" s="526"/>
      <c r="L7" s="526"/>
      <c r="M7" s="526"/>
      <c r="N7" s="526"/>
      <c r="O7" s="526"/>
      <c r="P7" s="526"/>
      <c r="Q7" s="527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22" t="s">
        <v>68</v>
      </c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28" t="s">
        <v>21</v>
      </c>
      <c r="D5" s="529"/>
      <c r="F5" s="530" t="s">
        <v>23</v>
      </c>
      <c r="G5" s="531"/>
      <c r="I5" s="530" t="s">
        <v>22</v>
      </c>
      <c r="J5" s="531"/>
      <c r="R5" s="528" t="s">
        <v>39</v>
      </c>
      <c r="S5" s="529"/>
      <c r="U5" s="530" t="s">
        <v>40</v>
      </c>
      <c r="V5" s="531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28" t="s">
        <v>21</v>
      </c>
      <c r="C20" s="532"/>
      <c r="D20" s="532"/>
      <c r="E20" s="532"/>
      <c r="F20" s="532"/>
      <c r="G20" s="532"/>
      <c r="H20" s="532"/>
      <c r="I20" s="532"/>
      <c r="J20" s="529"/>
      <c r="L20" s="528" t="s">
        <v>23</v>
      </c>
      <c r="M20" s="529"/>
      <c r="O20" s="528" t="s">
        <v>22</v>
      </c>
      <c r="P20" s="529"/>
      <c r="R20" s="533" t="s">
        <v>39</v>
      </c>
      <c r="S20" s="534"/>
      <c r="T20" s="534"/>
      <c r="U20" s="534"/>
      <c r="V20" s="534"/>
      <c r="W20" s="534"/>
      <c r="X20" s="535"/>
      <c r="Z20" s="530" t="s">
        <v>40</v>
      </c>
      <c r="AA20" s="531"/>
    </row>
    <row r="21" spans="2:27" ht="15.7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70.710937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25" t="s">
        <v>72</v>
      </c>
      <c r="H2" s="526"/>
      <c r="I2" s="526"/>
      <c r="J2" s="145" t="b">
        <v>1</v>
      </c>
    </row>
    <row r="3" spans="1:50" ht="15.75" thickBot="1">
      <c r="J3" s="99"/>
    </row>
    <row r="4" spans="1:50" ht="15.75" thickBot="1">
      <c r="G4" s="525" t="s">
        <v>73</v>
      </c>
      <c r="H4" s="526"/>
      <c r="I4" s="527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39" t="b">
        <v>1</v>
      </c>
      <c r="D6" s="540"/>
      <c r="E6" s="85"/>
      <c r="F6" s="85"/>
      <c r="G6" s="525" t="s">
        <v>74</v>
      </c>
      <c r="H6" s="526"/>
      <c r="I6" s="527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41">
        <f ca="1">GetCDSRefDate(Parameter_Date,C6)</f>
        <v>45463</v>
      </c>
      <c r="D7" s="54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25" t="s">
        <v>76</v>
      </c>
      <c r="F9" s="526"/>
      <c r="G9" s="526"/>
      <c r="H9" s="526"/>
      <c r="I9" s="526"/>
      <c r="J9" s="526"/>
      <c r="K9" s="526"/>
      <c r="L9" s="526"/>
      <c r="M9" s="527"/>
      <c r="N9" s="536" t="s">
        <v>77</v>
      </c>
      <c r="O9" s="537"/>
      <c r="P9" s="537"/>
      <c r="Q9" s="537"/>
      <c r="R9" s="537"/>
      <c r="S9" s="537"/>
      <c r="T9" s="537"/>
      <c r="U9" s="537"/>
      <c r="V9" s="538"/>
      <c r="W9" s="536" t="s">
        <v>78</v>
      </c>
      <c r="X9" s="537"/>
      <c r="Y9" s="537"/>
      <c r="Z9" s="537"/>
      <c r="AA9" s="537"/>
      <c r="AB9" s="537"/>
      <c r="AC9" s="537"/>
      <c r="AD9" s="537"/>
      <c r="AE9" s="538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5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1.25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545" t="s">
        <v>456</v>
      </c>
      <c r="D3" s="546"/>
      <c r="E3" s="547"/>
    </row>
    <row r="4" spans="2:11">
      <c r="C4" s="548"/>
      <c r="D4" s="549"/>
      <c r="E4" s="550"/>
    </row>
    <row r="5" spans="2:11" ht="15.75" thickBot="1">
      <c r="C5" s="551"/>
      <c r="D5" s="552"/>
      <c r="E5" s="553"/>
      <c r="G5" s="477"/>
    </row>
    <row r="6" spans="2:11" ht="15.75" thickBot="1"/>
    <row r="7" spans="2:11" ht="16.5" thickBot="1">
      <c r="B7" s="543" t="s">
        <v>454</v>
      </c>
      <c r="C7" s="544"/>
      <c r="D7" s="79"/>
      <c r="E7" s="543" t="s">
        <v>455</v>
      </c>
      <c r="F7" s="544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.7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90">
        <f ca="1">0.75-F15</f>
        <v>0.7750620321949</v>
      </c>
      <c r="I12" s="79"/>
      <c r="J12" s="79"/>
      <c r="K12" s="79"/>
    </row>
    <row r="13" spans="2:11" ht="15.7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.7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2" cm="1">
        <f t="array" aca="1" ref="F15:K22" ca="1">IF(NOT($F$9),"",GetCDS(C9,C10,C11,C12,C13,C19,C20,C21,C15,C16,C17,C23,C24,C26,C28:C30,C32))</f>
        <v>-2.50620321949E-2</v>
      </c>
      <c r="G15" s="260">
        <f ca="1"/>
        <v>-2.50620321949E-2</v>
      </c>
      <c r="H15" s="256">
        <f ca="1"/>
        <v>0</v>
      </c>
      <c r="I15" s="458">
        <f ca="1"/>
        <v>0</v>
      </c>
      <c r="J15" s="260">
        <f ca="1"/>
        <v>0</v>
      </c>
      <c r="K15" s="256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7">
        <f ca="1"/>
        <v>1.8035596018332701E-2</v>
      </c>
      <c r="G16" s="261">
        <f ca="1"/>
        <v>1.8035596018332701E-2</v>
      </c>
      <c r="H16" s="257">
        <f ca="1"/>
        <v>0</v>
      </c>
      <c r="I16" s="459">
        <f ca="1"/>
        <v>0</v>
      </c>
      <c r="J16" s="261">
        <f ca="1"/>
        <v>0</v>
      </c>
      <c r="K16" s="257">
        <f ca="1"/>
        <v>0</v>
      </c>
    </row>
    <row r="17" spans="2:11" ht="15.75" thickBot="1">
      <c r="B17" s="208" t="s">
        <v>439</v>
      </c>
      <c r="C17" s="195">
        <v>0</v>
      </c>
      <c r="E17" s="224" t="s">
        <v>438</v>
      </c>
      <c r="F17" s="457">
        <f ca="1"/>
        <v>4.3097628213232701E-2</v>
      </c>
      <c r="G17" s="261">
        <f ca="1"/>
        <v>4.3097628213232701E-2</v>
      </c>
      <c r="H17" s="257">
        <f ca="1"/>
        <v>0</v>
      </c>
      <c r="I17" s="459">
        <f ca="1"/>
        <v>0</v>
      </c>
      <c r="J17" s="261">
        <f ca="1"/>
        <v>0</v>
      </c>
      <c r="K17" s="257">
        <f ca="1"/>
        <v>0</v>
      </c>
    </row>
    <row r="18" spans="2:11" ht="15.75" thickBot="1">
      <c r="B18" s="201"/>
      <c r="C18" s="79"/>
      <c r="E18" s="224" t="s">
        <v>440</v>
      </c>
      <c r="F18" s="476">
        <f ca="1"/>
        <v>4.1848233339195802E-3</v>
      </c>
      <c r="G18" s="261">
        <f ca="1"/>
        <v>4.1848233339195802E-3</v>
      </c>
      <c r="H18" s="257">
        <f ca="1"/>
        <v>0</v>
      </c>
      <c r="I18" s="459">
        <f ca="1"/>
        <v>0</v>
      </c>
      <c r="J18" s="261">
        <f ca="1"/>
        <v>0</v>
      </c>
      <c r="K18" s="257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7">
        <f ca="1"/>
        <v>4.3097628213232699</v>
      </c>
      <c r="G19" s="262">
        <f ca="1"/>
        <v>4.3097628213232699</v>
      </c>
      <c r="H19" s="257">
        <f ca="1"/>
        <v>0</v>
      </c>
      <c r="I19" s="460">
        <f ca="1"/>
        <v>0</v>
      </c>
      <c r="J19" s="262">
        <f ca="1"/>
        <v>0</v>
      </c>
      <c r="K19" s="257">
        <f ca="1"/>
        <v>0</v>
      </c>
    </row>
    <row r="20" spans="2:11" ht="15.75" thickBot="1">
      <c r="B20" s="207" t="s">
        <v>444</v>
      </c>
      <c r="C20" s="69" t="s">
        <v>445</v>
      </c>
      <c r="E20" s="224" t="s">
        <v>443</v>
      </c>
      <c r="F20" s="267" t="str">
        <f ca="1"/>
        <v>00:00:00.0120118</v>
      </c>
      <c r="G20" s="263" t="str">
        <f ca="1"/>
        <v>00:00:00.0120118</v>
      </c>
      <c r="H20" s="257">
        <f ca="1"/>
        <v>0</v>
      </c>
      <c r="I20" s="461">
        <f ca="1"/>
        <v>0</v>
      </c>
      <c r="J20" s="263">
        <f ca="1"/>
        <v>0</v>
      </c>
      <c r="K20" s="257">
        <f ca="1"/>
        <v>0</v>
      </c>
    </row>
    <row r="21" spans="2:11" ht="15.75" thickBot="1">
      <c r="B21" s="208" t="s">
        <v>446</v>
      </c>
      <c r="C21" s="478"/>
      <c r="E21" s="225"/>
      <c r="F21" s="258" t="str">
        <f ca="1"/>
        <v>dPV</v>
      </c>
      <c r="G21" s="258" t="str">
        <f ca="1"/>
        <v>dHedge</v>
      </c>
      <c r="H21" s="259" t="str">
        <f ca="1"/>
        <v>delta not. (Hedge Crncy)</v>
      </c>
      <c r="I21" s="258" t="str">
        <f ca="1"/>
        <v>delta not. (Product CCY)</v>
      </c>
      <c r="J21" s="258" t="str">
        <f ca="1"/>
        <v>dPV(dBeta)</v>
      </c>
      <c r="K21" s="259" t="str">
        <f ca="1"/>
        <v>Name</v>
      </c>
    </row>
    <row r="22" spans="2:11" ht="15.75" thickBot="1">
      <c r="B22" s="201"/>
      <c r="C22" s="79"/>
      <c r="E22" s="226"/>
      <c r="F22" s="474">
        <f ca="1"/>
        <v>4.5010513236525202E-4</v>
      </c>
      <c r="G22" s="264">
        <f ca="1"/>
        <v>4.4067719590283198E-4</v>
      </c>
      <c r="H22" s="265">
        <f ca="1"/>
        <v>1.0213942009027801</v>
      </c>
      <c r="I22" s="264">
        <f ca="1"/>
        <v>1.0213942009027801</v>
      </c>
      <c r="J22" s="264">
        <f ca="1"/>
        <v>-1.8035596018332701E-2</v>
      </c>
      <c r="K22" s="26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.75" thickBot="1">
      <c r="B24" s="208" t="s">
        <v>448</v>
      </c>
      <c r="C24" s="197" t="b">
        <v>1</v>
      </c>
    </row>
    <row r="25" spans="2:11" ht="15.75" thickBot="1">
      <c r="B25" s="202"/>
      <c r="C25" s="85"/>
      <c r="D25" s="198"/>
    </row>
    <row r="26" spans="2:11" ht="15.75" thickBot="1">
      <c r="B26" s="179" t="s">
        <v>449</v>
      </c>
      <c r="C26" s="196" t="b">
        <v>1</v>
      </c>
      <c r="D26" s="85"/>
    </row>
    <row r="27" spans="2:11" ht="15.7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.75" thickBot="1">
      <c r="B30" s="205" t="s">
        <v>448</v>
      </c>
      <c r="C30" s="200" t="b">
        <v>1</v>
      </c>
      <c r="D30" s="85"/>
    </row>
    <row r="31" spans="2:11" ht="15.75" thickBot="1">
      <c r="B31" s="203"/>
      <c r="C31" s="79"/>
      <c r="D31" s="85"/>
    </row>
    <row r="32" spans="2:11" ht="15.7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6"/>
      <c r="K2" s="175"/>
    </row>
    <row r="3" spans="2:11">
      <c r="J3" s="266"/>
    </row>
    <row r="5" spans="2:11" ht="15.75" thickBot="1"/>
    <row r="6" spans="2:11" ht="15.75" thickBot="1">
      <c r="B6" s="179" t="s">
        <v>423</v>
      </c>
      <c r="C6" s="185" t="b">
        <v>1</v>
      </c>
      <c r="H6" s="180" t="s">
        <v>424</v>
      </c>
      <c r="I6" s="554">
        <v>1</v>
      </c>
      <c r="J6" s="555"/>
      <c r="K6" s="556"/>
    </row>
    <row r="7" spans="2:11" ht="15.75" thickBot="1">
      <c r="D7" s="169"/>
      <c r="H7" s="181" t="s">
        <v>425</v>
      </c>
      <c r="I7" s="557" t="str" cm="1">
        <f t="array" aca="1" ref="I7" ca="1">GetGetCDSName(I6)</f>
        <v>ABNAMRO_MMR.EUR.SU</v>
      </c>
      <c r="J7" s="558"/>
      <c r="K7" s="559"/>
    </row>
    <row r="8" spans="2:11" ht="15.75" thickBot="1"/>
    <row r="9" spans="2:11" ht="15.7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.7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X338"/>
  <sheetViews>
    <sheetView showGridLines="0" tabSelected="1" topLeftCell="B13" zoomScale="130" zoomScaleNormal="130" workbookViewId="0">
      <selection activeCell="AR15" sqref="AR15"/>
    </sheetView>
  </sheetViews>
  <sheetFormatPr defaultColWidth="11.42578125" defaultRowHeight="11.25"/>
  <cols>
    <col min="1" max="1" width="3.140625" style="227" customWidth="1"/>
    <col min="2" max="2" width="17.140625" style="227" customWidth="1"/>
    <col min="3" max="3" width="20" style="228" customWidth="1"/>
    <col min="4" max="4" width="11.7109375" style="228" bestFit="1" customWidth="1"/>
    <col min="5" max="5" width="11" style="228" bestFit="1" customWidth="1"/>
    <col min="6" max="6" width="7.42578125" style="228" customWidth="1"/>
    <col min="7" max="7" width="9.7109375" style="228" customWidth="1"/>
    <col min="8" max="8" width="11.28515625" style="228" customWidth="1"/>
    <col min="9" max="10" width="13.140625" style="227" customWidth="1"/>
    <col min="11" max="11" width="18.5703125" style="227" customWidth="1"/>
    <col min="12" max="12" width="18.42578125" style="227" customWidth="1"/>
    <col min="13" max="13" width="13.140625" style="227" customWidth="1"/>
    <col min="14" max="14" width="27.5703125" style="227" customWidth="1"/>
    <col min="15" max="16" width="13.140625" style="227" customWidth="1"/>
    <col min="17" max="18" width="19.28515625" style="227" customWidth="1"/>
    <col min="19" max="29" width="13.140625" style="227" customWidth="1"/>
    <col min="30" max="30" width="11.42578125" style="227"/>
    <col min="31" max="31" width="13.140625" style="227" customWidth="1"/>
    <col min="32" max="32" width="13.5703125" style="227" customWidth="1"/>
    <col min="33" max="33" width="12.7109375" style="227" customWidth="1"/>
    <col min="34" max="34" width="13.5703125" style="227" customWidth="1"/>
    <col min="35" max="35" width="11.42578125" style="227"/>
    <col min="36" max="36" width="13" style="227" customWidth="1"/>
    <col min="37" max="37" width="11.42578125" style="227" customWidth="1"/>
    <col min="38" max="16384" width="11.42578125" style="227"/>
  </cols>
  <sheetData>
    <row r="1" spans="1:50">
      <c r="S1" s="228"/>
    </row>
    <row r="2" spans="1:50" ht="15">
      <c r="S2" s="228"/>
      <c r="AI2"/>
      <c r="AJ2" s="491"/>
      <c r="AK2"/>
      <c r="AL2"/>
      <c r="AM2"/>
    </row>
    <row r="3" spans="1:50" ht="15">
      <c r="S3" s="228"/>
      <c r="AI3"/>
      <c r="AJ3" s="491"/>
      <c r="AK3"/>
      <c r="AL3"/>
      <c r="AM3"/>
    </row>
    <row r="4" spans="1:50" ht="15.75" thickBot="1">
      <c r="N4" s="481"/>
      <c r="S4" s="228"/>
      <c r="AI4"/>
      <c r="AJ4"/>
      <c r="AK4"/>
      <c r="AL4"/>
      <c r="AM4"/>
    </row>
    <row r="5" spans="1:50" ht="15.75" thickBot="1">
      <c r="H5" s="269" t="s">
        <v>423</v>
      </c>
      <c r="I5" s="140" t="b">
        <v>1</v>
      </c>
      <c r="K5" s="269" t="s">
        <v>508</v>
      </c>
      <c r="L5" s="140" t="b">
        <v>1</v>
      </c>
      <c r="S5" s="228"/>
      <c r="AI5"/>
      <c r="AJ5"/>
      <c r="AK5"/>
      <c r="AL5"/>
      <c r="AM5"/>
    </row>
    <row r="6" spans="1:50" ht="15.75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S6" s="228"/>
      <c r="AI6"/>
      <c r="AJ6"/>
      <c r="AK6"/>
      <c r="AL6"/>
      <c r="AM6"/>
    </row>
    <row r="7" spans="1:50" customFormat="1" ht="15.75" thickBot="1">
      <c r="A7" s="227"/>
      <c r="B7" s="270" t="s">
        <v>457</v>
      </c>
      <c r="C7" s="230" cm="1">
        <f t="array" aca="1" ref="C7" ca="1">GetConvertDate([0]!CDSRollDate,C6)</f>
        <v>47289</v>
      </c>
      <c r="D7" s="515"/>
      <c r="E7" s="514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50" customFormat="1" ht="15.75" thickBot="1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aca="1" ref="I8:R114" ca="1">IF(NOT($I$5),"",GETCDO(C6,C19:C20,C21:C22,G39:G338,C8,C17,C39:C338,D39:D338,C12,C13,C14,C15,C9,C10,E39:E338,F39:F338,C24,C25,C27,L5,L6,C29:C31,C36,C33,,C34))</f>
        <v>0.183780691978252</v>
      </c>
      <c r="J8" s="399">
        <f ca="1"/>
        <v>6.1260230659417297E-2</v>
      </c>
      <c r="K8" s="408" t="str">
        <f ca="1"/>
        <v/>
      </c>
      <c r="L8" s="408">
        <f ca="1"/>
        <v>0</v>
      </c>
      <c r="M8" s="409">
        <f ca="1"/>
        <v>0</v>
      </c>
      <c r="N8" s="409">
        <f ca="1"/>
        <v>0</v>
      </c>
      <c r="O8" s="409" t="str">
        <f ca="1"/>
        <v/>
      </c>
      <c r="P8" s="409" t="str">
        <f ca="1"/>
        <v/>
      </c>
      <c r="Q8" s="409" t="str">
        <f ca="1"/>
        <v/>
      </c>
      <c r="R8" s="449" t="str">
        <f ca="1"/>
        <v/>
      </c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  <c r="AD8" s="79"/>
      <c r="AF8" t="s">
        <v>616</v>
      </c>
    </row>
    <row r="9" spans="1:50" customFormat="1" ht="15.75" thickBot="1">
      <c r="A9" s="227"/>
      <c r="B9" s="271" t="s">
        <v>437</v>
      </c>
      <c r="C9" s="232">
        <v>-0.05</v>
      </c>
      <c r="D9" s="228"/>
      <c r="E9" s="228"/>
      <c r="F9" s="228"/>
      <c r="G9" s="228"/>
      <c r="H9" s="386" t="s">
        <v>436</v>
      </c>
      <c r="I9" s="400">
        <f ca="1"/>
        <v>0.76385071819388795</v>
      </c>
      <c r="J9" s="401">
        <f ca="1"/>
        <v>0.254616906064629</v>
      </c>
      <c r="K9" s="410" t="str">
        <f ca="1"/>
        <v/>
      </c>
      <c r="L9" s="410">
        <f ca="1"/>
        <v>0</v>
      </c>
      <c r="M9" s="332">
        <f ca="1"/>
        <v>0</v>
      </c>
      <c r="N9" s="566">
        <f ca="1"/>
        <v>0</v>
      </c>
      <c r="O9" s="332" t="str">
        <f ca="1"/>
        <v/>
      </c>
      <c r="P9" s="332" t="str">
        <f ca="1"/>
        <v/>
      </c>
      <c r="Q9" s="332" t="str">
        <f ca="1"/>
        <v/>
      </c>
      <c r="R9" s="450" t="str">
        <f ca="1"/>
        <v/>
      </c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485" t="s">
        <v>619</v>
      </c>
      <c r="AF9" s="140" t="b">
        <v>1</v>
      </c>
      <c r="AN9" s="485" t="s">
        <v>623</v>
      </c>
      <c r="AO9" s="480" t="s">
        <v>83</v>
      </c>
      <c r="AP9" s="480" t="s">
        <v>84</v>
      </c>
      <c r="AQ9" s="480" t="s">
        <v>53</v>
      </c>
      <c r="AR9" s="480" t="s">
        <v>54</v>
      </c>
      <c r="AS9" s="480" t="s">
        <v>55</v>
      </c>
      <c r="AT9" s="480" t="s">
        <v>57</v>
      </c>
      <c r="AU9" s="480" t="s">
        <v>62</v>
      </c>
      <c r="AV9" s="480" t="s">
        <v>63</v>
      </c>
      <c r="AW9" s="480" t="s">
        <v>64</v>
      </c>
      <c r="AX9" s="480" t="s">
        <v>624</v>
      </c>
    </row>
    <row r="10" spans="1:50" customFormat="1" ht="15.7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>
        <f ca="1"/>
        <v>0.58007002621563597</v>
      </c>
      <c r="J10" s="401">
        <f ca="1"/>
        <v>0.19335667540521201</v>
      </c>
      <c r="K10" s="410" t="str">
        <f ca="1"/>
        <v/>
      </c>
      <c r="L10" s="410">
        <f ca="1"/>
        <v>0</v>
      </c>
      <c r="M10" s="332">
        <f ca="1"/>
        <v>0</v>
      </c>
      <c r="N10" s="566">
        <f ca="1"/>
        <v>0</v>
      </c>
      <c r="O10" s="332" t="str">
        <f ca="1"/>
        <v/>
      </c>
      <c r="P10" s="332" t="str">
        <f ca="1"/>
        <v/>
      </c>
      <c r="Q10" s="332" t="str">
        <f ca="1"/>
        <v/>
      </c>
      <c r="R10" s="450" t="str">
        <f ca="1"/>
        <v/>
      </c>
      <c r="S10" s="444"/>
      <c r="T10" s="79"/>
      <c r="U10" s="79"/>
      <c r="V10" s="79"/>
      <c r="W10" s="79"/>
      <c r="X10" s="79"/>
      <c r="Y10" s="485" t="s">
        <v>434</v>
      </c>
      <c r="Z10" s="432">
        <f ca="1">C29</f>
        <v>0</v>
      </c>
      <c r="AA10" s="79"/>
      <c r="AB10" s="485" t="s">
        <v>504</v>
      </c>
      <c r="AC10" s="432">
        <v>0.95</v>
      </c>
      <c r="AD10" s="79"/>
      <c r="AE10" s="485" t="s">
        <v>612</v>
      </c>
      <c r="AF10" s="484"/>
      <c r="AG10" s="504"/>
      <c r="AH10" s="227"/>
      <c r="AI10" s="485" t="s">
        <v>613</v>
      </c>
      <c r="AJ10" s="489"/>
      <c r="AN10" s="485" t="s">
        <v>621</v>
      </c>
      <c r="AO10" s="516" cm="1">
        <f t="array" aca="1" ref="AO10:AX11" ca="1">GetSBMDelta(C6,C19:C20,C21:C22,G39:G338,C8,C17,C39:C338,D39:D338,C12,C13,C14,C15,C9,C10,E39:E338,F39:F338,C24,C25,FALSE,FALSE,L6,C29:C31,C36,C33,,C34)</f>
        <v>-2.2378905350020628E-3</v>
      </c>
      <c r="AP10" s="517">
        <f ca="1"/>
        <v>4.8056807530009321E-3</v>
      </c>
      <c r="AQ10" s="517">
        <f ca="1"/>
        <v>8.6443112529838162E-3</v>
      </c>
      <c r="AR10" s="517">
        <f ca="1"/>
        <v>-2.256803761009965E-2</v>
      </c>
      <c r="AS10" s="517">
        <f ca="1"/>
        <v>-0.14842093166003711</v>
      </c>
      <c r="AT10" s="517">
        <f ca="1"/>
        <v>-0.70056857737005318</v>
      </c>
      <c r="AU10" s="517">
        <f ca="1"/>
        <v>-2.5323309097396995</v>
      </c>
      <c r="AV10" s="517">
        <f ca="1"/>
        <v>-3.7460403003997111</v>
      </c>
      <c r="AW10" s="517">
        <f ca="1"/>
        <v>-4.4276684269006772</v>
      </c>
      <c r="AX10" s="518">
        <f ca="1"/>
        <v>-5.0263820593998698</v>
      </c>
    </row>
    <row r="11" spans="1:50" customFormat="1" ht="15.75" thickBot="1">
      <c r="A11" s="227"/>
      <c r="B11" s="227"/>
      <c r="C11" s="227"/>
      <c r="D11" s="228"/>
      <c r="E11" s="228"/>
      <c r="F11" s="228"/>
      <c r="H11" s="386" t="s">
        <v>440</v>
      </c>
      <c r="I11" s="403">
        <f ca="1"/>
        <v>6.5841250510497301E-2</v>
      </c>
      <c r="J11" s="403">
        <f ca="1"/>
        <v>6.5841250510497301E-2</v>
      </c>
      <c r="K11" s="410" t="str">
        <f ca="1"/>
        <v/>
      </c>
      <c r="L11" s="410">
        <f ca="1"/>
        <v>0</v>
      </c>
      <c r="M11" s="332">
        <f ca="1"/>
        <v>0</v>
      </c>
      <c r="N11" s="566">
        <f ca="1"/>
        <v>0</v>
      </c>
      <c r="O11" s="332" t="str">
        <f ca="1"/>
        <v/>
      </c>
      <c r="P11" s="332" t="str">
        <f ca="1"/>
        <v/>
      </c>
      <c r="Q11" s="332" t="str">
        <f ca="1"/>
        <v/>
      </c>
      <c r="R11" s="450" t="str">
        <f ca="1"/>
        <v/>
      </c>
      <c r="S11" s="444"/>
      <c r="T11" s="79"/>
      <c r="U11" s="79"/>
      <c r="V11" s="79"/>
      <c r="W11" s="79"/>
      <c r="X11" s="79"/>
      <c r="Y11" s="485" t="s">
        <v>505</v>
      </c>
      <c r="Z11" s="433">
        <f ca="1">SUM(Z15:Z314)</f>
        <v>-0.19294280880465361</v>
      </c>
      <c r="AA11" s="79"/>
      <c r="AB11" s="485" t="s">
        <v>505</v>
      </c>
      <c r="AC11" s="433">
        <f ca="1">SUM(AC15:AC314)</f>
        <v>-1.0215347971743114E-2</v>
      </c>
      <c r="AD11" s="79"/>
      <c r="AE11" s="486" t="s">
        <v>615</v>
      </c>
      <c r="AF11" s="497">
        <f ca="1">MAX(MAX(AF12,0)+0.5*MIN(AF12,0),0)</f>
        <v>0.56757283488847721</v>
      </c>
      <c r="AG11" s="504"/>
      <c r="AH11" s="227"/>
      <c r="AI11" s="486" t="s">
        <v>615</v>
      </c>
      <c r="AJ11" s="502">
        <f ca="1">MAX(MAX(AJ12,0)+0.5*MIN(AJ12,0),0)</f>
        <v>13.495922748122998</v>
      </c>
      <c r="AN11" s="487" t="s">
        <v>622</v>
      </c>
      <c r="AO11" s="519">
        <f ca="1"/>
        <v>0</v>
      </c>
      <c r="AP11" s="520">
        <f ca="1"/>
        <v>-0.90095250293041496</v>
      </c>
      <c r="AQ11" s="520">
        <f ca="1"/>
        <v>-2.3438636839182601</v>
      </c>
      <c r="AR11" s="520">
        <f ca="1"/>
        <v>-5.0639581931216702</v>
      </c>
      <c r="AS11" s="520">
        <f ca="1"/>
        <v>-7.5162101648619304</v>
      </c>
      <c r="AT11" s="520">
        <f ca="1"/>
        <v>-11.601400524312719</v>
      </c>
      <c r="AU11" s="520">
        <f ca="1"/>
        <v>-18.056031539394027</v>
      </c>
      <c r="AV11" s="520">
        <f ca="1"/>
        <v>-21.281891524870741</v>
      </c>
      <c r="AW11" s="520">
        <f ca="1"/>
        <v>-22.971799024290149</v>
      </c>
      <c r="AX11" s="521">
        <f ca="1"/>
        <v>-24.405303583141979</v>
      </c>
    </row>
    <row r="12" spans="1:50" customFormat="1" ht="15.75" thickBot="1">
      <c r="A12" s="227"/>
      <c r="B12" s="270" t="s">
        <v>434</v>
      </c>
      <c r="C12" s="234">
        <v>0.05</v>
      </c>
      <c r="D12" s="228"/>
      <c r="E12" s="228"/>
      <c r="F12" s="228"/>
      <c r="G12" s="228"/>
      <c r="H12" s="386" t="s">
        <v>497</v>
      </c>
      <c r="I12" s="404">
        <f ca="1"/>
        <v>3.8671335081042399</v>
      </c>
      <c r="J12" s="404">
        <f ca="1"/>
        <v>3.8671335081042399</v>
      </c>
      <c r="K12" s="410" t="str">
        <f ca="1"/>
        <v/>
      </c>
      <c r="L12" s="410">
        <f ca="1"/>
        <v>0</v>
      </c>
      <c r="M12" s="332">
        <f ca="1"/>
        <v>0</v>
      </c>
      <c r="N12" s="566">
        <f ca="1"/>
        <v>0</v>
      </c>
      <c r="O12" s="332" t="str">
        <f ca="1"/>
        <v/>
      </c>
      <c r="P12" s="332" t="str">
        <f ca="1"/>
        <v/>
      </c>
      <c r="Q12" s="332" t="str">
        <f ca="1"/>
        <v/>
      </c>
      <c r="R12" s="450" t="str">
        <f ca="1"/>
        <v/>
      </c>
      <c r="S12" s="445"/>
      <c r="T12" s="283" t="s">
        <v>423</v>
      </c>
      <c r="U12" s="438" t="b">
        <v>1</v>
      </c>
      <c r="V12" s="79"/>
      <c r="W12" s="79"/>
      <c r="X12" s="79"/>
      <c r="Y12" s="485" t="s">
        <v>498</v>
      </c>
      <c r="Z12" s="417">
        <f ca="1">$J$8+Z11</f>
        <v>-0.13168257814523632</v>
      </c>
      <c r="AA12" s="79"/>
      <c r="AB12" s="485" t="s">
        <v>498</v>
      </c>
      <c r="AC12" s="417">
        <f ca="1">$J$8+AC11</f>
        <v>5.1044882687674181E-2</v>
      </c>
      <c r="AD12" s="79"/>
      <c r="AE12" s="486" t="s">
        <v>614</v>
      </c>
      <c r="AF12" s="497">
        <f ca="1">15%*SUM(AG15:AG114)-AF13*15%*ABS(SUM(AH15:AH114))</f>
        <v>0.56757283488847721</v>
      </c>
      <c r="AG12" s="504"/>
      <c r="AH12" s="227"/>
      <c r="AI12" s="486" t="s">
        <v>614</v>
      </c>
      <c r="AJ12" s="503">
        <f ca="1">15%*SUM(AK15:AK114)-AJ13*15%*ABS(SUM(AL15:AL114))</f>
        <v>13.495922748122998</v>
      </c>
    </row>
    <row r="13" spans="1:50" customFormat="1" ht="15.7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 t="str">
        <f ca="1"/>
        <v>00:00:32.3612494</v>
      </c>
      <c r="J13" s="405" t="str">
        <f ca="1"/>
        <v>00:00:32.3612494</v>
      </c>
      <c r="K13" s="411" t="str">
        <f ca="1"/>
        <v>Leverage=</v>
      </c>
      <c r="L13" s="412">
        <f ca="1"/>
        <v>11.841785389064301</v>
      </c>
      <c r="M13" s="332">
        <f ca="1"/>
        <v>0</v>
      </c>
      <c r="N13" s="566">
        <f ca="1"/>
        <v>0</v>
      </c>
      <c r="O13" s="332" t="str">
        <f ca="1"/>
        <v/>
      </c>
      <c r="P13" s="456" t="str">
        <f ca="1"/>
        <v>Leverage=</v>
      </c>
      <c r="Q13" s="455">
        <f ca="1"/>
        <v>51.671454261115798</v>
      </c>
      <c r="R13" s="450" t="str">
        <f ca="1"/>
        <v/>
      </c>
      <c r="S13" s="445"/>
      <c r="T13" s="287" t="s">
        <v>499</v>
      </c>
      <c r="U13" s="418">
        <f ca="1">L13</f>
        <v>11.841785389064301</v>
      </c>
      <c r="V13" s="419"/>
      <c r="W13" s="79"/>
      <c r="X13" s="79"/>
      <c r="Y13" s="485" t="s">
        <v>500</v>
      </c>
      <c r="Z13" s="420">
        <f ca="1">Z12*(C20-C21)</f>
        <v>-0.34237470317761443</v>
      </c>
      <c r="AA13" s="79"/>
      <c r="AB13" s="485" t="s">
        <v>500</v>
      </c>
      <c r="AC13" s="421">
        <f ca="1">AC12*(C20-C21)</f>
        <v>0.13271669498795288</v>
      </c>
      <c r="AD13" s="79"/>
      <c r="AE13" s="486" t="s">
        <v>611</v>
      </c>
      <c r="AF13" s="500">
        <f ca="1">SUM(AG15:AG114)/(SUM(AG15:AG114)-SUM(AH15:AH114))</f>
        <v>1</v>
      </c>
      <c r="AG13" s="510"/>
      <c r="AH13" s="511"/>
      <c r="AI13" s="486" t="s">
        <v>611</v>
      </c>
      <c r="AJ13" s="509">
        <f ca="1">SUM(AK15:AK114)/(SUM(AK15:AK114)-SUM(AL15:AL114))</f>
        <v>1</v>
      </c>
    </row>
    <row r="14" spans="1:50" customFormat="1" ht="15.75" thickBot="1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 t="str">
        <f ca="1"/>
        <v>dPV</v>
      </c>
      <c r="J14" s="407" t="str">
        <f ca="1"/>
        <v>dHedge</v>
      </c>
      <c r="K14" s="407" t="str">
        <f ca="1"/>
        <v>delta not. (Hedge Crncy)</v>
      </c>
      <c r="L14" s="406" t="str">
        <f ca="1"/>
        <v>delta not. (Product CCY)</v>
      </c>
      <c r="M14" s="406" t="str">
        <f ca="1"/>
        <v>dPV(dBeta)</v>
      </c>
      <c r="N14" s="567" t="str">
        <f ca="1"/>
        <v>Name</v>
      </c>
      <c r="O14" s="406" t="str">
        <f ca="1"/>
        <v>Jump to Default</v>
      </c>
      <c r="P14" s="406" t="str">
        <f ca="1"/>
        <v>dHedge JTD</v>
      </c>
      <c r="Q14" s="406" t="str">
        <f ca="1"/>
        <v>delta not. (Hedge Crncy)</v>
      </c>
      <c r="R14" s="451" t="str">
        <f ca="1"/>
        <v>delta not. (Product CCY)</v>
      </c>
      <c r="S14" s="151"/>
      <c r="T14" s="480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79"/>
      <c r="AE14" s="487" t="s">
        <v>609</v>
      </c>
      <c r="AF14" s="483" t="s">
        <v>610</v>
      </c>
      <c r="AG14" s="483" t="s">
        <v>617</v>
      </c>
      <c r="AH14" s="488" t="s">
        <v>618</v>
      </c>
      <c r="AI14" s="483" t="s">
        <v>609</v>
      </c>
      <c r="AJ14" s="488" t="s">
        <v>610</v>
      </c>
      <c r="AK14" s="506" t="s">
        <v>617</v>
      </c>
      <c r="AL14" s="507" t="s">
        <v>618</v>
      </c>
    </row>
    <row r="15" spans="1:50" customFormat="1" ht="15.7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>
        <f ca="1"/>
        <v>1.7141043881403401E-4</v>
      </c>
      <c r="J15" s="413">
        <f ca="1"/>
        <v>4.5010513236525202E-4</v>
      </c>
      <c r="K15" s="413">
        <f ca="1"/>
        <v>0.38082311550923997</v>
      </c>
      <c r="L15" s="413">
        <f ca="1"/>
        <v>0.38082311550923997</v>
      </c>
      <c r="M15" s="413">
        <f ca="1"/>
        <v>-2.17338889430141E-4</v>
      </c>
      <c r="N15" s="568" t="str">
        <f ca="1"/>
        <v>ABNAMRO_MMR.EUR.SU</v>
      </c>
      <c r="O15" s="413">
        <f ca="1"/>
        <v>1.2038866078374</v>
      </c>
      <c r="P15" s="413">
        <f ca="1"/>
        <v>0.7750620321949</v>
      </c>
      <c r="Q15" s="413">
        <f ca="1"/>
        <v>1.5532777478831099</v>
      </c>
      <c r="R15" s="452">
        <f ca="1"/>
        <v>1.5532777478831099</v>
      </c>
      <c r="S15" s="442"/>
      <c r="T15" s="422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3">
        <f ca="1"/>
        <v>1.8035596018332701E-2</v>
      </c>
      <c r="V15" s="423">
        <f ca="1"/>
        <v>4.3097628213232701E-2</v>
      </c>
      <c r="W15" s="424">
        <f ca="1"/>
        <v>4.1848233339195802E-3</v>
      </c>
      <c r="X15" s="425">
        <f ca="1"/>
        <v>4.3097628213232699</v>
      </c>
      <c r="Y15" s="426">
        <f ca="1">IF($U$12,IF(T15="","",$U$13*D39/$C$18),"")</f>
        <v>0.11841785389064301</v>
      </c>
      <c r="Z15" s="427">
        <f ca="1">IF($U$12,IF(Y15="","",Y15*($Z$10-W15)*X15),"")</f>
        <v>-2.1357365741295851E-3</v>
      </c>
      <c r="AA15" s="426">
        <f ca="1">IF($U$12,IF(OR(T15="",L15=""),"",L15/($C$20-$C$19)),"")</f>
        <v>0.12694103850308</v>
      </c>
      <c r="AB15" s="428">
        <f ca="1">IF($U$12,IF(W15="","",W15*$AC$10),"")</f>
        <v>3.9755821672236014E-3</v>
      </c>
      <c r="AC15" s="427">
        <f ca="1">IF($U$12,IF(AA15="","",AA15*(AB15-W15)*X15),"")</f>
        <v>-1.144728644294583E-4</v>
      </c>
      <c r="AD15" s="135"/>
      <c r="AE15" s="492">
        <f ca="1">O15</f>
        <v>1.2866781069064801</v>
      </c>
      <c r="AF15" s="493">
        <f ca="1">ABS(MIN(-0.75*(Q15+T15)+T15,0))</f>
        <v>1.2513382120322349</v>
      </c>
      <c r="AG15" s="493">
        <f ca="1">IF($AF$9,MAX(O15-AF15,0),AE15)</f>
        <v>3.5339894874245159E-2</v>
      </c>
      <c r="AH15" s="495">
        <f ca="1">IF($AF$9,0,AF15)</f>
        <v>0</v>
      </c>
      <c r="AI15" s="494">
        <f ca="1">O15</f>
        <v>1.2866781069064801</v>
      </c>
      <c r="AJ15" s="508">
        <f ca="1">ABS(MIN(-0.75*(K15+T15)+T15,0))</f>
        <v>0.40908918095939273</v>
      </c>
      <c r="AK15" s="508">
        <f ca="1">IF($AF$9,MAX(AI15-AJ15,0),AI15)</f>
        <v>0.87758892594708737</v>
      </c>
      <c r="AL15" s="495">
        <f ca="1">IF($AF$9,0,AJ15)</f>
        <v>0</v>
      </c>
    </row>
    <row r="16" spans="1:50" customFormat="1" ht="15.7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>
        <f ca="1"/>
        <v>1.62696423111863E-4</v>
      </c>
      <c r="J16" s="413">
        <f ca="1"/>
        <v>4.5151390355193299E-4</v>
      </c>
      <c r="K16" s="413">
        <f ca="1"/>
        <v>0.360335355859423</v>
      </c>
      <c r="L16" s="413">
        <f ca="1"/>
        <v>0.360335355859423</v>
      </c>
      <c r="M16" s="413">
        <f ca="1"/>
        <v>-1.9305870803780801E-4</v>
      </c>
      <c r="N16" s="568" t="str">
        <f ca="1"/>
        <v>ACCOR_MMR.EUR.SU</v>
      </c>
      <c r="O16" s="413">
        <f ca="1"/>
        <v>1.20442408821963</v>
      </c>
      <c r="P16" s="413">
        <f ca="1"/>
        <v>0.77694016498144203</v>
      </c>
      <c r="Q16" s="413">
        <f ca="1"/>
        <v>1.5502147301760301</v>
      </c>
      <c r="R16" s="452">
        <f ca="1"/>
        <v>1.5502147301760301</v>
      </c>
      <c r="S16" s="443"/>
      <c r="T16" s="422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3">
        <f ca="1"/>
        <v>1.6278013842597E-2</v>
      </c>
      <c r="V16" s="423">
        <f ca="1"/>
        <v>4.3218178824038903E-2</v>
      </c>
      <c r="W16" s="424">
        <f ca="1"/>
        <v>3.76647380466268E-3</v>
      </c>
      <c r="X16" s="425">
        <f ca="1"/>
        <v>4.3218178824038898</v>
      </c>
      <c r="Y16" s="426">
        <f ca="1">IF($U$12,IF(T16="","",$U$13*D40/$C$18),"")</f>
        <v>0.11841785389064301</v>
      </c>
      <c r="Z16" s="427">
        <f t="shared" ref="Z16:Z79" ca="1" si="0">IF($U$12,IF(Y16="","",Y16*($Z$10-W16)*X16),"")</f>
        <v>-1.9276074648425143E-3</v>
      </c>
      <c r="AA16" s="426">
        <f t="shared" ref="AA16:AA79" ca="1" si="1">IF($U$12,IF(OR(T16="",L16=""),"",L16/($C$20-$C$19)),"")</f>
        <v>0.12011178528647433</v>
      </c>
      <c r="AB16" s="428">
        <f t="shared" ref="AB16:AB79" ca="1" si="2">IF($U$12,IF(W16="","",W16*$AC$10),"")</f>
        <v>3.5781501144295457E-3</v>
      </c>
      <c r="AC16" s="427">
        <f t="shared" ref="AC16:AC79" ca="1" si="3">IF($U$12,IF(AA16="","",AA16*(AB16-W16)*X16),"")</f>
        <v>-9.7759065177613466E-5</v>
      </c>
      <c r="AD16" s="79"/>
      <c r="AE16" s="496">
        <f t="shared" ref="AE16:AE79" ca="1" si="4">O16</f>
        <v>1.28759914290469</v>
      </c>
      <c r="AF16" s="493">
        <f t="shared" ref="AF16:AF79" ca="1" si="5">ABS(MIN(-0.75*(Q16+T16)+T16,0))</f>
        <v>1.2496870737247006</v>
      </c>
      <c r="AG16" s="493">
        <f t="shared" ref="AG16:AG79" ca="1" si="6">IF($AF$9,MAX(O16-AF16,0),AE16)</f>
        <v>3.791206917998946E-2</v>
      </c>
      <c r="AH16" s="498">
        <f ca="1">IF($AF$9,0,AF16)</f>
        <v>0</v>
      </c>
      <c r="AI16" s="497">
        <f ca="1">O16</f>
        <v>1.28759914290469</v>
      </c>
      <c r="AJ16" s="493">
        <f ca="1">ABS(MIN(-0.75*(K16+T16)+T16,0))</f>
        <v>0.39338154199898168</v>
      </c>
      <c r="AK16" s="493">
        <f ca="1">IF($AF$9,MAX(AI16-AJ16,0),AI16)</f>
        <v>0.89421760090570834</v>
      </c>
      <c r="AL16" s="498">
        <f ca="1">IF($AF$9,0,AJ16)</f>
        <v>0</v>
      </c>
    </row>
    <row r="17" spans="1:38" customFormat="1" ht="15">
      <c r="A17" s="227"/>
      <c r="B17" s="270" t="s">
        <v>463</v>
      </c>
      <c r="C17" s="236">
        <f ca="1">COUNTA(C39:C338)</f>
        <v>100</v>
      </c>
      <c r="D17" s="228"/>
      <c r="E17" s="227"/>
      <c r="F17" s="228"/>
      <c r="G17" s="228"/>
      <c r="H17" s="386">
        <v>3</v>
      </c>
      <c r="I17" s="413">
        <f ca="1"/>
        <v>1.70022403124825E-4</v>
      </c>
      <c r="J17" s="413">
        <f ca="1"/>
        <v>4.5002772921527901E-4</v>
      </c>
      <c r="K17" s="413">
        <f ca="1"/>
        <v>0.37780428201901201</v>
      </c>
      <c r="L17" s="413">
        <f ca="1"/>
        <v>0.37780428201901201</v>
      </c>
      <c r="M17" s="413">
        <f ca="1"/>
        <v>-2.1514474114887601E-4</v>
      </c>
      <c r="N17" s="568" t="str">
        <f ca="1"/>
        <v>ADECCO_MMR.EUR.SU</v>
      </c>
      <c r="O17" s="413">
        <f ca="1"/>
        <v>1.20400073707851</v>
      </c>
      <c r="P17" s="413">
        <f ca="1"/>
        <v>0.77510209105599603</v>
      </c>
      <c r="Q17" s="413">
        <f ca="1"/>
        <v>1.5533447154531399</v>
      </c>
      <c r="R17" s="452">
        <f ca="1"/>
        <v>1.5533447154531399</v>
      </c>
      <c r="S17" s="443"/>
      <c r="T17" s="422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3">
        <f ca="1"/>
        <v>1.80626834994102E-2</v>
      </c>
      <c r="V17" s="423">
        <f ca="1"/>
        <v>4.3164774555406099E-2</v>
      </c>
      <c r="W17" s="424">
        <f ca="1"/>
        <v>4.1845888656791303E-3</v>
      </c>
      <c r="X17" s="425">
        <f ca="1"/>
        <v>4.3164774555406096</v>
      </c>
      <c r="Y17" s="426">
        <f ca="1">IF($U$12,IF(T17="","",$U$13*D41/$C$18),"")</f>
        <v>0.11841785389064301</v>
      </c>
      <c r="Z17" s="427">
        <f t="shared" ca="1" si="0"/>
        <v>-2.1389442155060876E-3</v>
      </c>
      <c r="AA17" s="426">
        <f t="shared" ca="1" si="1"/>
        <v>0.12593476067300399</v>
      </c>
      <c r="AB17" s="428">
        <f t="shared" ca="1" si="2"/>
        <v>3.9753594223951739E-3</v>
      </c>
      <c r="AC17" s="427">
        <f t="shared" ca="1" si="3"/>
        <v>-1.1373598618052215E-4</v>
      </c>
      <c r="AD17" s="79"/>
      <c r="AE17" s="496">
        <f t="shared" ca="1" si="4"/>
        <v>1.28683127346758</v>
      </c>
      <c r="AF17" s="493">
        <f t="shared" ca="1" si="5"/>
        <v>1.2514320850251164</v>
      </c>
      <c r="AG17" s="493">
        <f t="shared" ca="1" si="6"/>
        <v>3.5399188442463592E-2</v>
      </c>
      <c r="AH17" s="498">
        <f t="shared" ref="AH17:AH80" ca="1" si="7">IF($AF$9,0,AF17)</f>
        <v>0</v>
      </c>
      <c r="AI17" s="497">
        <f ca="1">O17</f>
        <v>1.28683127346758</v>
      </c>
      <c r="AJ17" s="493">
        <f t="shared" ref="AJ17:AJ80" ca="1" si="8">ABS(MIN(-0.75*(K17+T17)+T17,0))</f>
        <v>0.40742418244613549</v>
      </c>
      <c r="AK17" s="493">
        <f t="shared" ref="AK17:AK80" ca="1" si="9">IF($AF$9,MAX(AI17-AJ17,0),AI17)</f>
        <v>0.87940709102144443</v>
      </c>
      <c r="AL17" s="498">
        <f t="shared" ref="AL17:AL80" ca="1" si="10">IF($AF$9,0,AJ17)</f>
        <v>0</v>
      </c>
    </row>
    <row r="18" spans="1:38" customFormat="1" ht="1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>
        <f ca="1"/>
        <v>1.6768855942903601E-4</v>
      </c>
      <c r="J18" s="413">
        <f ca="1"/>
        <v>4.5083323574496103E-4</v>
      </c>
      <c r="K18" s="413">
        <f ca="1"/>
        <v>0.37195252287011599</v>
      </c>
      <c r="L18" s="413">
        <f ca="1"/>
        <v>0.37195252287011599</v>
      </c>
      <c r="M18" s="413">
        <f ca="1"/>
        <v>-2.0612853466854799E-4</v>
      </c>
      <c r="N18" s="568" t="str">
        <f ca="1"/>
        <v>AEGON_MMR.EUR.SU</v>
      </c>
      <c r="O18" s="413">
        <f ca="1"/>
        <v>1.2041221391176999</v>
      </c>
      <c r="P18" s="413">
        <f ca="1"/>
        <v>0.77598520248540304</v>
      </c>
      <c r="Q18" s="413">
        <f ca="1"/>
        <v>1.5517333774677899</v>
      </c>
      <c r="R18" s="452">
        <f ca="1"/>
        <v>1.5517333774677899</v>
      </c>
      <c r="S18" s="443"/>
      <c r="T18" s="422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3">
        <f ca="1"/>
        <v>1.7148949512556699E-2</v>
      </c>
      <c r="V18" s="423">
        <f ca="1"/>
        <v>4.3134151997960099E-2</v>
      </c>
      <c r="W18" s="424">
        <f ca="1"/>
        <v>3.9757242737420003E-3</v>
      </c>
      <c r="X18" s="425">
        <f ca="1"/>
        <v>4.31341519979601</v>
      </c>
      <c r="Y18" s="426">
        <f t="shared" ref="Y18:Y79" ca="1" si="11">IF($U$12,IF(T18="","",$U$13*D42/$C$18),"")</f>
        <v>0.11841785389064301</v>
      </c>
      <c r="Z18" s="427">
        <f t="shared" ca="1" si="0"/>
        <v>-2.0307417977559528E-3</v>
      </c>
      <c r="AA18" s="426">
        <f t="shared" ca="1" si="1"/>
        <v>0.12398417429003866</v>
      </c>
      <c r="AB18" s="428">
        <f t="shared" ca="1" si="2"/>
        <v>3.7769380600548999E-3</v>
      </c>
      <c r="AC18" s="427">
        <f t="shared" ca="1" si="3"/>
        <v>-1.0630991726279536E-4</v>
      </c>
      <c r="AD18" s="79"/>
      <c r="AE18" s="496">
        <f t="shared" ca="1" si="4"/>
        <v>1.2870920353183699</v>
      </c>
      <c r="AF18" s="493">
        <f t="shared" ca="1" si="5"/>
        <v>1.2504878398890533</v>
      </c>
      <c r="AG18" s="493">
        <f t="shared" ca="1" si="6"/>
        <v>3.6604195429316588E-2</v>
      </c>
      <c r="AH18" s="498">
        <f t="shared" ca="1" si="7"/>
        <v>0</v>
      </c>
      <c r="AI18" s="497">
        <f t="shared" ref="AI18:AI81" ca="1" si="12">O18</f>
        <v>1.2870920353183699</v>
      </c>
      <c r="AJ18" s="493">
        <f t="shared" ca="1" si="8"/>
        <v>0.40211742944520318</v>
      </c>
      <c r="AK18" s="493">
        <f t="shared" ca="1" si="9"/>
        <v>0.88497460587316668</v>
      </c>
      <c r="AL18" s="498">
        <f t="shared" ca="1" si="10"/>
        <v>0</v>
      </c>
    </row>
    <row r="19" spans="1:38" customFormat="1" ht="1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>
        <f ca="1"/>
        <v>1.3869038602560901E-4</v>
      </c>
      <c r="J19" s="413">
        <f ca="1"/>
        <v>4.5560749455750201E-4</v>
      </c>
      <c r="K19" s="413">
        <f ca="1"/>
        <v>0.30440760453317101</v>
      </c>
      <c r="L19" s="413">
        <f ca="1"/>
        <v>0.30440760453317101</v>
      </c>
      <c r="M19" s="413">
        <f ca="1"/>
        <v>-1.3067721843011901E-4</v>
      </c>
      <c r="N19" s="568" t="str">
        <f ca="1"/>
        <v>AKZONOBEL_MMR.EUR.SU</v>
      </c>
      <c r="O19" s="413">
        <f ca="1"/>
        <v>1.2054611053045201</v>
      </c>
      <c r="P19" s="413">
        <f ca="1"/>
        <v>0.78201298057873903</v>
      </c>
      <c r="Q19" s="413">
        <f ca="1"/>
        <v>1.5414847774168701</v>
      </c>
      <c r="R19" s="452">
        <f ca="1"/>
        <v>1.5414847774168701</v>
      </c>
      <c r="S19" s="443"/>
      <c r="T19" s="462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3">
        <f ca="1"/>
        <v>1.13429726352748E-2</v>
      </c>
      <c r="V19" s="423">
        <f ca="1"/>
        <v>4.3355953214014302E-2</v>
      </c>
      <c r="W19" s="424">
        <f ca="1"/>
        <v>2.6162433978290001E-3</v>
      </c>
      <c r="X19" s="425">
        <f ca="1"/>
        <v>4.3355953214014296</v>
      </c>
      <c r="Y19" s="426">
        <f t="shared" ca="1" si="11"/>
        <v>0.11841785389064301</v>
      </c>
      <c r="Z19" s="427">
        <f t="shared" ca="1" si="0"/>
        <v>-1.3432104762095322E-3</v>
      </c>
      <c r="AA19" s="426">
        <f t="shared" ca="1" si="1"/>
        <v>0.101469201511057</v>
      </c>
      <c r="AB19" s="428">
        <f t="shared" ca="1" si="2"/>
        <v>2.4854312279375501E-3</v>
      </c>
      <c r="AC19" s="427">
        <f t="shared" ca="1" si="3"/>
        <v>-5.7548118803155144E-5</v>
      </c>
      <c r="AD19" s="79"/>
      <c r="AE19" s="496">
        <f t="shared" ca="1" si="4"/>
        <v>1.28952934262533</v>
      </c>
      <c r="AF19" s="493">
        <f t="shared" ca="1" si="5"/>
        <v>1.2447435947143923</v>
      </c>
      <c r="AG19" s="493">
        <f t="shared" ca="1" si="6"/>
        <v>4.4785747910937701E-2</v>
      </c>
      <c r="AH19" s="498">
        <f t="shared" ca="1" si="7"/>
        <v>0</v>
      </c>
      <c r="AI19" s="497">
        <f t="shared" ca="1" si="12"/>
        <v>1.28952934262533</v>
      </c>
      <c r="AJ19" s="493">
        <f t="shared" ca="1" si="8"/>
        <v>0.34683290930946864</v>
      </c>
      <c r="AK19" s="493">
        <f t="shared" ca="1" si="9"/>
        <v>0.94269643331586139</v>
      </c>
      <c r="AL19" s="498">
        <f t="shared" ca="1" si="10"/>
        <v>0</v>
      </c>
    </row>
    <row r="20" spans="1:38" customFormat="1" ht="15">
      <c r="A20" s="227"/>
      <c r="B20" s="271" t="s">
        <v>466</v>
      </c>
      <c r="C20" s="239">
        <v>3</v>
      </c>
      <c r="D20" s="240"/>
      <c r="E20" s="228"/>
      <c r="F20" s="228"/>
      <c r="G20" s="241"/>
      <c r="H20" s="386">
        <v>6</v>
      </c>
      <c r="I20" s="413">
        <f ca="1"/>
        <v>1.56313709086176E-4</v>
      </c>
      <c r="J20" s="413">
        <f ca="1"/>
        <v>4.5306470442320801E-4</v>
      </c>
      <c r="K20" s="413">
        <f ca="1"/>
        <v>0.34501409524976701</v>
      </c>
      <c r="L20" s="413">
        <f ca="1"/>
        <v>0.34501409524976701</v>
      </c>
      <c r="M20" s="413">
        <f ca="1"/>
        <v>-1.73169780530369E-4</v>
      </c>
      <c r="N20" s="568" t="str">
        <f ca="1"/>
        <v>ALLIANZ_MMR.EUR.SU</v>
      </c>
      <c r="O20" s="413">
        <f ca="1"/>
        <v>1.2047236801035499</v>
      </c>
      <c r="P20" s="413">
        <f ca="1"/>
        <v>0.77873608380553005</v>
      </c>
      <c r="Q20" s="413">
        <f ca="1"/>
        <v>1.54702434516236</v>
      </c>
      <c r="R20" s="452">
        <f ca="1"/>
        <v>1.54702434516236</v>
      </c>
      <c r="S20" s="443"/>
      <c r="T20" s="422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3">
        <f ca="1"/>
        <v>1.4465954634378501E-2</v>
      </c>
      <c r="V20" s="423">
        <f ca="1"/>
        <v>4.3202038439909003E-2</v>
      </c>
      <c r="W20" s="424">
        <f ca="1"/>
        <v>3.34844260983186E-3</v>
      </c>
      <c r="X20" s="425">
        <f ca="1"/>
        <v>4.3202038439908996</v>
      </c>
      <c r="Y20" s="426">
        <f t="shared" ca="1" si="11"/>
        <v>0.11841785389064301</v>
      </c>
      <c r="Z20" s="427">
        <f t="shared" ca="1" si="0"/>
        <v>-1.7130273022825059E-3</v>
      </c>
      <c r="AA20" s="426">
        <f t="shared" ca="1" si="1"/>
        <v>0.115004698416589</v>
      </c>
      <c r="AB20" s="428">
        <f t="shared" ca="1" si="2"/>
        <v>3.1810204793402668E-3</v>
      </c>
      <c r="AC20" s="427">
        <f t="shared" ca="1" si="3"/>
        <v>-8.3182637501738089E-5</v>
      </c>
      <c r="AD20" s="79"/>
      <c r="AE20" s="496">
        <f t="shared" ca="1" si="4"/>
        <v>1.28819191035466</v>
      </c>
      <c r="AF20" s="493">
        <f t="shared" ca="1" si="5"/>
        <v>1.2478404549574225</v>
      </c>
      <c r="AG20" s="493">
        <f t="shared" ca="1" si="6"/>
        <v>4.0351455397237501E-2</v>
      </c>
      <c r="AH20" s="498">
        <f t="shared" ca="1" si="7"/>
        <v>0</v>
      </c>
      <c r="AI20" s="497">
        <f t="shared" ca="1" si="12"/>
        <v>1.28819191035466</v>
      </c>
      <c r="AJ20" s="493">
        <f t="shared" ca="1" si="8"/>
        <v>0.38011701097337436</v>
      </c>
      <c r="AK20" s="493">
        <f t="shared" ca="1" si="9"/>
        <v>0.90807489938128561</v>
      </c>
      <c r="AL20" s="498">
        <f t="shared" ca="1" si="10"/>
        <v>0</v>
      </c>
    </row>
    <row r="21" spans="1:38" customFormat="1" ht="1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>
        <f ca="1"/>
        <v>1.95368282673258E-4</v>
      </c>
      <c r="J21" s="413">
        <f ca="1"/>
        <v>4.4373105188322802E-4</v>
      </c>
      <c r="K21" s="413">
        <f ca="1"/>
        <v>0.44028535267951202</v>
      </c>
      <c r="L21" s="413">
        <f ca="1"/>
        <v>0.44028535267951202</v>
      </c>
      <c r="M21" s="413">
        <f ca="1"/>
        <v>-3.0184001869533201E-4</v>
      </c>
      <c r="N21" s="568" t="str">
        <f ca="1"/>
        <v>ALTADIS_MMR.EUR.SU</v>
      </c>
      <c r="O21" s="413">
        <f ca="1"/>
        <v>1.2019922591838701</v>
      </c>
      <c r="P21" s="413">
        <f ca="1"/>
        <v>0.767366062183654</v>
      </c>
      <c r="Q21" s="413">
        <f ca="1"/>
        <v>1.5663870457906699</v>
      </c>
      <c r="R21" s="452">
        <f ca="1"/>
        <v>1.5663870457906699</v>
      </c>
      <c r="S21" s="443"/>
      <c r="T21" s="422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3">
        <f ca="1"/>
        <v>2.5626897627448301E-2</v>
      </c>
      <c r="V21" s="423">
        <f ca="1"/>
        <v>4.2992959811102301E-2</v>
      </c>
      <c r="W21" s="424">
        <f ca="1"/>
        <v>5.9607195550259702E-3</v>
      </c>
      <c r="X21" s="425">
        <f ca="1"/>
        <v>4.2992959811102303</v>
      </c>
      <c r="Y21" s="426">
        <f t="shared" ca="1" si="11"/>
        <v>0.11841785389064301</v>
      </c>
      <c r="Z21" s="427">
        <f t="shared" ca="1" si="0"/>
        <v>-3.0346822189176404E-3</v>
      </c>
      <c r="AA21" s="426">
        <f t="shared" ca="1" si="1"/>
        <v>0.14676178422650402</v>
      </c>
      <c r="AB21" s="428">
        <f t="shared" ca="1" si="2"/>
        <v>5.6626835772746716E-3</v>
      </c>
      <c r="AC21" s="427">
        <f t="shared" ca="1" si="3"/>
        <v>-1.8805246099971393E-4</v>
      </c>
      <c r="AD21" s="79"/>
      <c r="AE21" s="496">
        <f t="shared" ca="1" si="4"/>
        <v>1.283319643794</v>
      </c>
      <c r="AF21" s="493">
        <f t="shared" ca="1" si="5"/>
        <v>1.2586186855664261</v>
      </c>
      <c r="AG21" s="493">
        <f t="shared" ca="1" si="6"/>
        <v>2.4700958227573899E-2</v>
      </c>
      <c r="AH21" s="498">
        <f t="shared" ca="1" si="7"/>
        <v>0</v>
      </c>
      <c r="AI21" s="497">
        <f t="shared" ca="1" si="12"/>
        <v>1.283319643794</v>
      </c>
      <c r="AJ21" s="493">
        <f t="shared" ca="1" si="8"/>
        <v>0.45540153864624477</v>
      </c>
      <c r="AK21" s="493">
        <f t="shared" ca="1" si="9"/>
        <v>0.82791810514775521</v>
      </c>
      <c r="AL21" s="498">
        <f t="shared" ca="1" si="10"/>
        <v>0</v>
      </c>
    </row>
    <row r="22" spans="1:38" customFormat="1" ht="15.7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>
        <f ca="1"/>
        <v>1.8904733422371299E-4</v>
      </c>
      <c r="J22" s="413">
        <f ca="1"/>
        <v>4.4560559587684902E-4</v>
      </c>
      <c r="K22" s="413">
        <f ca="1"/>
        <v>0.42424811531307499</v>
      </c>
      <c r="L22" s="413">
        <f ca="1"/>
        <v>0.42424811531307499</v>
      </c>
      <c r="M22" s="413">
        <f ca="1"/>
        <v>-2.7776729322421802E-4</v>
      </c>
      <c r="N22" s="568" t="str">
        <f ca="1"/>
        <v>ARCELORFINANCESCA_MMR.EUR.SU</v>
      </c>
      <c r="O22" s="413">
        <f ca="1"/>
        <v>1.2025878595191</v>
      </c>
      <c r="P22" s="413">
        <f ca="1"/>
        <v>0.76962596988342002</v>
      </c>
      <c r="Q22" s="413">
        <f ca="1"/>
        <v>1.5625614344865</v>
      </c>
      <c r="R22" s="452">
        <f ca="1"/>
        <v>1.5625614344865</v>
      </c>
      <c r="S22" s="443"/>
      <c r="T22" s="422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3">
        <f ca="1"/>
        <v>2.33999957067813E-2</v>
      </c>
      <c r="V22" s="423">
        <f ca="1"/>
        <v>4.3025965590200999E-2</v>
      </c>
      <c r="W22" s="424">
        <f ca="1"/>
        <v>5.4385753778668404E-3</v>
      </c>
      <c r="X22" s="425">
        <f ca="1"/>
        <v>4.3025965590200999</v>
      </c>
      <c r="Y22" s="426">
        <f t="shared" ca="1" si="11"/>
        <v>0.11841785389064301</v>
      </c>
      <c r="Z22" s="427">
        <f t="shared" ca="1" si="0"/>
        <v>-2.7709772726473023E-3</v>
      </c>
      <c r="AA22" s="426">
        <f t="shared" ca="1" si="1"/>
        <v>0.14141603843769165</v>
      </c>
      <c r="AB22" s="428">
        <f t="shared" ca="1" si="2"/>
        <v>5.1666466089734979E-3</v>
      </c>
      <c r="AC22" s="427">
        <f t="shared" ca="1" si="3"/>
        <v>-1.6545673461560052E-4</v>
      </c>
      <c r="AD22" s="79"/>
      <c r="AE22" s="496">
        <f t="shared" ca="1" si="4"/>
        <v>1.28435811270684</v>
      </c>
      <c r="AF22" s="493">
        <f t="shared" ca="1" si="5"/>
        <v>1.256512626130875</v>
      </c>
      <c r="AG22" s="493">
        <f t="shared" ca="1" si="6"/>
        <v>2.7845486575964973E-2</v>
      </c>
      <c r="AH22" s="498">
        <f t="shared" ca="1" si="7"/>
        <v>0</v>
      </c>
      <c r="AI22" s="497">
        <f t="shared" ca="1" si="12"/>
        <v>1.28435811270684</v>
      </c>
      <c r="AJ22" s="493">
        <f t="shared" ca="1" si="8"/>
        <v>0.44320115344618638</v>
      </c>
      <c r="AK22" s="493">
        <f t="shared" ca="1" si="9"/>
        <v>0.84115695926065359</v>
      </c>
      <c r="AL22" s="498">
        <f t="shared" ca="1" si="10"/>
        <v>0</v>
      </c>
    </row>
    <row r="23" spans="1:38" customFormat="1" ht="15.7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>
        <f ca="1"/>
        <v>1.34168925193645E-4</v>
      </c>
      <c r="J23" s="413">
        <f ca="1"/>
        <v>4.5636495841686801E-4</v>
      </c>
      <c r="K23" s="413">
        <f ca="1"/>
        <v>0.29399480113257898</v>
      </c>
      <c r="L23" s="413">
        <f ca="1"/>
        <v>0.29399480113257898</v>
      </c>
      <c r="M23" s="413">
        <f ca="1"/>
        <v>-1.19970081010146E-4</v>
      </c>
      <c r="N23" s="568" t="str">
        <f ca="1"/>
        <v>AUCHAN_MMR.EUR.SU</v>
      </c>
      <c r="O23" s="413">
        <f ca="1"/>
        <v>1.20560767575337</v>
      </c>
      <c r="P23" s="413">
        <f ca="1"/>
        <v>0.78292423716405302</v>
      </c>
      <c r="Q23" s="413">
        <f ca="1"/>
        <v>1.5398778304787</v>
      </c>
      <c r="R23" s="452">
        <f ca="1"/>
        <v>1.5398778304787</v>
      </c>
      <c r="S23" s="443"/>
      <c r="T23" s="422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3">
        <f ca="1"/>
        <v>1.04374643822619E-2</v>
      </c>
      <c r="V23" s="423">
        <f ca="1"/>
        <v>4.3361701546314697E-2</v>
      </c>
      <c r="W23" s="424">
        <f ca="1"/>
        <v>2.4070698358351198E-3</v>
      </c>
      <c r="X23" s="425">
        <f ca="1"/>
        <v>4.3361701546314704</v>
      </c>
      <c r="Y23" s="426">
        <f t="shared" ca="1" si="11"/>
        <v>0.11841785389064301</v>
      </c>
      <c r="Z23" s="427">
        <f t="shared" ca="1" si="0"/>
        <v>-1.2359821322074824E-3</v>
      </c>
      <c r="AA23" s="426">
        <f t="shared" ca="1" si="1"/>
        <v>9.7998267044192996E-2</v>
      </c>
      <c r="AB23" s="428">
        <f t="shared" ca="1" si="2"/>
        <v>2.2867163440433639E-3</v>
      </c>
      <c r="AC23" s="427">
        <f t="shared" ca="1" si="3"/>
        <v>-5.1142671089857776E-5</v>
      </c>
      <c r="AD23" s="79"/>
      <c r="AE23" s="496">
        <f t="shared" ca="1" si="4"/>
        <v>1.2898168626045701</v>
      </c>
      <c r="AF23" s="493">
        <f t="shared" ca="1" si="5"/>
        <v>1.2438073782174233</v>
      </c>
      <c r="AG23" s="493">
        <f t="shared" ca="1" si="6"/>
        <v>4.6009484387146804E-2</v>
      </c>
      <c r="AH23" s="498">
        <f t="shared" ca="1" si="7"/>
        <v>0</v>
      </c>
      <c r="AI23" s="497">
        <f t="shared" ca="1" si="12"/>
        <v>1.2898168626045701</v>
      </c>
      <c r="AJ23" s="493">
        <f t="shared" ca="1" si="8"/>
        <v>0.33766426885064321</v>
      </c>
      <c r="AK23" s="493">
        <f t="shared" ca="1" si="9"/>
        <v>0.9521525937539268</v>
      </c>
      <c r="AL23" s="498">
        <f t="shared" ca="1" si="10"/>
        <v>0</v>
      </c>
    </row>
    <row r="24" spans="1:38" customFormat="1" ht="1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>
        <f ca="1"/>
        <v>1.5388933132842801E-4</v>
      </c>
      <c r="J24" s="413">
        <f ca="1"/>
        <v>4.5342002039657202E-4</v>
      </c>
      <c r="K24" s="413">
        <f ca="1"/>
        <v>0.33939686031911998</v>
      </c>
      <c r="L24" s="413">
        <f ca="1"/>
        <v>0.33939686031911998</v>
      </c>
      <c r="M24" s="413">
        <f ca="1"/>
        <v>-1.6693072331506201E-4</v>
      </c>
      <c r="N24" s="568" t="str">
        <f ca="1"/>
        <v>AVIVA_MMR.EUR.SU</v>
      </c>
      <c r="O24" s="413">
        <f ca="1"/>
        <v>1.20484664566751</v>
      </c>
      <c r="P24" s="413">
        <f ca="1"/>
        <v>0.77920801644363302</v>
      </c>
      <c r="Q24" s="413">
        <f ca="1"/>
        <v>1.54624518773116</v>
      </c>
      <c r="R24" s="452">
        <f ca="1"/>
        <v>1.54624518773116</v>
      </c>
      <c r="S24" s="443"/>
      <c r="T24" s="422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3">
        <f ca="1"/>
        <v>1.4023604687363101E-2</v>
      </c>
      <c r="V24" s="423">
        <f ca="1"/>
        <v>4.3231621130995698E-2</v>
      </c>
      <c r="W24" s="424">
        <f ca="1"/>
        <v>3.24383040017637E-3</v>
      </c>
      <c r="X24" s="425">
        <f ca="1"/>
        <v>4.3231621130995697</v>
      </c>
      <c r="Y24" s="426">
        <f t="shared" ca="1" si="11"/>
        <v>0.11841785389064301</v>
      </c>
      <c r="Z24" s="427">
        <f t="shared" ca="1" si="0"/>
        <v>-1.6606451708882997E-3</v>
      </c>
      <c r="AA24" s="426">
        <f t="shared" ca="1" si="1"/>
        <v>0.11313228677303999</v>
      </c>
      <c r="AB24" s="428">
        <f t="shared" ca="1" si="2"/>
        <v>3.0816388801675515E-3</v>
      </c>
      <c r="AC24" s="427">
        <f t="shared" ca="1" si="3"/>
        <v>-7.9326123354125477E-5</v>
      </c>
      <c r="AD24" s="79"/>
      <c r="AE24" s="496">
        <f t="shared" ca="1" si="4"/>
        <v>1.28840741361008</v>
      </c>
      <c r="AF24" s="493">
        <f t="shared" ca="1" si="5"/>
        <v>1.2474144513850731</v>
      </c>
      <c r="AG24" s="493">
        <f t="shared" ca="1" si="6"/>
        <v>4.0992962225006924E-2</v>
      </c>
      <c r="AH24" s="498">
        <f t="shared" ca="1" si="7"/>
        <v>0</v>
      </c>
      <c r="AI24" s="497">
        <f t="shared" ca="1" si="12"/>
        <v>1.28840741361008</v>
      </c>
      <c r="AJ24" s="493">
        <f t="shared" ca="1" si="8"/>
        <v>0.37565356266376715</v>
      </c>
      <c r="AK24" s="493">
        <f t="shared" ca="1" si="9"/>
        <v>0.91275385094631289</v>
      </c>
      <c r="AL24" s="498">
        <f t="shared" ca="1" si="10"/>
        <v>0</v>
      </c>
    </row>
    <row r="25" spans="1:38" customFormat="1" ht="15.7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>
        <f ca="1"/>
        <v>1.6023953087169701E-4</v>
      </c>
      <c r="J25" s="413">
        <f ca="1"/>
        <v>4.5231886562589199E-4</v>
      </c>
      <c r="K25" s="413">
        <f ca="1"/>
        <v>0.35426232034334199</v>
      </c>
      <c r="L25" s="413">
        <f ca="1"/>
        <v>0.35426232034334199</v>
      </c>
      <c r="M25" s="413">
        <f ca="1"/>
        <v>-1.8420941881669501E-4</v>
      </c>
      <c r="N25" s="568" t="str">
        <f ca="1"/>
        <v>AXA_MMR.EUR.SU</v>
      </c>
      <c r="O25" s="413">
        <f ca="1"/>
        <v>1.2045314126206299</v>
      </c>
      <c r="P25" s="413">
        <f ca="1"/>
        <v>0.77781888952923595</v>
      </c>
      <c r="Q25" s="413">
        <f ca="1"/>
        <v>1.54860138887814</v>
      </c>
      <c r="R25" s="452">
        <f ca="1"/>
        <v>1.54860138887814</v>
      </c>
      <c r="S25" s="443"/>
      <c r="T25" s="422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3">
        <f ca="1"/>
        <v>1.53617307311943E-2</v>
      </c>
      <c r="V25" s="423">
        <f ca="1"/>
        <v>4.3180620260430201E-2</v>
      </c>
      <c r="W25" s="424">
        <f ca="1"/>
        <v>3.5575521237409002E-3</v>
      </c>
      <c r="X25" s="425">
        <f ca="1"/>
        <v>4.3180620260430196</v>
      </c>
      <c r="Y25" s="426">
        <f t="shared" ca="1" si="11"/>
        <v>0.11841785389064301</v>
      </c>
      <c r="Z25" s="427">
        <f t="shared" ca="1" si="0"/>
        <v>-1.8191031852339645E-3</v>
      </c>
      <c r="AA25" s="426">
        <f t="shared" ca="1" si="1"/>
        <v>0.11808744011444733</v>
      </c>
      <c r="AB25" s="428">
        <f t="shared" ca="1" si="2"/>
        <v>3.3796745175538549E-3</v>
      </c>
      <c r="AC25" s="427">
        <f t="shared" ca="1" si="3"/>
        <v>-9.0701372888708637E-5</v>
      </c>
      <c r="AD25" s="79"/>
      <c r="AE25" s="496">
        <f t="shared" ca="1" si="4"/>
        <v>1.2878365620041199</v>
      </c>
      <c r="AF25" s="493">
        <f t="shared" ca="1" si="5"/>
        <v>1.2487314836636865</v>
      </c>
      <c r="AG25" s="493">
        <f t="shared" ca="1" si="6"/>
        <v>3.9105078340433419E-2</v>
      </c>
      <c r="AH25" s="498">
        <f t="shared" ca="1" si="7"/>
        <v>0</v>
      </c>
      <c r="AI25" s="497">
        <f t="shared" ca="1" si="12"/>
        <v>1.2878365620041199</v>
      </c>
      <c r="AJ25" s="493">
        <f t="shared" ca="1" si="8"/>
        <v>0.3877617572901127</v>
      </c>
      <c r="AK25" s="493">
        <f t="shared" ca="1" si="9"/>
        <v>0.90007480471400725</v>
      </c>
      <c r="AL25" s="498">
        <f t="shared" ca="1" si="10"/>
        <v>0</v>
      </c>
    </row>
    <row r="26" spans="1:38" customFormat="1" ht="15.7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>
        <f ca="1"/>
        <v>1.7987351222694699E-4</v>
      </c>
      <c r="J26" s="413">
        <f ca="1"/>
        <v>4.4827115261653901E-4</v>
      </c>
      <c r="K26" s="413">
        <f ca="1"/>
        <v>0.40126051202945601</v>
      </c>
      <c r="L26" s="413">
        <f ca="1"/>
        <v>0.40126051202945601</v>
      </c>
      <c r="M26" s="413">
        <f ca="1"/>
        <v>-2.4444938227012901E-4</v>
      </c>
      <c r="N26" s="568" t="str">
        <f ca="1"/>
        <v>BANCOESPIRITOSANTO_MMR.EUR.SU</v>
      </c>
      <c r="O26" s="413">
        <f ca="1"/>
        <v>1.20329994238405</v>
      </c>
      <c r="P26" s="413">
        <f ca="1"/>
        <v>0.77276847266603799</v>
      </c>
      <c r="Q26" s="413">
        <f ca="1"/>
        <v>1.5571286678307199</v>
      </c>
      <c r="R26" s="452">
        <f ca="1"/>
        <v>1.5571286678307199</v>
      </c>
      <c r="S26" s="443"/>
      <c r="T26" s="422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3">
        <f ca="1"/>
        <v>2.0251413039767002E-2</v>
      </c>
      <c r="V26" s="423">
        <f ca="1"/>
        <v>4.3019885705805103E-2</v>
      </c>
      <c r="W26" s="424">
        <f ca="1"/>
        <v>4.7074539384548602E-3</v>
      </c>
      <c r="X26" s="425">
        <f ca="1"/>
        <v>4.3019885705805097</v>
      </c>
      <c r="Y26" s="426">
        <f t="shared" ca="1" si="11"/>
        <v>0.11841785389064301</v>
      </c>
      <c r="Z26" s="427">
        <f t="shared" ca="1" si="0"/>
        <v>-2.3981288704221929E-3</v>
      </c>
      <c r="AA26" s="426">
        <f t="shared" ca="1" si="1"/>
        <v>0.13375350400981867</v>
      </c>
      <c r="AB26" s="428">
        <f t="shared" ca="1" si="2"/>
        <v>4.4720812415321174E-3</v>
      </c>
      <c r="AC26" s="427">
        <f t="shared" ca="1" si="3"/>
        <v>-1.3543487276094845E-4</v>
      </c>
      <c r="AD26" s="79"/>
      <c r="AE26" s="496">
        <f t="shared" ca="1" si="4"/>
        <v>1.2856453978011899</v>
      </c>
      <c r="AF26" s="493">
        <f t="shared" ca="1" si="5"/>
        <v>1.2534578881963121</v>
      </c>
      <c r="AG26" s="493">
        <f t="shared" ca="1" si="6"/>
        <v>3.2187509604877818E-2</v>
      </c>
      <c r="AH26" s="498">
        <f t="shared" ca="1" si="7"/>
        <v>0</v>
      </c>
      <c r="AI26" s="497">
        <f t="shared" ca="1" si="12"/>
        <v>1.2856453978011899</v>
      </c>
      <c r="AJ26" s="493">
        <f t="shared" ca="1" si="8"/>
        <v>0.42505268702091781</v>
      </c>
      <c r="AK26" s="493">
        <f t="shared" ca="1" si="9"/>
        <v>0.86059271078027211</v>
      </c>
      <c r="AL26" s="498">
        <f t="shared" ca="1" si="10"/>
        <v>0</v>
      </c>
    </row>
    <row r="27" spans="1:38" customFormat="1" ht="15.75" thickBot="1">
      <c r="A27" s="227"/>
      <c r="B27" s="441" t="s">
        <v>449</v>
      </c>
      <c r="C27" s="185" t="b">
        <v>1</v>
      </c>
      <c r="D27" s="228"/>
      <c r="E27" s="228"/>
      <c r="F27" s="228"/>
      <c r="G27" s="228"/>
      <c r="H27" s="386">
        <v>13</v>
      </c>
      <c r="I27" s="413">
        <f ca="1"/>
        <v>1.7187975363206501E-4</v>
      </c>
      <c r="J27" s="413">
        <f ca="1"/>
        <v>4.5014200948937901E-4</v>
      </c>
      <c r="K27" s="413">
        <f ca="1"/>
        <v>0.38183451001837798</v>
      </c>
      <c r="L27" s="413">
        <f ca="1"/>
        <v>0.38183451001837798</v>
      </c>
      <c r="M27" s="413">
        <f ca="1"/>
        <v>-2.1826995481357699E-4</v>
      </c>
      <c r="N27" s="568" t="str">
        <f ca="1"/>
        <v>BARCLAYS_MMR.EUR.SU</v>
      </c>
      <c r="O27" s="413">
        <f ca="1"/>
        <v>1.20382708798525</v>
      </c>
      <c r="P27" s="413">
        <f ca="1"/>
        <v>0.77504229108850398</v>
      </c>
      <c r="Q27" s="413">
        <f ca="1"/>
        <v>1.5532405158104901</v>
      </c>
      <c r="R27" s="452">
        <f ca="1"/>
        <v>1.5532405158104901</v>
      </c>
      <c r="S27" s="443"/>
      <c r="T27" s="422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3">
        <f ca="1"/>
        <v>1.80222957602152E-2</v>
      </c>
      <c r="V27" s="423">
        <f ca="1"/>
        <v>4.3064586848719603E-2</v>
      </c>
      <c r="W27" s="424">
        <f ca="1"/>
        <v>4.1849457010989599E-3</v>
      </c>
      <c r="X27" s="425">
        <f ca="1"/>
        <v>4.3064586848719602</v>
      </c>
      <c r="Y27" s="426">
        <f t="shared" ca="1" si="11"/>
        <v>0.11841785389064301</v>
      </c>
      <c r="Z27" s="427">
        <f t="shared" ca="1" si="0"/>
        <v>-2.1341615861071171E-3</v>
      </c>
      <c r="AA27" s="426">
        <f t="shared" ca="1" si="1"/>
        <v>0.12727817000612598</v>
      </c>
      <c r="AB27" s="428">
        <f t="shared" ca="1" si="2"/>
        <v>3.9756984160440115E-3</v>
      </c>
      <c r="AC27" s="427">
        <f t="shared" ca="1" si="3"/>
        <v>-1.1469224118346788E-4</v>
      </c>
      <c r="AD27" s="79"/>
      <c r="AE27" s="496">
        <f t="shared" ca="1" si="4"/>
        <v>1.28659937790506</v>
      </c>
      <c r="AF27" s="493">
        <f t="shared" ca="1" si="5"/>
        <v>1.2512888048103785</v>
      </c>
      <c r="AG27" s="493">
        <f t="shared" ca="1" si="6"/>
        <v>3.5310573094681441E-2</v>
      </c>
      <c r="AH27" s="498">
        <f t="shared" ca="1" si="7"/>
        <v>0</v>
      </c>
      <c r="AI27" s="497">
        <f t="shared" ca="1" si="12"/>
        <v>1.28659937790506</v>
      </c>
      <c r="AJ27" s="493">
        <f t="shared" ca="1" si="8"/>
        <v>0.40958773283331207</v>
      </c>
      <c r="AK27" s="493">
        <f t="shared" ca="1" si="9"/>
        <v>0.87701164507174789</v>
      </c>
      <c r="AL27" s="498">
        <f t="shared" ca="1" si="10"/>
        <v>0</v>
      </c>
    </row>
    <row r="28" spans="1:38" customFormat="1" ht="15.7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>
        <f ca="1"/>
        <v>1.2285644822094299E-4</v>
      </c>
      <c r="J28" s="413">
        <f ca="1"/>
        <v>4.5786156783495999E-4</v>
      </c>
      <c r="K28" s="413">
        <f ca="1"/>
        <v>0.26832662283030401</v>
      </c>
      <c r="L28" s="413">
        <f ca="1"/>
        <v>0.26832662283030401</v>
      </c>
      <c r="M28" s="413">
        <f ca="1"/>
        <v>-9.6389694732357202E-5</v>
      </c>
      <c r="N28" s="568" t="str">
        <f ca="1"/>
        <v>BASF_MMR.EUR.SU</v>
      </c>
      <c r="O28" s="413">
        <f ca="1"/>
        <v>1.20591723035677</v>
      </c>
      <c r="P28" s="413">
        <f ca="1"/>
        <v>0.78478493950039196</v>
      </c>
      <c r="Q28" s="413">
        <f ca="1"/>
        <v>1.53662126992967</v>
      </c>
      <c r="R28" s="452">
        <f ca="1"/>
        <v>1.53662126992967</v>
      </c>
      <c r="S28" s="443"/>
      <c r="T28" s="422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3">
        <f ca="1"/>
        <v>8.6344823940712398E-3</v>
      </c>
      <c r="V28" s="423">
        <f ca="1"/>
        <v>4.3419421894462899E-2</v>
      </c>
      <c r="W28" s="424">
        <f ca="1"/>
        <v>1.98862214588176E-3</v>
      </c>
      <c r="X28" s="425">
        <f ca="1"/>
        <v>4.3419421894462902</v>
      </c>
      <c r="Y28" s="426">
        <f t="shared" ca="1" si="11"/>
        <v>0.11841785389064301</v>
      </c>
      <c r="Z28" s="427">
        <f t="shared" ca="1" si="0"/>
        <v>-1.0224768745624561E-3</v>
      </c>
      <c r="AA28" s="426">
        <f t="shared" ca="1" si="1"/>
        <v>8.944220761010134E-2</v>
      </c>
      <c r="AB28" s="428">
        <f t="shared" ca="1" si="2"/>
        <v>1.8891910385876718E-3</v>
      </c>
      <c r="AC28" s="427">
        <f t="shared" ca="1" si="3"/>
        <v>-3.8614358344814264E-5</v>
      </c>
      <c r="AD28" s="79"/>
      <c r="AE28" s="496">
        <f t="shared" ca="1" si="4"/>
        <v>1.29042466551756</v>
      </c>
      <c r="AF28" s="493">
        <f t="shared" ca="1" si="5"/>
        <v>1.241923900730028</v>
      </c>
      <c r="AG28" s="493">
        <f t="shared" ca="1" si="6"/>
        <v>4.8500764787531958E-2</v>
      </c>
      <c r="AH28" s="498">
        <f t="shared" ca="1" si="7"/>
        <v>0</v>
      </c>
      <c r="AI28" s="497">
        <f t="shared" ca="1" si="12"/>
        <v>1.29042466551756</v>
      </c>
      <c r="AJ28" s="493">
        <f t="shared" ca="1" si="8"/>
        <v>0.31494074465423694</v>
      </c>
      <c r="AK28" s="493">
        <f t="shared" ca="1" si="9"/>
        <v>0.97548392086332303</v>
      </c>
      <c r="AL28" s="498">
        <f t="shared" ca="1" si="10"/>
        <v>0</v>
      </c>
    </row>
    <row r="29" spans="1:38" customFormat="1" ht="15.7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>
        <f ca="1"/>
        <v>1.56517201861606E-4</v>
      </c>
      <c r="J29" s="413">
        <f ca="1"/>
        <v>4.5262087816986E-4</v>
      </c>
      <c r="K29" s="413">
        <f ca="1"/>
        <v>0.34580199325862299</v>
      </c>
      <c r="L29" s="413">
        <f ca="1"/>
        <v>0.34580199325862299</v>
      </c>
      <c r="M29" s="413">
        <f ca="1"/>
        <v>-1.7607661139365001E-4</v>
      </c>
      <c r="N29" s="568" t="str">
        <f ca="1"/>
        <v>BAT_MMR.EUR.SU</v>
      </c>
      <c r="O29" s="413">
        <f ca="1"/>
        <v>1.2047379763067501</v>
      </c>
      <c r="P29" s="413">
        <f ca="1"/>
        <v>0.778324662038963</v>
      </c>
      <c r="Q29" s="413">
        <f ca="1"/>
        <v>1.5478604688572</v>
      </c>
      <c r="R29" s="452">
        <f ca="1"/>
        <v>1.5478604688572</v>
      </c>
      <c r="S29" s="443"/>
      <c r="T29" s="422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3">
        <f ca="1"/>
        <v>1.49377234698301E-2</v>
      </c>
      <c r="V29" s="423">
        <f ca="1"/>
        <v>4.3262385508792599E-2</v>
      </c>
      <c r="W29" s="424">
        <f ca="1"/>
        <v>3.45282011016109E-3</v>
      </c>
      <c r="X29" s="425">
        <f ca="1"/>
        <v>4.3262385508792596</v>
      </c>
      <c r="Y29" s="426">
        <f t="shared" ca="1" si="11"/>
        <v>0.11841785389064301</v>
      </c>
      <c r="Z29" s="427">
        <f t="shared" ca="1" si="0"/>
        <v>-1.7688931553091673E-3</v>
      </c>
      <c r="AA29" s="426">
        <f t="shared" ca="1" si="1"/>
        <v>0.11526733108620767</v>
      </c>
      <c r="AB29" s="428">
        <f t="shared" ca="1" si="2"/>
        <v>3.2801791046530352E-3</v>
      </c>
      <c r="AC29" s="427">
        <f t="shared" ca="1" si="3"/>
        <v>-8.6091575843556079E-5</v>
      </c>
      <c r="AD29" s="79"/>
      <c r="AE29" s="496">
        <f t="shared" ca="1" si="4"/>
        <v>1.2881679976498199</v>
      </c>
      <c r="AF29" s="493">
        <f t="shared" ca="1" si="5"/>
        <v>1.2483703669933781</v>
      </c>
      <c r="AG29" s="493">
        <f t="shared" ca="1" si="6"/>
        <v>3.9797630656441818E-2</v>
      </c>
      <c r="AH29" s="498">
        <f t="shared" ca="1" si="7"/>
        <v>0</v>
      </c>
      <c r="AI29" s="497">
        <f t="shared" ca="1" si="12"/>
        <v>1.2881679976498199</v>
      </c>
      <c r="AJ29" s="493">
        <f t="shared" ca="1" si="8"/>
        <v>0.38168751865992639</v>
      </c>
      <c r="AK29" s="493">
        <f t="shared" ca="1" si="9"/>
        <v>0.90648047898989348</v>
      </c>
      <c r="AL29" s="498">
        <f t="shared" ca="1" si="10"/>
        <v>0</v>
      </c>
    </row>
    <row r="30" spans="1:38" customFormat="1" ht="1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>
        <f ca="1"/>
        <v>1.3871818579502801E-4</v>
      </c>
      <c r="J30" s="413">
        <f ca="1"/>
        <v>4.55608452509966E-4</v>
      </c>
      <c r="K30" s="413">
        <f ca="1"/>
        <v>0.30446798129144398</v>
      </c>
      <c r="L30" s="413">
        <f ca="1"/>
        <v>0.30446798129144398</v>
      </c>
      <c r="M30" s="413">
        <f ca="1"/>
        <v>-1.3068893331296099E-4</v>
      </c>
      <c r="N30" s="568" t="str">
        <f ca="1"/>
        <v>BAYER_MMR.EUR.SU</v>
      </c>
      <c r="O30" s="413">
        <f ca="1"/>
        <v>1.20545975357313</v>
      </c>
      <c r="P30" s="413">
        <f ca="1"/>
        <v>0.78201268395094603</v>
      </c>
      <c r="Q30" s="413">
        <f ca="1"/>
        <v>1.54148363359378</v>
      </c>
      <c r="R30" s="452">
        <f ca="1"/>
        <v>1.54148363359378</v>
      </c>
      <c r="S30" s="443"/>
      <c r="T30" s="422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3">
        <f ca="1"/>
        <v>1.13428753159023E-2</v>
      </c>
      <c r="V30" s="423">
        <f ca="1"/>
        <v>4.3355559266848101E-2</v>
      </c>
      <c r="W30" s="424">
        <f ca="1"/>
        <v>2.6162447233325499E-3</v>
      </c>
      <c r="X30" s="425">
        <f ca="1"/>
        <v>4.33555592668481</v>
      </c>
      <c r="Y30" s="426">
        <f t="shared" ca="1" si="11"/>
        <v>0.11841785389064301</v>
      </c>
      <c r="Z30" s="427">
        <f t="shared" ca="1" si="0"/>
        <v>-1.3431989518582995E-3</v>
      </c>
      <c r="AA30" s="426">
        <f t="shared" ca="1" si="1"/>
        <v>0.10148932709714799</v>
      </c>
      <c r="AB30" s="428">
        <f t="shared" ca="1" si="2"/>
        <v>2.4854324871659223E-3</v>
      </c>
      <c r="AC30" s="427">
        <f t="shared" ca="1" si="3"/>
        <v>-5.7559039157888753E-5</v>
      </c>
      <c r="AD30" s="79"/>
      <c r="AE30" s="496">
        <f t="shared" ca="1" si="4"/>
        <v>1.2895277749145599</v>
      </c>
      <c r="AF30" s="493">
        <f t="shared" ca="1" si="5"/>
        <v>1.2447424861349439</v>
      </c>
      <c r="AG30" s="493">
        <f t="shared" ca="1" si="6"/>
        <v>4.4785288779616073E-2</v>
      </c>
      <c r="AH30" s="498">
        <f t="shared" ca="1" si="7"/>
        <v>0</v>
      </c>
      <c r="AI30" s="497">
        <f t="shared" ca="1" si="12"/>
        <v>1.2895277749145599</v>
      </c>
      <c r="AJ30" s="493">
        <f t="shared" ca="1" si="8"/>
        <v>0.34685954182563772</v>
      </c>
      <c r="AK30" s="493">
        <f t="shared" ca="1" si="9"/>
        <v>0.94266823308892222</v>
      </c>
      <c r="AL30" s="498">
        <f t="shared" ca="1" si="10"/>
        <v>0</v>
      </c>
    </row>
    <row r="31" spans="1:38" customFormat="1" ht="15.7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>
        <f ca="1"/>
        <v>1.58881880893303E-4</v>
      </c>
      <c r="J31" s="413">
        <f ca="1"/>
        <v>4.52720473859212E-4</v>
      </c>
      <c r="K31" s="413">
        <f ca="1"/>
        <v>0.35094918402721198</v>
      </c>
      <c r="L31" s="413">
        <f ca="1"/>
        <v>0.35094918402721198</v>
      </c>
      <c r="M31" s="413">
        <f ca="1"/>
        <v>-1.79880723569071E-4</v>
      </c>
      <c r="N31" s="568" t="str">
        <f ca="1"/>
        <v>BBVA_MMR.EUR.SU</v>
      </c>
      <c r="O31" s="413">
        <f ca="1"/>
        <v>1.2045770046858</v>
      </c>
      <c r="P31" s="413">
        <f ca="1"/>
        <v>0.77825439165019195</v>
      </c>
      <c r="Q31" s="413">
        <f ca="1"/>
        <v>1.5477933919931299</v>
      </c>
      <c r="R31" s="452">
        <f ca="1"/>
        <v>1.5477933919931299</v>
      </c>
      <c r="S31" s="443"/>
      <c r="T31" s="422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3">
        <f ca="1"/>
        <v>1.4902425741151699E-2</v>
      </c>
      <c r="V31" s="423">
        <f ca="1"/>
        <v>4.3156817391343999E-2</v>
      </c>
      <c r="W31" s="424">
        <f ca="1"/>
        <v>3.4530872853800101E-3</v>
      </c>
      <c r="X31" s="425">
        <f ca="1"/>
        <v>4.3156817391343996</v>
      </c>
      <c r="Y31" s="426">
        <f t="shared" ca="1" si="11"/>
        <v>0.11841785389064301</v>
      </c>
      <c r="Z31" s="427">
        <f t="shared" ca="1" si="0"/>
        <v>-1.7647132740318575E-3</v>
      </c>
      <c r="AA31" s="426">
        <f t="shared" ca="1" si="1"/>
        <v>0.11698306134240399</v>
      </c>
      <c r="AB31" s="428">
        <f t="shared" ca="1" si="2"/>
        <v>3.2804329211110093E-3</v>
      </c>
      <c r="AC31" s="427">
        <f t="shared" ca="1" si="3"/>
        <v>-8.7166569231388519E-5</v>
      </c>
      <c r="AD31" s="79"/>
      <c r="AE31" s="496">
        <f t="shared" ca="1" si="4"/>
        <v>1.287942417844</v>
      </c>
      <c r="AF31" s="493">
        <f t="shared" ca="1" si="5"/>
        <v>1.2482474880989054</v>
      </c>
      <c r="AG31" s="493">
        <f t="shared" ca="1" si="6"/>
        <v>3.9694929745094587E-2</v>
      </c>
      <c r="AH31" s="498">
        <f t="shared" ca="1" si="7"/>
        <v>0</v>
      </c>
      <c r="AI31" s="497">
        <f t="shared" ca="1" si="12"/>
        <v>1.287942417844</v>
      </c>
      <c r="AJ31" s="493">
        <f t="shared" ca="1" si="8"/>
        <v>0.38470908666612458</v>
      </c>
      <c r="AK31" s="493">
        <f t="shared" ca="1" si="9"/>
        <v>0.90323333117787541</v>
      </c>
      <c r="AL31" s="498">
        <f t="shared" ca="1" si="10"/>
        <v>0</v>
      </c>
    </row>
    <row r="32" spans="1:38" customFormat="1" ht="15.7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>
        <f ca="1"/>
        <v>1.5250566896838399E-4</v>
      </c>
      <c r="J32" s="413">
        <f ca="1"/>
        <v>4.5336987263139999E-4</v>
      </c>
      <c r="K32" s="413">
        <f ca="1"/>
        <v>0.33638245100678399</v>
      </c>
      <c r="L32" s="413">
        <f ca="1"/>
        <v>0.33638245100678399</v>
      </c>
      <c r="M32" s="413">
        <f ca="1"/>
        <v>-1.64944728698258E-4</v>
      </c>
      <c r="N32" s="568" t="str">
        <f ca="1"/>
        <v>BERTELSMANNAG_MMR.EUR.SU</v>
      </c>
      <c r="O32" s="413">
        <f ca="1"/>
        <v>1.20492371079272</v>
      </c>
      <c r="P32" s="413">
        <f ca="1"/>
        <v>0.77924325320404397</v>
      </c>
      <c r="Q32" s="413">
        <f ca="1"/>
        <v>1.5462741651447001</v>
      </c>
      <c r="R32" s="452">
        <f ca="1"/>
        <v>1.5462741651447001</v>
      </c>
      <c r="S32" s="443"/>
      <c r="T32" s="422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3">
        <f ca="1"/>
        <v>1.40397471089963E-2</v>
      </c>
      <c r="V32" s="423">
        <f ca="1"/>
        <v>4.3283000313039798E-2</v>
      </c>
      <c r="W32" s="424">
        <f ca="1"/>
        <v>3.24370931022695E-3</v>
      </c>
      <c r="X32" s="425">
        <f ca="1"/>
        <v>4.3283000313039803</v>
      </c>
      <c r="Y32" s="426">
        <f t="shared" ca="1" si="11"/>
        <v>0.11841785389064301</v>
      </c>
      <c r="Z32" s="427">
        <f t="shared" ca="1" si="0"/>
        <v>-1.6625567218147039E-3</v>
      </c>
      <c r="AA32" s="426">
        <f t="shared" ca="1" si="1"/>
        <v>0.112127483668928</v>
      </c>
      <c r="AB32" s="428">
        <f t="shared" ca="1" si="2"/>
        <v>3.0815238447156022E-3</v>
      </c>
      <c r="AC32" s="427">
        <f t="shared" ca="1" si="3"/>
        <v>-7.8712075733993351E-5</v>
      </c>
      <c r="AD32" s="79"/>
      <c r="AE32" s="496">
        <f t="shared" ca="1" si="4"/>
        <v>1.2885159882899599</v>
      </c>
      <c r="AF32" s="493">
        <f t="shared" ca="1" si="5"/>
        <v>1.2474716837916333</v>
      </c>
      <c r="AG32" s="493">
        <f t="shared" ca="1" si="6"/>
        <v>4.1044304498326634E-2</v>
      </c>
      <c r="AH32" s="498">
        <f t="shared" ca="1" si="7"/>
        <v>0</v>
      </c>
      <c r="AI32" s="497">
        <f t="shared" ca="1" si="12"/>
        <v>1.2885159882899599</v>
      </c>
      <c r="AJ32" s="493">
        <f t="shared" ca="1" si="8"/>
        <v>0.37381544765738217</v>
      </c>
      <c r="AK32" s="493">
        <f t="shared" ca="1" si="9"/>
        <v>0.91470054063257777</v>
      </c>
      <c r="AL32" s="498">
        <f t="shared" ca="1" si="10"/>
        <v>0</v>
      </c>
    </row>
    <row r="33" spans="1:38" customFormat="1" ht="1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>
        <f ca="1"/>
        <v>1.41383226827574E-4</v>
      </c>
      <c r="J33" s="413">
        <f ca="1"/>
        <v>4.5523984979233998E-4</v>
      </c>
      <c r="K33" s="413">
        <f ca="1"/>
        <v>0.31056865274880202</v>
      </c>
      <c r="L33" s="413">
        <f ca="1"/>
        <v>0.31056865274880202</v>
      </c>
      <c r="M33" s="413">
        <f ca="1"/>
        <v>-1.3668098702535099E-4</v>
      </c>
      <c r="N33" s="568" t="str">
        <f ca="1"/>
        <v>BMW_MMR.EUR.SU</v>
      </c>
      <c r="O33" s="413">
        <f ca="1"/>
        <v>1.2053682314434</v>
      </c>
      <c r="P33" s="413">
        <f ca="1"/>
        <v>0.78154671125263897</v>
      </c>
      <c r="Q33" s="413">
        <f ca="1"/>
        <v>1.54228559098083</v>
      </c>
      <c r="R33" s="452">
        <f ca="1"/>
        <v>1.54228559098083</v>
      </c>
      <c r="S33" s="443"/>
      <c r="T33" s="422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3">
        <f ca="1"/>
        <v>1.1791712113008401E-2</v>
      </c>
      <c r="V33" s="423">
        <f ca="1"/>
        <v>4.3338423365647701E-2</v>
      </c>
      <c r="W33" s="424">
        <f ca="1"/>
        <v>2.7208447371334498E-3</v>
      </c>
      <c r="X33" s="425">
        <f ca="1"/>
        <v>4.3338423365647696</v>
      </c>
      <c r="Y33" s="426">
        <f t="shared" ca="1" si="11"/>
        <v>0.11841785389064301</v>
      </c>
      <c r="Z33" s="427">
        <f t="shared" ca="1" si="0"/>
        <v>-1.3963492421187524E-3</v>
      </c>
      <c r="AA33" s="426">
        <f t="shared" ca="1" si="1"/>
        <v>0.10352288424960067</v>
      </c>
      <c r="AB33" s="428">
        <f t="shared" ca="1" si="2"/>
        <v>2.5848025002767772E-3</v>
      </c>
      <c r="AC33" s="427">
        <f t="shared" ca="1" si="3"/>
        <v>-6.1035602408979106E-5</v>
      </c>
      <c r="AD33" s="79"/>
      <c r="AE33" s="496">
        <f t="shared" ca="1" si="4"/>
        <v>1.28935553786049</v>
      </c>
      <c r="AF33" s="493">
        <f t="shared" ca="1" si="5"/>
        <v>1.2451980751645249</v>
      </c>
      <c r="AG33" s="493">
        <f t="shared" ca="1" si="6"/>
        <v>4.41574626959651E-2</v>
      </c>
      <c r="AH33" s="498">
        <f t="shared" ca="1" si="7"/>
        <v>0</v>
      </c>
      <c r="AI33" s="497">
        <f t="shared" ca="1" si="12"/>
        <v>1.28935553786049</v>
      </c>
      <c r="AJ33" s="493">
        <f t="shared" ca="1" si="8"/>
        <v>0.35199585321285487</v>
      </c>
      <c r="AK33" s="493">
        <f t="shared" ca="1" si="9"/>
        <v>0.93735968464763508</v>
      </c>
      <c r="AL33" s="498">
        <f t="shared" ca="1" si="10"/>
        <v>0</v>
      </c>
    </row>
    <row r="34" spans="1:38" customFormat="1" ht="1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>
        <f ca="1"/>
        <v>1.5127743239034001E-4</v>
      </c>
      <c r="J34" s="413">
        <f ca="1"/>
        <v>4.53770593728923E-4</v>
      </c>
      <c r="K34" s="413">
        <f ca="1"/>
        <v>0.33337865979193698</v>
      </c>
      <c r="L34" s="413">
        <f ca="1"/>
        <v>0.33337865979193698</v>
      </c>
      <c r="M34" s="413">
        <f ca="1"/>
        <v>-1.6059020166441201E-4</v>
      </c>
      <c r="N34" s="568" t="str">
        <f ca="1"/>
        <v>BNPPARIBAS_MMR.EUR.SU</v>
      </c>
      <c r="O34" s="413">
        <f ca="1"/>
        <v>1.20497469473658</v>
      </c>
      <c r="P34" s="413">
        <f ca="1"/>
        <v>0.77968212372035395</v>
      </c>
      <c r="Q34" s="413">
        <f ca="1"/>
        <v>1.5454691829881699</v>
      </c>
      <c r="R34" s="452">
        <f ca="1"/>
        <v>1.5454691829881699</v>
      </c>
      <c r="S34" s="443"/>
      <c r="T34" s="422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3">
        <f ca="1"/>
        <v>1.3581299536972799E-2</v>
      </c>
      <c r="V34" s="423">
        <f ca="1"/>
        <v>4.3263423257326301E-2</v>
      </c>
      <c r="W34" s="424">
        <f ca="1"/>
        <v>3.1392105650523E-3</v>
      </c>
      <c r="X34" s="425">
        <f ca="1"/>
        <v>4.3263423257326297</v>
      </c>
      <c r="Y34" s="426">
        <f t="shared" ca="1" si="11"/>
        <v>0.11841785389064301</v>
      </c>
      <c r="Z34" s="427">
        <f t="shared" ca="1" si="0"/>
        <v>-1.6082683442143037E-3</v>
      </c>
      <c r="AA34" s="426">
        <f t="shared" ca="1" si="1"/>
        <v>0.11112621993064566</v>
      </c>
      <c r="AB34" s="428">
        <f t="shared" ca="1" si="2"/>
        <v>2.9822500367996849E-3</v>
      </c>
      <c r="AC34" s="427">
        <f t="shared" ca="1" si="3"/>
        <v>-7.5461923964480868E-5</v>
      </c>
      <c r="AD34" s="79"/>
      <c r="AE34" s="496">
        <f t="shared" ca="1" si="4"/>
        <v>1.2886283279324999</v>
      </c>
      <c r="AF34" s="493">
        <f t="shared" ca="1" si="5"/>
        <v>1.2469913977568534</v>
      </c>
      <c r="AG34" s="493">
        <f t="shared" ca="1" si="6"/>
        <v>4.1636930175646514E-2</v>
      </c>
      <c r="AH34" s="498">
        <f t="shared" ca="1" si="7"/>
        <v>0</v>
      </c>
      <c r="AI34" s="497">
        <f t="shared" ca="1" si="12"/>
        <v>1.2886283279324999</v>
      </c>
      <c r="AJ34" s="493">
        <f t="shared" ca="1" si="8"/>
        <v>0.37092620057138614</v>
      </c>
      <c r="AK34" s="493">
        <f t="shared" ca="1" si="9"/>
        <v>0.91770212736111378</v>
      </c>
      <c r="AL34" s="498">
        <f t="shared" ca="1" si="10"/>
        <v>0</v>
      </c>
    </row>
    <row r="35" spans="1:38" customFormat="1" ht="1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>
        <f ca="1"/>
        <v>1.69212784285544E-4</v>
      </c>
      <c r="J35" s="413">
        <f ca="1"/>
        <v>4.5044378453925699E-4</v>
      </c>
      <c r="K35" s="413">
        <f ca="1"/>
        <v>0.37565794022138799</v>
      </c>
      <c r="L35" s="413">
        <f ca="1"/>
        <v>0.37565794022138799</v>
      </c>
      <c r="M35" s="413">
        <f ca="1"/>
        <v>-2.11204681775912E-4</v>
      </c>
      <c r="N35" s="568" t="str">
        <f ca="1"/>
        <v>BRITISHTELECOM_MMR.EUR.SU</v>
      </c>
      <c r="O35" s="413">
        <f ca="1"/>
        <v>1.2040407861816</v>
      </c>
      <c r="P35" s="413">
        <f ca="1"/>
        <v>0.77553427513538897</v>
      </c>
      <c r="Q35" s="413">
        <f ca="1"/>
        <v>1.5525307195112701</v>
      </c>
      <c r="R35" s="452">
        <f ca="1"/>
        <v>1.5525307195112701</v>
      </c>
      <c r="S35" s="443"/>
      <c r="T35" s="422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3">
        <f ca="1"/>
        <v>1.75993381401881E-2</v>
      </c>
      <c r="V35" s="423">
        <f ca="1"/>
        <v>4.31336132755775E-2</v>
      </c>
      <c r="W35" s="424">
        <f ca="1"/>
        <v>4.0801910166317901E-3</v>
      </c>
      <c r="X35" s="425">
        <f ca="1"/>
        <v>4.3133613275577503</v>
      </c>
      <c r="Y35" s="426">
        <f t="shared" ca="1" si="11"/>
        <v>0.11841785389064301</v>
      </c>
      <c r="Z35" s="427">
        <f t="shared" ca="1" si="0"/>
        <v>-2.084075852456816E-3</v>
      </c>
      <c r="AA35" s="426">
        <f t="shared" ca="1" si="1"/>
        <v>0.12521931340712933</v>
      </c>
      <c r="AB35" s="428">
        <f t="shared" ca="1" si="2"/>
        <v>3.8761814658002003E-3</v>
      </c>
      <c r="AC35" s="427">
        <f t="shared" ca="1" si="3"/>
        <v>-1.1018885191671307E-4</v>
      </c>
      <c r="AD35" s="79"/>
      <c r="AE35" s="496">
        <f t="shared" ca="1" si="4"/>
        <v>1.2869322517214301</v>
      </c>
      <c r="AF35" s="493">
        <f t="shared" ca="1" si="5"/>
        <v>1.2509438928553724</v>
      </c>
      <c r="AG35" s="493">
        <f t="shared" ca="1" si="6"/>
        <v>3.5988358866057668E-2</v>
      </c>
      <c r="AH35" s="498">
        <f t="shared" ca="1" si="7"/>
        <v>0</v>
      </c>
      <c r="AI35" s="497">
        <f t="shared" ca="1" si="12"/>
        <v>1.2869322517214301</v>
      </c>
      <c r="AJ35" s="493">
        <f t="shared" ca="1" si="8"/>
        <v>0.4052579578629224</v>
      </c>
      <c r="AK35" s="493">
        <f t="shared" ca="1" si="9"/>
        <v>0.88167429385850771</v>
      </c>
      <c r="AL35" s="498">
        <f t="shared" ca="1" si="10"/>
        <v>0</v>
      </c>
    </row>
    <row r="36" spans="1:38" customFormat="1" ht="15.7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>
        <f ca="1"/>
        <v>1.5835079584185501E-4</v>
      </c>
      <c r="J36" s="413">
        <f ca="1"/>
        <v>4.5268839698012301E-4</v>
      </c>
      <c r="K36" s="413">
        <f ca="1"/>
        <v>0.349800871633138</v>
      </c>
      <c r="L36" s="413">
        <f ca="1"/>
        <v>0.349800871633138</v>
      </c>
      <c r="M36" s="413">
        <f ca="1"/>
        <v>-1.7896004874631301E-4</v>
      </c>
      <c r="N36" s="568" t="str">
        <f ca="1"/>
        <v>BSCH_MMR.EUR.SU</v>
      </c>
      <c r="O36" s="413">
        <f ca="1"/>
        <v>1.2046297877968899</v>
      </c>
      <c r="P36" s="413">
        <f ca="1"/>
        <v>0.77827384109511999</v>
      </c>
      <c r="Q36" s="413">
        <f ca="1"/>
        <v>1.5478225326214701</v>
      </c>
      <c r="R36" s="452">
        <f ca="1"/>
        <v>1.5478225326214701</v>
      </c>
      <c r="S36" s="443"/>
      <c r="T36" s="422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3">
        <f ca="1"/>
        <v>1.4912095388694801E-2</v>
      </c>
      <c r="V36" s="423">
        <f ca="1"/>
        <v>4.3185936483814399E-2</v>
      </c>
      <c r="W36" s="424">
        <f ca="1"/>
        <v>3.4529980365908398E-3</v>
      </c>
      <c r="X36" s="425">
        <f ca="1"/>
        <v>4.31859364838144</v>
      </c>
      <c r="Y36" s="426">
        <f t="shared" ca="1" si="11"/>
        <v>0.11841785389064301</v>
      </c>
      <c r="Z36" s="427">
        <f t="shared" ca="1" si="0"/>
        <v>-1.7658583329417902E-3</v>
      </c>
      <c r="AA36" s="426">
        <f t="shared" ca="1" si="1"/>
        <v>0.11660029054437933</v>
      </c>
      <c r="AB36" s="428">
        <f t="shared" ca="1" si="2"/>
        <v>3.2803481347612978E-3</v>
      </c>
      <c r="AC36" s="427">
        <f t="shared" ca="1" si="3"/>
        <v>-8.6937732747365562E-5</v>
      </c>
      <c r="AD36" s="79"/>
      <c r="AE36" s="496">
        <f t="shared" ca="1" si="4"/>
        <v>1.28801299946896</v>
      </c>
      <c r="AF36" s="493">
        <f t="shared" ca="1" si="5"/>
        <v>1.2482893501374774</v>
      </c>
      <c r="AG36" s="493">
        <f t="shared" ca="1" si="6"/>
        <v>3.9723649331482536E-2</v>
      </c>
      <c r="AH36" s="498">
        <f t="shared" ca="1" si="7"/>
        <v>0</v>
      </c>
      <c r="AI36" s="497">
        <f t="shared" ca="1" si="12"/>
        <v>1.28801299946896</v>
      </c>
      <c r="AJ36" s="493">
        <f t="shared" ca="1" si="8"/>
        <v>0.3841281932717116</v>
      </c>
      <c r="AK36" s="493">
        <f t="shared" ca="1" si="9"/>
        <v>0.90388480619724842</v>
      </c>
      <c r="AL36" s="498">
        <f t="shared" ca="1" si="10"/>
        <v>0</v>
      </c>
    </row>
    <row r="37" spans="1:38" customFormat="1" ht="15.7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>
        <f ca="1"/>
        <v>1.62655951678437E-4</v>
      </c>
      <c r="J37" s="413">
        <f ca="1"/>
        <v>4.5150999593061402E-4</v>
      </c>
      <c r="K37" s="413">
        <f ca="1"/>
        <v>0.36024883866232998</v>
      </c>
      <c r="L37" s="413">
        <f ca="1"/>
        <v>0.36024883866232998</v>
      </c>
      <c r="M37" s="413">
        <f ca="1"/>
        <v>-1.9319418895933401E-4</v>
      </c>
      <c r="N37" s="568" t="str">
        <f ca="1"/>
        <v>CADBURYSCHWEPPES_MMR.EUR.SU</v>
      </c>
      <c r="O37" s="413">
        <f ca="1"/>
        <v>1.2044265790806601</v>
      </c>
      <c r="P37" s="413">
        <f ca="1"/>
        <v>0.77693819281750398</v>
      </c>
      <c r="Q37" s="413">
        <f ca="1"/>
        <v>1.5502218712056199</v>
      </c>
      <c r="R37" s="452">
        <f ca="1"/>
        <v>1.5502218712056199</v>
      </c>
      <c r="S37" s="443"/>
      <c r="T37" s="422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3">
        <f ca="1"/>
        <v>1.6276744469342099E-2</v>
      </c>
      <c r="V37" s="423">
        <f ca="1"/>
        <v>4.3214937286845799E-2</v>
      </c>
      <c r="W37" s="424">
        <f ca="1"/>
        <v>3.76646259169664E-3</v>
      </c>
      <c r="X37" s="425">
        <f ca="1"/>
        <v>4.3214937286845796</v>
      </c>
      <c r="Y37" s="426">
        <f t="shared" ca="1" si="11"/>
        <v>0.11841785389064301</v>
      </c>
      <c r="Z37" s="427">
        <f t="shared" ca="1" si="0"/>
        <v>-1.9274571483858841E-3</v>
      </c>
      <c r="AA37" s="426">
        <f t="shared" ca="1" si="1"/>
        <v>0.12008294622077666</v>
      </c>
      <c r="AB37" s="428">
        <f t="shared" ca="1" si="2"/>
        <v>3.5781394621118077E-3</v>
      </c>
      <c r="AC37" s="427">
        <f t="shared" ca="1" si="3"/>
        <v>-9.7727971538066666E-5</v>
      </c>
      <c r="AD37" s="79"/>
      <c r="AE37" s="496">
        <f t="shared" ca="1" si="4"/>
        <v>1.28759969960067</v>
      </c>
      <c r="AF37" s="493">
        <f t="shared" ca="1" si="5"/>
        <v>1.2496902731616859</v>
      </c>
      <c r="AG37" s="493">
        <f t="shared" ca="1" si="6"/>
        <v>3.7909426438984095E-2</v>
      </c>
      <c r="AH37" s="498">
        <f t="shared" ca="1" si="7"/>
        <v>0</v>
      </c>
      <c r="AI37" s="497">
        <f t="shared" ca="1" si="12"/>
        <v>1.28759969960067</v>
      </c>
      <c r="AJ37" s="493">
        <f t="shared" ca="1" si="8"/>
        <v>0.39339457980789866</v>
      </c>
      <c r="AK37" s="493">
        <f t="shared" ca="1" si="9"/>
        <v>0.8942051197927714</v>
      </c>
      <c r="AL37" s="498">
        <f t="shared" ca="1" si="10"/>
        <v>0</v>
      </c>
    </row>
    <row r="38" spans="1:38" customFormat="1" ht="15.7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>
        <f ca="1"/>
        <v>1.8103300753420399E-4</v>
      </c>
      <c r="J38" s="413">
        <f ca="1"/>
        <v>4.47872713964904E-4</v>
      </c>
      <c r="K38" s="413">
        <f ca="1"/>
        <v>0.40420637803889498</v>
      </c>
      <c r="L38" s="413">
        <f ca="1"/>
        <v>0.40420637803889498</v>
      </c>
      <c r="M38" s="413">
        <f ca="1"/>
        <v>-2.4881124937212699E-4</v>
      </c>
      <c r="N38" s="568" t="str">
        <f ca="1"/>
        <v>CAPITALIA_MMR.EUR.SU</v>
      </c>
      <c r="O38" s="413">
        <f ca="1"/>
        <v>1.20323047158612</v>
      </c>
      <c r="P38" s="413">
        <f ca="1"/>
        <v>0.77232862831540305</v>
      </c>
      <c r="Q38" s="413">
        <f ca="1"/>
        <v>1.5579255092622899</v>
      </c>
      <c r="R38" s="452">
        <f ca="1"/>
        <v>1.5579255092622899</v>
      </c>
      <c r="S38" s="443"/>
      <c r="T38" s="422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3">
        <f ca="1"/>
        <v>2.0709123895116199E-2</v>
      </c>
      <c r="V38" s="423">
        <f ca="1"/>
        <v>4.3037752210518899E-2</v>
      </c>
      <c r="W38" s="424">
        <f ca="1"/>
        <v>4.8118507197628798E-3</v>
      </c>
      <c r="X38" s="425">
        <f ca="1"/>
        <v>4.3037752210518896</v>
      </c>
      <c r="Y38" s="426">
        <f t="shared" ca="1" si="11"/>
        <v>0.11841785389064301</v>
      </c>
      <c r="Z38" s="427">
        <f t="shared" ca="1" si="0"/>
        <v>-2.4523300076150917E-3</v>
      </c>
      <c r="AA38" s="426">
        <f t="shared" ca="1" si="1"/>
        <v>0.13473545934629833</v>
      </c>
      <c r="AB38" s="428">
        <f t="shared" ca="1" si="2"/>
        <v>4.5712581837747358E-3</v>
      </c>
      <c r="AC38" s="427">
        <f t="shared" ca="1" si="3"/>
        <v>-1.395126660333941E-4</v>
      </c>
      <c r="AD38" s="79"/>
      <c r="AE38" s="496">
        <f t="shared" ca="1" si="4"/>
        <v>1.2855047946417399</v>
      </c>
      <c r="AF38" s="493">
        <f t="shared" ca="1" si="5"/>
        <v>1.2539219966679331</v>
      </c>
      <c r="AG38" s="493">
        <f t="shared" ca="1" si="6"/>
        <v>3.1582797973806809E-2</v>
      </c>
      <c r="AH38" s="498">
        <f t="shared" ca="1" si="7"/>
        <v>0</v>
      </c>
      <c r="AI38" s="497">
        <f t="shared" ca="1" si="12"/>
        <v>1.2855047946417399</v>
      </c>
      <c r="AJ38" s="493">
        <f t="shared" ca="1" si="8"/>
        <v>0.42754629581027792</v>
      </c>
      <c r="AK38" s="493">
        <f t="shared" ca="1" si="9"/>
        <v>0.85795849883146202</v>
      </c>
      <c r="AL38" s="498">
        <f t="shared" ca="1" si="10"/>
        <v>0</v>
      </c>
    </row>
    <row r="39" spans="1:38" customFormat="1" ht="15">
      <c r="A39" s="227"/>
      <c r="B39" s="275">
        <v>1</v>
      </c>
      <c r="C39" s="479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>
        <f ca="1"/>
        <v>1.34326829619047E-4</v>
      </c>
      <c r="J39" s="413">
        <f ca="1"/>
        <v>4.5636888432639799E-4</v>
      </c>
      <c r="K39" s="413">
        <f ca="1"/>
        <v>0.29433827377892702</v>
      </c>
      <c r="L39" s="413">
        <f ca="1"/>
        <v>0.29433827377892702</v>
      </c>
      <c r="M39" s="413">
        <f ca="1"/>
        <v>-1.20053995514024E-4</v>
      </c>
      <c r="N39" s="568" t="str">
        <f ca="1"/>
        <v>CARREFOUR_MMR.EUR.SU</v>
      </c>
      <c r="O39" s="413">
        <f ca="1"/>
        <v>1.20560262310591</v>
      </c>
      <c r="P39" s="413">
        <f ca="1"/>
        <v>0.782922781337414</v>
      </c>
      <c r="Q39" s="413">
        <f ca="1"/>
        <v>1.5398742402749599</v>
      </c>
      <c r="R39" s="452">
        <f ca="1"/>
        <v>1.5398742402749599</v>
      </c>
      <c r="S39" s="443"/>
      <c r="T39" s="422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3">
        <f ca="1"/>
        <v>1.04370361817953E-2</v>
      </c>
      <c r="V39" s="423">
        <f ca="1"/>
        <v>4.3359817519209497E-2</v>
      </c>
      <c r="W39" s="424">
        <f ca="1"/>
        <v>2.4070756702727E-3</v>
      </c>
      <c r="X39" s="425">
        <f ca="1"/>
        <v>4.3359817519209498</v>
      </c>
      <c r="Y39" s="426">
        <f t="shared" ca="1" si="11"/>
        <v>0.11841785389064301</v>
      </c>
      <c r="Z39" s="427">
        <f t="shared" ca="1" si="0"/>
        <v>-1.2359314256271924E-3</v>
      </c>
      <c r="AA39" s="426">
        <f t="shared" ca="1" si="1"/>
        <v>9.811275792630901E-2</v>
      </c>
      <c r="AB39" s="428">
        <f t="shared" ca="1" si="2"/>
        <v>2.2867218867590649E-3</v>
      </c>
      <c r="AC39" s="427">
        <f t="shared" ca="1" si="3"/>
        <v>-5.1200320218630689E-5</v>
      </c>
      <c r="AD39" s="79"/>
      <c r="AE39" s="496">
        <f t="shared" ca="1" si="4"/>
        <v>1.2898105262217701</v>
      </c>
      <c r="AF39" s="493">
        <f t="shared" ca="1" si="5"/>
        <v>1.2438032418552936</v>
      </c>
      <c r="AG39" s="493">
        <f t="shared" ca="1" si="6"/>
        <v>4.6007284366476497E-2</v>
      </c>
      <c r="AH39" s="498">
        <f t="shared" ca="1" si="7"/>
        <v>0</v>
      </c>
      <c r="AI39" s="497">
        <f t="shared" ca="1" si="12"/>
        <v>1.2898105262217701</v>
      </c>
      <c r="AJ39" s="493">
        <f t="shared" ca="1" si="8"/>
        <v>0.33784509177035682</v>
      </c>
      <c r="AK39" s="493">
        <f t="shared" ca="1" si="9"/>
        <v>0.95196543445141324</v>
      </c>
      <c r="AL39" s="498">
        <f t="shared" ca="1" si="10"/>
        <v>0</v>
      </c>
    </row>
    <row r="40" spans="1:38" customFormat="1" ht="1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>
        <f ca="1"/>
        <v>2.09368057513326E-4</v>
      </c>
      <c r="J40" s="413">
        <f ca="1"/>
        <v>4.3975291319850598E-4</v>
      </c>
      <c r="K40" s="413">
        <f ca="1"/>
        <v>0.47610385566409302</v>
      </c>
      <c r="L40" s="413">
        <f ca="1"/>
        <v>0.47610385566409302</v>
      </c>
      <c r="M40" s="413">
        <f ca="1"/>
        <v>-3.5467795265049502E-4</v>
      </c>
      <c r="N40" s="568" t="str">
        <f ca="1"/>
        <v>CASINOGUICHARD_MMR.EUR.SU</v>
      </c>
      <c r="O40" s="413">
        <f ca="1"/>
        <v>1.2004179336495999</v>
      </c>
      <c r="P40" s="413">
        <f ca="1"/>
        <v>0.76237953784844903</v>
      </c>
      <c r="Q40" s="413">
        <f ca="1"/>
        <v>1.5745673566178899</v>
      </c>
      <c r="R40" s="452">
        <f ca="1"/>
        <v>1.5745673566178899</v>
      </c>
      <c r="S40" s="443"/>
      <c r="T40" s="422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3">
        <f ca="1"/>
        <v>3.0448908299456699E-2</v>
      </c>
      <c r="V40" s="423">
        <f ca="1"/>
        <v>4.2828446147905999E-2</v>
      </c>
      <c r="W40" s="424">
        <f ca="1"/>
        <v>7.1095057229727298E-3</v>
      </c>
      <c r="X40" s="425">
        <f ca="1"/>
        <v>4.2828446147905996</v>
      </c>
      <c r="Y40" s="426">
        <f t="shared" ca="1" si="11"/>
        <v>0.11841785389064301</v>
      </c>
      <c r="Z40" s="427">
        <f t="shared" ca="1" si="0"/>
        <v>-3.6056943741346512E-3</v>
      </c>
      <c r="AA40" s="426">
        <f t="shared" ca="1" si="1"/>
        <v>0.15870128522136434</v>
      </c>
      <c r="AB40" s="428">
        <f t="shared" ca="1" si="2"/>
        <v>6.7540304368240928E-3</v>
      </c>
      <c r="AC40" s="427">
        <f t="shared" ca="1" si="3"/>
        <v>-2.4161404403556265E-4</v>
      </c>
      <c r="AD40" s="79"/>
      <c r="AE40" s="496">
        <f t="shared" ca="1" si="4"/>
        <v>1.2807062339081801</v>
      </c>
      <c r="AF40" s="493">
        <f t="shared" ca="1" si="5"/>
        <v>1.2630049787727449</v>
      </c>
      <c r="AG40" s="493">
        <f t="shared" ca="1" si="6"/>
        <v>1.770125513543519E-2</v>
      </c>
      <c r="AH40" s="498">
        <f t="shared" ca="1" si="7"/>
        <v>0</v>
      </c>
      <c r="AI40" s="497">
        <f t="shared" ca="1" si="12"/>
        <v>1.2807062339081801</v>
      </c>
      <c r="AJ40" s="493">
        <f t="shared" ca="1" si="8"/>
        <v>0.48108823388418437</v>
      </c>
      <c r="AK40" s="493">
        <f t="shared" ca="1" si="9"/>
        <v>0.79961800002399563</v>
      </c>
      <c r="AL40" s="498">
        <f t="shared" ca="1" si="10"/>
        <v>0</v>
      </c>
    </row>
    <row r="41" spans="1:38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>
        <f ca="1"/>
        <v>1.3438630145301501E-4</v>
      </c>
      <c r="J41" s="413">
        <f ca="1"/>
        <v>4.5637047222155401E-4</v>
      </c>
      <c r="K41" s="413">
        <f ca="1"/>
        <v>0.29446756447418598</v>
      </c>
      <c r="L41" s="413">
        <f ca="1"/>
        <v>0.29446756447418598</v>
      </c>
      <c r="M41" s="413">
        <f ca="1"/>
        <v>-1.20146041169522E-4</v>
      </c>
      <c r="N41" s="568" t="str">
        <f ca="1"/>
        <v>CENTRICA_MMR.EUR.SU</v>
      </c>
      <c r="O41" s="413">
        <f ca="1"/>
        <v>1.2056005737023601</v>
      </c>
      <c r="P41" s="413">
        <f ca="1"/>
        <v>0.78292137425691699</v>
      </c>
      <c r="Q41" s="413">
        <f ca="1"/>
        <v>1.5398743901284</v>
      </c>
      <c r="R41" s="452">
        <f ca="1"/>
        <v>1.5398743901284</v>
      </c>
      <c r="S41" s="443"/>
      <c r="T41" s="422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3">
        <f ca="1"/>
        <v>1.04366221297638E-2</v>
      </c>
      <c r="V41" s="423">
        <f ca="1"/>
        <v>4.3357996386681003E-2</v>
      </c>
      <c r="W41" s="424">
        <f ca="1"/>
        <v>2.4070812767007402E-3</v>
      </c>
      <c r="X41" s="425">
        <f ca="1"/>
        <v>4.3357996386681004</v>
      </c>
      <c r="Y41" s="426">
        <f t="shared" ca="1" si="11"/>
        <v>0.11841785389064301</v>
      </c>
      <c r="Z41" s="427">
        <f t="shared" ca="1" si="0"/>
        <v>-1.2358823944742235E-3</v>
      </c>
      <c r="AA41" s="426">
        <f t="shared" ca="1" si="1"/>
        <v>9.8155854824728661E-2</v>
      </c>
      <c r="AB41" s="428">
        <f t="shared" ca="1" si="2"/>
        <v>2.286727212865703E-3</v>
      </c>
      <c r="AC41" s="427">
        <f t="shared" ca="1" si="3"/>
        <v>-5.1220778331482436E-5</v>
      </c>
      <c r="AD41" s="79"/>
      <c r="AE41" s="496">
        <f t="shared" ca="1" si="4"/>
        <v>1.2898071901385499</v>
      </c>
      <c r="AF41" s="493">
        <f t="shared" ca="1" si="5"/>
        <v>1.2438019148756492</v>
      </c>
      <c r="AG41" s="493">
        <f t="shared" ca="1" si="6"/>
        <v>4.6005275262900769E-2</v>
      </c>
      <c r="AH41" s="498">
        <f t="shared" ca="1" si="7"/>
        <v>0</v>
      </c>
      <c r="AI41" s="497">
        <f t="shared" ca="1" si="12"/>
        <v>1.2898071901385499</v>
      </c>
      <c r="AJ41" s="493">
        <f t="shared" ca="1" si="8"/>
        <v>0.33794075501680154</v>
      </c>
      <c r="AK41" s="493">
        <f t="shared" ca="1" si="9"/>
        <v>0.9518664351217484</v>
      </c>
      <c r="AL41" s="498">
        <f t="shared" ca="1" si="10"/>
        <v>0</v>
      </c>
    </row>
    <row r="42" spans="1:38" customFormat="1" ht="1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>
        <f ca="1"/>
        <v>1.87544542084961E-4</v>
      </c>
      <c r="J42" s="413">
        <f ca="1"/>
        <v>4.4596524081360603E-4</v>
      </c>
      <c r="K42" s="413">
        <f ca="1"/>
        <v>0.42053623224718201</v>
      </c>
      <c r="L42" s="413">
        <f ca="1"/>
        <v>0.42053623224718201</v>
      </c>
      <c r="M42" s="413">
        <f ca="1"/>
        <v>-2.7276984389170702E-4</v>
      </c>
      <c r="N42" s="568" t="str">
        <f ca="1"/>
        <v>CIBASC_MMR.EUR.SU</v>
      </c>
      <c r="O42" s="413">
        <f ca="1"/>
        <v>1.2027190882910199</v>
      </c>
      <c r="P42" s="413">
        <f ca="1"/>
        <v>0.77008041522940696</v>
      </c>
      <c r="Q42" s="413">
        <f ca="1"/>
        <v>1.56180973377012</v>
      </c>
      <c r="R42" s="452">
        <f ca="1"/>
        <v>1.56180973377012</v>
      </c>
      <c r="S42" s="443"/>
      <c r="T42" s="422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3">
        <f ca="1"/>
        <v>2.2955658501370199E-2</v>
      </c>
      <c r="V42" s="423">
        <f ca="1"/>
        <v>4.3036073730777301E-2</v>
      </c>
      <c r="W42" s="424">
        <f ca="1"/>
        <v>5.3340503701557298E-3</v>
      </c>
      <c r="X42" s="425">
        <f ca="1"/>
        <v>4.30360737307773</v>
      </c>
      <c r="Y42" s="426">
        <f t="shared" ca="1" si="11"/>
        <v>0.11841785389064301</v>
      </c>
      <c r="Z42" s="427">
        <f t="shared" ca="1" si="0"/>
        <v>-2.7183598143787524E-3</v>
      </c>
      <c r="AA42" s="426">
        <f t="shared" ca="1" si="1"/>
        <v>0.140178744082394</v>
      </c>
      <c r="AB42" s="428">
        <f t="shared" ca="1" si="2"/>
        <v>5.067347851647943E-3</v>
      </c>
      <c r="AC42" s="427">
        <f t="shared" ca="1" si="3"/>
        <v>-1.6089476891532041E-4</v>
      </c>
      <c r="AD42" s="79"/>
      <c r="AE42" s="496">
        <f t="shared" ca="1" si="4"/>
        <v>1.2845786237144901</v>
      </c>
      <c r="AF42" s="493">
        <f t="shared" ca="1" si="5"/>
        <v>1.2561023917510843</v>
      </c>
      <c r="AG42" s="493">
        <f t="shared" ca="1" si="6"/>
        <v>2.8476231963405763E-2</v>
      </c>
      <c r="AH42" s="498">
        <f t="shared" ca="1" si="7"/>
        <v>0</v>
      </c>
      <c r="AI42" s="497">
        <f t="shared" ca="1" si="12"/>
        <v>1.2845786237144901</v>
      </c>
      <c r="AJ42" s="493">
        <f t="shared" ca="1" si="8"/>
        <v>0.44047403040355032</v>
      </c>
      <c r="AK42" s="493">
        <f t="shared" ca="1" si="9"/>
        <v>0.84410459331093968</v>
      </c>
      <c r="AL42" s="498">
        <f t="shared" ca="1" si="10"/>
        <v>0</v>
      </c>
    </row>
    <row r="43" spans="1:38" customFormat="1" ht="1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>
        <f ca="1"/>
        <v>1.7665431549678299E-4</v>
      </c>
      <c r="J43" s="413">
        <f ca="1"/>
        <v>4.4901497862143901E-4</v>
      </c>
      <c r="K43" s="413">
        <f ca="1"/>
        <v>0.39342633076327499</v>
      </c>
      <c r="L43" s="413">
        <f ca="1"/>
        <v>0.39342633076327499</v>
      </c>
      <c r="M43" s="413">
        <f ca="1"/>
        <v>-2.33745121195539E-4</v>
      </c>
      <c r="N43" s="568" t="str">
        <f ca="1"/>
        <v>COMMERZBANK_MMR.EUR.SU</v>
      </c>
      <c r="O43" s="413">
        <f ca="1"/>
        <v>1.2035229127126601</v>
      </c>
      <c r="P43" s="413">
        <f ca="1"/>
        <v>0.77368210939437598</v>
      </c>
      <c r="Q43" s="413">
        <f ca="1"/>
        <v>1.5555780573170499</v>
      </c>
      <c r="R43" s="452">
        <f ca="1"/>
        <v>1.5555780573170499</v>
      </c>
      <c r="S43" s="443"/>
      <c r="T43" s="422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3">
        <f ca="1"/>
        <v>1.93640738822413E-2</v>
      </c>
      <c r="V43" s="423">
        <f ca="1"/>
        <v>4.3046183276617703E-2</v>
      </c>
      <c r="W43" s="424">
        <f ca="1"/>
        <v>4.49844153610703E-3</v>
      </c>
      <c r="X43" s="425">
        <f ca="1"/>
        <v>4.3046183276617702</v>
      </c>
      <c r="Y43" s="426">
        <f t="shared" ca="1" si="11"/>
        <v>0.11841785389064301</v>
      </c>
      <c r="Z43" s="427">
        <f t="shared" ca="1" si="0"/>
        <v>-2.2930520717148652E-3</v>
      </c>
      <c r="AA43" s="426">
        <f t="shared" ca="1" si="1"/>
        <v>0.13114211025442499</v>
      </c>
      <c r="AB43" s="428">
        <f t="shared" ca="1" si="2"/>
        <v>4.2735194593016782E-3</v>
      </c>
      <c r="AC43" s="427">
        <f t="shared" ca="1" si="3"/>
        <v>-1.2697227560198607E-4</v>
      </c>
      <c r="AD43" s="79"/>
      <c r="AE43" s="496">
        <f t="shared" ca="1" si="4"/>
        <v>1.2860463577847101</v>
      </c>
      <c r="AF43" s="493">
        <f t="shared" ca="1" si="5"/>
        <v>1.252601504750994</v>
      </c>
      <c r="AG43" s="493">
        <f t="shared" ca="1" si="6"/>
        <v>3.3444853033716138E-2</v>
      </c>
      <c r="AH43" s="498">
        <f t="shared" ca="1" si="7"/>
        <v>0</v>
      </c>
      <c r="AI43" s="497">
        <f t="shared" ca="1" si="12"/>
        <v>1.2860463577847101</v>
      </c>
      <c r="AJ43" s="493">
        <f t="shared" ca="1" si="8"/>
        <v>0.41889225194175306</v>
      </c>
      <c r="AK43" s="493">
        <f t="shared" ca="1" si="9"/>
        <v>0.86715410584295705</v>
      </c>
      <c r="AL43" s="498">
        <f t="shared" ca="1" si="10"/>
        <v>0</v>
      </c>
    </row>
    <row r="44" spans="1:38" customFormat="1" ht="1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>
        <f ca="1"/>
        <v>1.46057846185732E-4</v>
      </c>
      <c r="J44" s="413">
        <f ca="1"/>
        <v>4.54489635418951E-4</v>
      </c>
      <c r="K44" s="413">
        <f ca="1"/>
        <v>0.32136672611047601</v>
      </c>
      <c r="L44" s="413">
        <f ca="1"/>
        <v>0.32136672611047601</v>
      </c>
      <c r="M44" s="413">
        <f ca="1"/>
        <v>-1.4834689136997701E-4</v>
      </c>
      <c r="N44" s="568" t="str">
        <f ca="1"/>
        <v>COMPASS_MMR.EUR.SU</v>
      </c>
      <c r="O44" s="413">
        <f ca="1"/>
        <v>1.2051930793836101</v>
      </c>
      <c r="P44" s="413">
        <f ca="1"/>
        <v>0.780619094053003</v>
      </c>
      <c r="Q44" s="413">
        <f ca="1"/>
        <v>1.54389392799272</v>
      </c>
      <c r="R44" s="452">
        <f ca="1"/>
        <v>1.54389392799272</v>
      </c>
      <c r="S44" s="443"/>
      <c r="T44" s="422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3">
        <f ca="1"/>
        <v>1.26893666252424E-2</v>
      </c>
      <c r="V44" s="423">
        <f ca="1"/>
        <v>4.3308460678245002E-2</v>
      </c>
      <c r="W44" s="424">
        <f ca="1"/>
        <v>2.9299971475588902E-3</v>
      </c>
      <c r="X44" s="425">
        <f ca="1"/>
        <v>4.3308460678245</v>
      </c>
      <c r="Y44" s="426">
        <f t="shared" ca="1" si="11"/>
        <v>0.11841785389064301</v>
      </c>
      <c r="Z44" s="427">
        <f t="shared" ca="1" si="0"/>
        <v>-1.5026475629927589E-3</v>
      </c>
      <c r="AA44" s="426">
        <f t="shared" ca="1" si="1"/>
        <v>0.10712224203682534</v>
      </c>
      <c r="AB44" s="428">
        <f t="shared" ca="1" si="2"/>
        <v>2.7834972901809455E-3</v>
      </c>
      <c r="AC44" s="427">
        <f t="shared" ca="1" si="3"/>
        <v>-6.7965670146161698E-5</v>
      </c>
      <c r="AD44" s="79"/>
      <c r="AE44" s="496">
        <f t="shared" ca="1" si="4"/>
        <v>1.2890203782463701</v>
      </c>
      <c r="AF44" s="493">
        <f t="shared" ca="1" si="5"/>
        <v>1.2461144666592332</v>
      </c>
      <c r="AG44" s="493">
        <f t="shared" ca="1" si="6"/>
        <v>4.2905911587136858E-2</v>
      </c>
      <c r="AH44" s="498">
        <f t="shared" ca="1" si="7"/>
        <v>0</v>
      </c>
      <c r="AI44" s="497">
        <f t="shared" ca="1" si="12"/>
        <v>1.2890203782463701</v>
      </c>
      <c r="AJ44" s="493">
        <f t="shared" ca="1" si="8"/>
        <v>0.36126268294849068</v>
      </c>
      <c r="AK44" s="493">
        <f t="shared" ca="1" si="9"/>
        <v>0.92775769529787944</v>
      </c>
      <c r="AL44" s="498">
        <f t="shared" ca="1" si="10"/>
        <v>0</v>
      </c>
    </row>
    <row r="45" spans="1:38" customFormat="1" ht="1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>
        <f ca="1"/>
        <v>1.9897813868612399E-4</v>
      </c>
      <c r="J45" s="413">
        <f ca="1"/>
        <v>4.4307571171595301E-4</v>
      </c>
      <c r="K45" s="413">
        <f ca="1"/>
        <v>0.44908383245724998</v>
      </c>
      <c r="L45" s="413">
        <f ca="1"/>
        <v>0.44908383245724998</v>
      </c>
      <c r="M45" s="413">
        <f ca="1"/>
        <v>-3.13404498529679E-4</v>
      </c>
      <c r="N45" s="568" t="str">
        <f ca="1"/>
        <v>CONTINENTAL_MMR.EUR.SU</v>
      </c>
      <c r="O45" s="413">
        <f ca="1"/>
        <v>1.2016249009828801</v>
      </c>
      <c r="P45" s="413">
        <f ca="1"/>
        <v>0.76643293823422698</v>
      </c>
      <c r="Q45" s="413">
        <f ca="1"/>
        <v>1.5678147963620701</v>
      </c>
      <c r="R45" s="452">
        <f ca="1"/>
        <v>1.5678147963620701</v>
      </c>
      <c r="S45" s="443"/>
      <c r="T45" s="422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3">
        <f ca="1"/>
        <v>2.6471783129344201E-2</v>
      </c>
      <c r="V45" s="423">
        <f ca="1"/>
        <v>4.2904721363571201E-2</v>
      </c>
      <c r="W45" s="424">
        <f ca="1"/>
        <v>6.1698997891221404E-3</v>
      </c>
      <c r="X45" s="425">
        <f ca="1"/>
        <v>4.2904721363571197</v>
      </c>
      <c r="Y45" s="426">
        <f t="shared" ca="1" si="11"/>
        <v>0.11841785389064301</v>
      </c>
      <c r="Z45" s="427">
        <f t="shared" ca="1" si="0"/>
        <v>-3.1347317468354715E-3</v>
      </c>
      <c r="AA45" s="426">
        <f t="shared" ca="1" si="1"/>
        <v>0.14969461081908333</v>
      </c>
      <c r="AB45" s="428">
        <f t="shared" ca="1" si="2"/>
        <v>5.8614047996660328E-3</v>
      </c>
      <c r="AC45" s="427">
        <f t="shared" ca="1" si="3"/>
        <v>-1.9813416366171828E-4</v>
      </c>
      <c r="AD45" s="79"/>
      <c r="AE45" s="496">
        <f t="shared" ca="1" si="4"/>
        <v>1.2827346542598801</v>
      </c>
      <c r="AF45" s="493">
        <f t="shared" ca="1" si="5"/>
        <v>1.2593400268029793</v>
      </c>
      <c r="AG45" s="493">
        <f t="shared" ca="1" si="6"/>
        <v>2.3394627456900796E-2</v>
      </c>
      <c r="AH45" s="498">
        <f t="shared" ca="1" si="7"/>
        <v>0</v>
      </c>
      <c r="AI45" s="497">
        <f t="shared" ca="1" si="12"/>
        <v>1.2827346542598801</v>
      </c>
      <c r="AJ45" s="493">
        <f t="shared" ca="1" si="8"/>
        <v>0.46146080540630752</v>
      </c>
      <c r="AK45" s="493">
        <f t="shared" ca="1" si="9"/>
        <v>0.82127384885357257</v>
      </c>
      <c r="AL45" s="498">
        <f t="shared" ca="1" si="10"/>
        <v>0</v>
      </c>
    </row>
    <row r="46" spans="1:38" customFormat="1" ht="1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>
        <f ca="1"/>
        <v>1.51133853236285E-4</v>
      </c>
      <c r="J46" s="413">
        <f ca="1"/>
        <v>4.5376329534294898E-4</v>
      </c>
      <c r="K46" s="413">
        <f ca="1"/>
        <v>0.333067603279943</v>
      </c>
      <c r="L46" s="413">
        <f ca="1"/>
        <v>0.333067603279943</v>
      </c>
      <c r="M46" s="413">
        <f ca="1"/>
        <v>-1.60598579589722E-4</v>
      </c>
      <c r="N46" s="568" t="str">
        <f ca="1"/>
        <v>CREDITAGRICOLE_MMR.EUR.SU</v>
      </c>
      <c r="O46" s="413">
        <f ca="1"/>
        <v>1.20498236755944</v>
      </c>
      <c r="P46" s="413">
        <f ca="1"/>
        <v>0.77968227059539996</v>
      </c>
      <c r="Q46" s="413">
        <f ca="1"/>
        <v>1.5454787328167201</v>
      </c>
      <c r="R46" s="452">
        <f ca="1"/>
        <v>1.5454787328167201</v>
      </c>
      <c r="S46" s="443"/>
      <c r="T46" s="422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3">
        <f ca="1"/>
        <v>1.35812711181906E-2</v>
      </c>
      <c r="V46" s="423">
        <f ca="1"/>
        <v>4.3263541713590398E-2</v>
      </c>
      <c r="W46" s="424">
        <f ca="1"/>
        <v>3.1391954010839399E-3</v>
      </c>
      <c r="X46" s="425">
        <f ca="1"/>
        <v>4.3263541713590401</v>
      </c>
      <c r="Y46" s="426">
        <f t="shared" ca="1" si="11"/>
        <v>0.11841785389064301</v>
      </c>
      <c r="Z46" s="427">
        <f t="shared" ca="1" si="0"/>
        <v>-1.6082649789231063E-3</v>
      </c>
      <c r="AA46" s="426">
        <f t="shared" ca="1" si="1"/>
        <v>0.11102253442664767</v>
      </c>
      <c r="AB46" s="428">
        <f t="shared" ca="1" si="2"/>
        <v>2.982235631029743E-3</v>
      </c>
      <c r="AC46" s="427">
        <f t="shared" ca="1" si="3"/>
        <v>-7.5391357013847668E-5</v>
      </c>
      <c r="AD46" s="79"/>
      <c r="AE46" s="496">
        <f t="shared" ca="1" si="4"/>
        <v>1.28863622128693</v>
      </c>
      <c r="AF46" s="493">
        <f t="shared" ca="1" si="5"/>
        <v>1.2469987938244325</v>
      </c>
      <c r="AG46" s="493">
        <f t="shared" ca="1" si="6"/>
        <v>4.1637427462497545E-2</v>
      </c>
      <c r="AH46" s="498">
        <f t="shared" ca="1" si="7"/>
        <v>0</v>
      </c>
      <c r="AI46" s="497">
        <f t="shared" ca="1" si="12"/>
        <v>1.28863622128693</v>
      </c>
      <c r="AJ46" s="493">
        <f t="shared" ca="1" si="8"/>
        <v>0.37081466233825244</v>
      </c>
      <c r="AK46" s="493">
        <f t="shared" ca="1" si="9"/>
        <v>0.91782155894867756</v>
      </c>
      <c r="AL46" s="498">
        <f t="shared" ca="1" si="10"/>
        <v>0</v>
      </c>
    </row>
    <row r="47" spans="1:38" customFormat="1" ht="1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>
        <f ca="1"/>
        <v>1.8389564084497699E-4</v>
      </c>
      <c r="J47" s="413">
        <f ca="1"/>
        <v>4.4712205600068802E-4</v>
      </c>
      <c r="K47" s="413">
        <f ca="1"/>
        <v>0.41128733950153001</v>
      </c>
      <c r="L47" s="413">
        <f ca="1"/>
        <v>0.41128733950153001</v>
      </c>
      <c r="M47" s="413">
        <f ca="1"/>
        <v>-2.5882541439126199E-4</v>
      </c>
      <c r="N47" s="568" t="str">
        <f ca="1"/>
        <v>CREDITSUISSEGROUP_MMR.EUR.SU</v>
      </c>
      <c r="O47" s="413">
        <f ca="1"/>
        <v>1.2030136909367399</v>
      </c>
      <c r="P47" s="413">
        <f ca="1"/>
        <v>0.77142376555375503</v>
      </c>
      <c r="Q47" s="413">
        <f ca="1"/>
        <v>1.5594719072119501</v>
      </c>
      <c r="R47" s="452">
        <f ca="1"/>
        <v>1.5594719072119501</v>
      </c>
      <c r="S47" s="443"/>
      <c r="T47" s="422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3">
        <f ca="1"/>
        <v>2.1602749399047001E-2</v>
      </c>
      <c r="V47" s="423">
        <f ca="1"/>
        <v>4.3026514952801798E-2</v>
      </c>
      <c r="W47" s="424">
        <f ca="1"/>
        <v>5.0207992496590203E-3</v>
      </c>
      <c r="X47" s="425">
        <f ca="1"/>
        <v>4.3026514952801804</v>
      </c>
      <c r="Y47" s="426">
        <f t="shared" ca="1" si="11"/>
        <v>0.11841785389064301</v>
      </c>
      <c r="Z47" s="427">
        <f t="shared" ca="1" si="0"/>
        <v>-2.5581512219725227E-3</v>
      </c>
      <c r="AA47" s="426">
        <f t="shared" ca="1" si="1"/>
        <v>0.13709577983384333</v>
      </c>
      <c r="AB47" s="428">
        <f t="shared" ca="1" si="2"/>
        <v>4.7697592871760687E-3</v>
      </c>
      <c r="AC47" s="427">
        <f t="shared" ca="1" si="3"/>
        <v>-1.4808228877087224E-4</v>
      </c>
      <c r="AD47" s="79"/>
      <c r="AE47" s="496">
        <f t="shared" ca="1" si="4"/>
        <v>1.28511708333787</v>
      </c>
      <c r="AF47" s="493">
        <f t="shared" ca="1" si="5"/>
        <v>1.2547831116954413</v>
      </c>
      <c r="AG47" s="493">
        <f t="shared" ca="1" si="6"/>
        <v>3.0333971642428681E-2</v>
      </c>
      <c r="AH47" s="498">
        <f t="shared" ca="1" si="7"/>
        <v>0</v>
      </c>
      <c r="AI47" s="497">
        <f t="shared" ca="1" si="12"/>
        <v>1.28511708333787</v>
      </c>
      <c r="AJ47" s="493">
        <f t="shared" ca="1" si="8"/>
        <v>0.43309793818139619</v>
      </c>
      <c r="AK47" s="493">
        <f t="shared" ca="1" si="9"/>
        <v>0.85201914515647381</v>
      </c>
      <c r="AL47" s="498">
        <f t="shared" ca="1" si="10"/>
        <v>0</v>
      </c>
    </row>
    <row r="48" spans="1:38" customFormat="1" ht="1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>
        <f ca="1"/>
        <v>1.4557296349637601E-4</v>
      </c>
      <c r="J48" s="413">
        <f ca="1"/>
        <v>4.5492292760466899E-4</v>
      </c>
      <c r="K48" s="413">
        <f ca="1"/>
        <v>0.31999478299075701</v>
      </c>
      <c r="L48" s="413">
        <f ca="1"/>
        <v>0.31999478299075701</v>
      </c>
      <c r="M48" s="413">
        <f ca="1"/>
        <v>-1.4508238164134899E-4</v>
      </c>
      <c r="N48" s="568" t="str">
        <f ca="1"/>
        <v>DAIMLERCHRYSLER_MMR.EUR.SU</v>
      </c>
      <c r="O48" s="413">
        <f ca="1"/>
        <v>1.20518742824541</v>
      </c>
      <c r="P48" s="413">
        <f ca="1"/>
        <v>0.781036305281673</v>
      </c>
      <c r="Q48" s="413">
        <f ca="1"/>
        <v>1.5430619807241499</v>
      </c>
      <c r="R48" s="452">
        <f ca="1"/>
        <v>1.5430619807241499</v>
      </c>
      <c r="S48" s="443"/>
      <c r="T48" s="422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3">
        <f ca="1"/>
        <v>1.22232232693233E-2</v>
      </c>
      <c r="V48" s="423">
        <f ca="1"/>
        <v>4.3259528550996601E-2</v>
      </c>
      <c r="W48" s="424">
        <f ca="1"/>
        <v>2.8255562829155498E-3</v>
      </c>
      <c r="X48" s="425">
        <f ca="1"/>
        <v>4.3259528550996604</v>
      </c>
      <c r="Y48" s="426">
        <f t="shared" ca="1" si="11"/>
        <v>0.11841785389064301</v>
      </c>
      <c r="Z48" s="427">
        <f t="shared" ca="1" si="0"/>
        <v>-1.4474478671794352E-3</v>
      </c>
      <c r="AA48" s="426">
        <f t="shared" ca="1" si="1"/>
        <v>0.10666492766358567</v>
      </c>
      <c r="AB48" s="428">
        <f t="shared" ca="1" si="2"/>
        <v>2.6842784687697721E-3</v>
      </c>
      <c r="AC48" s="427">
        <f t="shared" ca="1" si="3"/>
        <v>-6.5189461291911464E-5</v>
      </c>
      <c r="AD48" s="79"/>
      <c r="AE48" s="496">
        <f t="shared" ca="1" si="4"/>
        <v>1.28905493363351</v>
      </c>
      <c r="AF48" s="493">
        <f t="shared" ca="1" si="5"/>
        <v>1.2455903956679484</v>
      </c>
      <c r="AG48" s="493">
        <f t="shared" ca="1" si="6"/>
        <v>4.34645379655616E-2</v>
      </c>
      <c r="AH48" s="498">
        <f t="shared" ca="1" si="7"/>
        <v>0</v>
      </c>
      <c r="AI48" s="497">
        <f t="shared" ca="1" si="12"/>
        <v>1.28905493363351</v>
      </c>
      <c r="AJ48" s="493">
        <f t="shared" ca="1" si="8"/>
        <v>0.35913211969847186</v>
      </c>
      <c r="AK48" s="493">
        <f t="shared" ca="1" si="9"/>
        <v>0.92992281393503817</v>
      </c>
      <c r="AL48" s="498">
        <f t="shared" ca="1" si="10"/>
        <v>0</v>
      </c>
    </row>
    <row r="49" spans="1:38" customFormat="1" ht="1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>
        <f ca="1"/>
        <v>1.44157899113662E-4</v>
      </c>
      <c r="J49" s="413">
        <f ca="1"/>
        <v>4.548760330241E-4</v>
      </c>
      <c r="K49" s="413">
        <f ca="1"/>
        <v>0.31691689306045301</v>
      </c>
      <c r="L49" s="413">
        <f ca="1"/>
        <v>0.31691689306045301</v>
      </c>
      <c r="M49" s="413">
        <f ca="1"/>
        <v>-1.43004353106191E-4</v>
      </c>
      <c r="N49" s="568" t="str">
        <f ca="1"/>
        <v>DANONE_MMR.EUR.SU</v>
      </c>
      <c r="O49" s="413">
        <f ca="1"/>
        <v>1.2052662098301901</v>
      </c>
      <c r="P49" s="413">
        <f ca="1"/>
        <v>0.781075017585246</v>
      </c>
      <c r="Q49" s="413">
        <f ca="1"/>
        <v>1.54308636519494</v>
      </c>
      <c r="R49" s="452">
        <f ca="1"/>
        <v>1.54308636519494</v>
      </c>
      <c r="S49" s="443"/>
      <c r="T49" s="422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3">
        <f ca="1"/>
        <v>1.2237839536750001E-2</v>
      </c>
      <c r="V49" s="423">
        <f ca="1"/>
        <v>4.3312857121996298E-2</v>
      </c>
      <c r="W49" s="424">
        <f ca="1"/>
        <v>2.8254519211883301E-3</v>
      </c>
      <c r="X49" s="425">
        <f ca="1"/>
        <v>4.3312857121996302</v>
      </c>
      <c r="Y49" s="426">
        <f t="shared" ca="1" si="11"/>
        <v>0.11841785389064301</v>
      </c>
      <c r="Z49" s="427">
        <f t="shared" ca="1" si="0"/>
        <v>-1.4491786941999969E-3</v>
      </c>
      <c r="AA49" s="426">
        <f t="shared" ca="1" si="1"/>
        <v>0.10563896435348434</v>
      </c>
      <c r="AB49" s="428">
        <f t="shared" ca="1" si="2"/>
        <v>2.6841793251289135E-3</v>
      </c>
      <c r="AC49" s="427">
        <f t="shared" ca="1" si="3"/>
        <v>-6.463963472931986E-5</v>
      </c>
      <c r="AD49" s="79"/>
      <c r="AE49" s="496">
        <f t="shared" ca="1" si="4"/>
        <v>1.28916690257983</v>
      </c>
      <c r="AF49" s="493">
        <f t="shared" ca="1" si="5"/>
        <v>1.2456462375656492</v>
      </c>
      <c r="AG49" s="493">
        <f t="shared" ca="1" si="6"/>
        <v>4.3520665014180837E-2</v>
      </c>
      <c r="AH49" s="498">
        <f t="shared" ca="1" si="7"/>
        <v>0</v>
      </c>
      <c r="AI49" s="497">
        <f t="shared" ca="1" si="12"/>
        <v>1.28916690257983</v>
      </c>
      <c r="AJ49" s="493">
        <f t="shared" ca="1" si="8"/>
        <v>0.35726633965960281</v>
      </c>
      <c r="AK49" s="493">
        <f t="shared" ca="1" si="9"/>
        <v>0.93190056292022727</v>
      </c>
      <c r="AL49" s="498">
        <f t="shared" ca="1" si="10"/>
        <v>0</v>
      </c>
    </row>
    <row r="50" spans="1:38" customFormat="1" ht="1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>
        <f ca="1"/>
        <v>1.7325407442265699E-4</v>
      </c>
      <c r="J50" s="413">
        <f ca="1"/>
        <v>4.4974898819169799E-4</v>
      </c>
      <c r="K50" s="413">
        <f ca="1"/>
        <v>0.38522393373080899</v>
      </c>
      <c r="L50" s="413">
        <f ca="1"/>
        <v>0.38522393373080899</v>
      </c>
      <c r="M50" s="413">
        <f ca="1"/>
        <v>-2.22919108700271E-4</v>
      </c>
      <c r="N50" s="568" t="str">
        <f ca="1"/>
        <v>DEUTSCHEBANK_MMR.EUR.SU</v>
      </c>
      <c r="O50" s="413">
        <f ca="1"/>
        <v>1.2037559915235001</v>
      </c>
      <c r="P50" s="413">
        <f ca="1"/>
        <v>0.774599277503081</v>
      </c>
      <c r="Q50" s="413">
        <f ca="1"/>
        <v>1.5540370698560499</v>
      </c>
      <c r="R50" s="452">
        <f ca="1"/>
        <v>1.5540370698560499</v>
      </c>
      <c r="S50" s="443"/>
      <c r="T50" s="422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3">
        <f ca="1"/>
        <v>1.8477172196665101E-2</v>
      </c>
      <c r="V50" s="423">
        <f ca="1"/>
        <v>4.3076449699745598E-2</v>
      </c>
      <c r="W50" s="424">
        <f ca="1"/>
        <v>4.2893906822535199E-3</v>
      </c>
      <c r="X50" s="425">
        <f ca="1"/>
        <v>4.30764496997456</v>
      </c>
      <c r="Y50" s="426">
        <f t="shared" ca="1" si="11"/>
        <v>0.11841785389064301</v>
      </c>
      <c r="Z50" s="427">
        <f t="shared" ca="1" si="0"/>
        <v>-2.188027077496942E-3</v>
      </c>
      <c r="AA50" s="426">
        <f t="shared" ca="1" si="1"/>
        <v>0.12840797791026967</v>
      </c>
      <c r="AB50" s="428">
        <f t="shared" ca="1" si="2"/>
        <v>4.0749211481408438E-3</v>
      </c>
      <c r="AC50" s="427">
        <f t="shared" ca="1" si="3"/>
        <v>-1.1863081596368123E-4</v>
      </c>
      <c r="AD50" s="79"/>
      <c r="AE50" s="496">
        <f t="shared" ca="1" si="4"/>
        <v>1.28645654872319</v>
      </c>
      <c r="AF50" s="493">
        <f t="shared" ca="1" si="5"/>
        <v>1.2517518223269701</v>
      </c>
      <c r="AG50" s="493">
        <f t="shared" ca="1" si="6"/>
        <v>3.4704726396219909E-2</v>
      </c>
      <c r="AH50" s="498">
        <f t="shared" ca="1" si="7"/>
        <v>0</v>
      </c>
      <c r="AI50" s="497">
        <f t="shared" ca="1" si="12"/>
        <v>1.28645654872319</v>
      </c>
      <c r="AJ50" s="493">
        <f t="shared" ca="1" si="8"/>
        <v>0.41247028601447283</v>
      </c>
      <c r="AK50" s="493">
        <f t="shared" ca="1" si="9"/>
        <v>0.87398626270871715</v>
      </c>
      <c r="AL50" s="498">
        <f t="shared" ca="1" si="10"/>
        <v>0</v>
      </c>
    </row>
    <row r="51" spans="1:38" customFormat="1" ht="1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>
        <f ca="1"/>
        <v>1.36487794155938E-4</v>
      </c>
      <c r="J51" s="413">
        <f ca="1"/>
        <v>4.5598784990611899E-4</v>
      </c>
      <c r="K51" s="413">
        <f ca="1"/>
        <v>0.29932331351381097</v>
      </c>
      <c r="L51" s="413">
        <f ca="1"/>
        <v>0.29932331351381097</v>
      </c>
      <c r="M51" s="413">
        <f ca="1"/>
        <v>-1.25252243448104E-4</v>
      </c>
      <c r="N51" s="568" t="str">
        <f ca="1"/>
        <v>DEUTSCHEPOSTAG_MMR.EUR.SU</v>
      </c>
      <c r="O51" s="413">
        <f ca="1"/>
        <v>1.2055345500374799</v>
      </c>
      <c r="P51" s="413">
        <f ca="1"/>
        <v>0.78246992401771598</v>
      </c>
      <c r="Q51" s="413">
        <f ca="1"/>
        <v>1.5406784504220601</v>
      </c>
      <c r="R51" s="452">
        <f ca="1"/>
        <v>1.5406784504220601</v>
      </c>
      <c r="S51" s="443"/>
      <c r="T51" s="422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3">
        <f ca="1"/>
        <v>1.08907297282626E-2</v>
      </c>
      <c r="V51" s="423">
        <f ca="1"/>
        <v>4.3360653745978202E-2</v>
      </c>
      <c r="W51" s="424">
        <f ca="1"/>
        <v>2.5116617918319001E-3</v>
      </c>
      <c r="X51" s="425">
        <f ca="1"/>
        <v>4.3360653745978199</v>
      </c>
      <c r="Y51" s="426">
        <f t="shared" ca="1" si="11"/>
        <v>0.11841785389064301</v>
      </c>
      <c r="Z51" s="427">
        <f t="shared" ca="1" si="0"/>
        <v>-1.2896568417238852E-3</v>
      </c>
      <c r="AA51" s="426">
        <f t="shared" ca="1" si="1"/>
        <v>9.9774437837936991E-2</v>
      </c>
      <c r="AB51" s="428">
        <f t="shared" ca="1" si="2"/>
        <v>2.3860787022403048E-3</v>
      </c>
      <c r="AC51" s="427">
        <f t="shared" ca="1" si="3"/>
        <v>-5.4330821814115677E-5</v>
      </c>
      <c r="AD51" s="79"/>
      <c r="AE51" s="496">
        <f t="shared" ca="1" si="4"/>
        <v>1.2896746418351399</v>
      </c>
      <c r="AF51" s="493">
        <f t="shared" ca="1" si="5"/>
        <v>1.244274874006609</v>
      </c>
      <c r="AG51" s="493">
        <f t="shared" ca="1" si="6"/>
        <v>4.5399767828530946E-2</v>
      </c>
      <c r="AH51" s="498">
        <f t="shared" ca="1" si="7"/>
        <v>0</v>
      </c>
      <c r="AI51" s="497">
        <f t="shared" ca="1" si="12"/>
        <v>1.2896746418351399</v>
      </c>
      <c r="AJ51" s="493">
        <f t="shared" ca="1" si="8"/>
        <v>0.34231280395935615</v>
      </c>
      <c r="AK51" s="493">
        <f t="shared" ca="1" si="9"/>
        <v>0.94736183787578376</v>
      </c>
      <c r="AL51" s="498">
        <f t="shared" ca="1" si="10"/>
        <v>0</v>
      </c>
    </row>
    <row r="52" spans="1:38" customFormat="1" ht="1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>
        <f ca="1"/>
        <v>1.6894293303737501E-4</v>
      </c>
      <c r="J52" s="413">
        <f ca="1"/>
        <v>4.5043280338062202E-4</v>
      </c>
      <c r="K52" s="413">
        <f ca="1"/>
        <v>0.37506800519280997</v>
      </c>
      <c r="L52" s="413">
        <f ca="1"/>
        <v>0.37506800519280997</v>
      </c>
      <c r="M52" s="413">
        <f ca="1"/>
        <v>-2.1064546952023199E-4</v>
      </c>
      <c r="N52" s="568" t="str">
        <f ca="1"/>
        <v>DEUTSCHETELEKOM_MMR.EUR.SU</v>
      </c>
      <c r="O52" s="413">
        <f ca="1"/>
        <v>1.2040605618982201</v>
      </c>
      <c r="P52" s="413">
        <f ca="1"/>
        <v>0.77554391828493996</v>
      </c>
      <c r="Q52" s="413">
        <f ca="1"/>
        <v>1.55253691442893</v>
      </c>
      <c r="R52" s="452">
        <f ca="1"/>
        <v>1.55253691442893</v>
      </c>
      <c r="S52" s="443"/>
      <c r="T52" s="422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3">
        <f ca="1"/>
        <v>1.7605761898049601E-2</v>
      </c>
      <c r="V52" s="423">
        <f ca="1"/>
        <v>4.3149680182989598E-2</v>
      </c>
      <c r="W52" s="424">
        <f ca="1"/>
        <v>4.08016046083932E-3</v>
      </c>
      <c r="X52" s="425">
        <f ca="1"/>
        <v>4.31496801829896</v>
      </c>
      <c r="Y52" s="426">
        <f t="shared" ca="1" si="11"/>
        <v>0.11841785389064301</v>
      </c>
      <c r="Z52" s="427">
        <f t="shared" ca="1" si="0"/>
        <v>-2.0848365400766887E-3</v>
      </c>
      <c r="AA52" s="426">
        <f t="shared" ca="1" si="1"/>
        <v>0.12502266839760331</v>
      </c>
      <c r="AB52" s="428">
        <f t="shared" ca="1" si="2"/>
        <v>3.8761524377973538E-3</v>
      </c>
      <c r="AC52" s="427">
        <f t="shared" ca="1" si="3"/>
        <v>-1.100559665833509E-4</v>
      </c>
      <c r="AD52" s="79"/>
      <c r="AE52" s="496">
        <f t="shared" ca="1" si="4"/>
        <v>1.28696151734911</v>
      </c>
      <c r="AF52" s="493">
        <f t="shared" ca="1" si="5"/>
        <v>1.2509591304333401</v>
      </c>
      <c r="AG52" s="493">
        <f t="shared" ca="1" si="6"/>
        <v>3.6002386915769957E-2</v>
      </c>
      <c r="AH52" s="498">
        <f t="shared" ca="1" si="7"/>
        <v>0</v>
      </c>
      <c r="AI52" s="497">
        <f t="shared" ca="1" si="12"/>
        <v>1.28696151734911</v>
      </c>
      <c r="AJ52" s="493">
        <f t="shared" ca="1" si="8"/>
        <v>0.40488562701761283</v>
      </c>
      <c r="AK52" s="493">
        <f t="shared" ca="1" si="9"/>
        <v>0.88207589033149714</v>
      </c>
      <c r="AL52" s="498">
        <f t="shared" ca="1" si="10"/>
        <v>0</v>
      </c>
    </row>
    <row r="53" spans="1:38" customFormat="1" ht="1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>
        <f ca="1"/>
        <v>1.4830166560981801E-4</v>
      </c>
      <c r="J53" s="413">
        <f ca="1"/>
        <v>4.5411992387683398E-4</v>
      </c>
      <c r="K53" s="413">
        <f ca="1"/>
        <v>0.32656938797963903</v>
      </c>
      <c r="L53" s="413">
        <f ca="1"/>
        <v>0.32656938797963903</v>
      </c>
      <c r="M53" s="413">
        <f ca="1"/>
        <v>-1.53775418709023E-4</v>
      </c>
      <c r="N53" s="568" t="str">
        <f ca="1"/>
        <v>DIAGEO_MMR.EUR.SU</v>
      </c>
      <c r="O53" s="413">
        <f ca="1"/>
        <v>1.20510282167494</v>
      </c>
      <c r="P53" s="413">
        <f ca="1"/>
        <v>0.78016235770393605</v>
      </c>
      <c r="Q53" s="413">
        <f ca="1"/>
        <v>1.5446820905607801</v>
      </c>
      <c r="R53" s="452">
        <f ca="1"/>
        <v>1.5446820905607801</v>
      </c>
      <c r="S53" s="443"/>
      <c r="T53" s="422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3">
        <f ca="1"/>
        <v>1.3140652733980501E-2</v>
      </c>
      <c r="V53" s="423">
        <f ca="1"/>
        <v>4.3303010437916498E-2</v>
      </c>
      <c r="W53" s="424">
        <f ca="1"/>
        <v>3.03458179953106E-3</v>
      </c>
      <c r="X53" s="425">
        <f ca="1"/>
        <v>4.3303010437916498</v>
      </c>
      <c r="Y53" s="426">
        <f t="shared" ca="1" si="11"/>
        <v>0.11841785389064301</v>
      </c>
      <c r="Z53" s="427">
        <f t="shared" ca="1" si="0"/>
        <v>-1.5560878954801805E-3</v>
      </c>
      <c r="AA53" s="426">
        <f t="shared" ca="1" si="1"/>
        <v>0.10885646265987968</v>
      </c>
      <c r="AB53" s="428">
        <f t="shared" ca="1" si="2"/>
        <v>2.8828527095545067E-3</v>
      </c>
      <c r="AC53" s="427">
        <f t="shared" ca="1" si="3"/>
        <v>-7.1522248683149808E-5</v>
      </c>
      <c r="AD53" s="79"/>
      <c r="AE53" s="496">
        <f t="shared" ca="1" si="4"/>
        <v>1.2888540322906801</v>
      </c>
      <c r="AF53" s="493">
        <f t="shared" ca="1" si="5"/>
        <v>1.2465654086480891</v>
      </c>
      <c r="AG53" s="493">
        <f t="shared" ca="1" si="6"/>
        <v>4.2288623642591006E-2</v>
      </c>
      <c r="AH53" s="498">
        <f t="shared" ca="1" si="7"/>
        <v>0</v>
      </c>
      <c r="AI53" s="497">
        <f t="shared" ca="1" si="12"/>
        <v>1.2888540322906801</v>
      </c>
      <c r="AJ53" s="493">
        <f t="shared" ca="1" si="8"/>
        <v>0.36554598180941572</v>
      </c>
      <c r="AK53" s="493">
        <f t="shared" ca="1" si="9"/>
        <v>0.9233080504812643</v>
      </c>
      <c r="AL53" s="498">
        <f t="shared" ca="1" si="10"/>
        <v>0</v>
      </c>
    </row>
    <row r="54" spans="1:38" customFormat="1" ht="1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>
        <f ca="1"/>
        <v>2.2186152791032701E-4</v>
      </c>
      <c r="J54" s="413">
        <f ca="1"/>
        <v>4.3539720605568902E-4</v>
      </c>
      <c r="K54" s="413">
        <f ca="1"/>
        <v>0.50956121175005897</v>
      </c>
      <c r="L54" s="413">
        <f ca="1"/>
        <v>0.50956121175005897</v>
      </c>
      <c r="M54" s="413">
        <f ca="1"/>
        <v>-4.0688704551050599E-4</v>
      </c>
      <c r="N54" s="568" t="str">
        <f ca="1"/>
        <v>DIXONSGROUPPLC_MMR.EUR.SU</v>
      </c>
      <c r="O54" s="413">
        <f ca="1"/>
        <v>1.19860545108164</v>
      </c>
      <c r="P54" s="413">
        <f ca="1"/>
        <v>0.75699186693957699</v>
      </c>
      <c r="Q54" s="413">
        <f ca="1"/>
        <v>1.58337956248784</v>
      </c>
      <c r="R54" s="452">
        <f ca="1"/>
        <v>1.58337956248784</v>
      </c>
      <c r="S54" s="443"/>
      <c r="T54" s="422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3">
        <f ca="1"/>
        <v>3.5691840934311103E-2</v>
      </c>
      <c r="V54" s="423">
        <f ca="1"/>
        <v>4.2683707873887602E-2</v>
      </c>
      <c r="W54" s="424">
        <f ca="1"/>
        <v>8.3619354344204293E-3</v>
      </c>
      <c r="X54" s="425">
        <f ca="1"/>
        <v>4.2683707873887604</v>
      </c>
      <c r="Y54" s="426">
        <f t="shared" ca="1" si="11"/>
        <v>0.11841785389064301</v>
      </c>
      <c r="Z54" s="427">
        <f t="shared" ca="1" si="0"/>
        <v>-4.2265512048473243E-3</v>
      </c>
      <c r="AA54" s="426">
        <f t="shared" ca="1" si="1"/>
        <v>0.16985373725001965</v>
      </c>
      <c r="AB54" s="428">
        <f t="shared" ca="1" si="2"/>
        <v>7.9438386626994074E-3</v>
      </c>
      <c r="AC54" s="427">
        <f t="shared" ca="1" si="3"/>
        <v>-3.0311962860129902E-4</v>
      </c>
      <c r="AD54" s="79"/>
      <c r="AE54" s="496">
        <f t="shared" ca="1" si="4"/>
        <v>1.2777594956510301</v>
      </c>
      <c r="AF54" s="493">
        <f t="shared" ca="1" si="5"/>
        <v>1.267705586085069</v>
      </c>
      <c r="AG54" s="493">
        <f t="shared" ca="1" si="6"/>
        <v>1.0053909565961083E-2</v>
      </c>
      <c r="AH54" s="498">
        <f t="shared" ca="1" si="7"/>
        <v>0</v>
      </c>
      <c r="AI54" s="497">
        <f t="shared" ca="1" si="12"/>
        <v>1.2777594956510301</v>
      </c>
      <c r="AJ54" s="493">
        <f t="shared" ca="1" si="8"/>
        <v>0.50435337630284938</v>
      </c>
      <c r="AK54" s="493">
        <f t="shared" ca="1" si="9"/>
        <v>0.77340611934818071</v>
      </c>
      <c r="AL54" s="498">
        <f t="shared" ca="1" si="10"/>
        <v>0</v>
      </c>
    </row>
    <row r="55" spans="1:38" customFormat="1" ht="1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>
        <f ca="1"/>
        <v>1.4596101686179601E-4</v>
      </c>
      <c r="J55" s="413">
        <f ca="1"/>
        <v>4.5448868274906E-4</v>
      </c>
      <c r="K55" s="413">
        <f ca="1"/>
        <v>0.32115434861639103</v>
      </c>
      <c r="L55" s="413">
        <f ca="1"/>
        <v>0.32115434861639103</v>
      </c>
      <c r="M55" s="413">
        <f ca="1"/>
        <v>-1.4809929341375101E-4</v>
      </c>
      <c r="N55" s="568" t="str">
        <f ca="1"/>
        <v>DSM_MMR.EUR.SU</v>
      </c>
      <c r="O55" s="413">
        <f ca="1"/>
        <v>1.20519666006909</v>
      </c>
      <c r="P55" s="413">
        <f ca="1"/>
        <v>0.780623225877078</v>
      </c>
      <c r="Q55" s="413">
        <f ca="1"/>
        <v>1.54389034314855</v>
      </c>
      <c r="R55" s="452">
        <f ca="1"/>
        <v>1.54389034314855</v>
      </c>
      <c r="S55" s="443"/>
      <c r="T55" s="422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3">
        <f ca="1"/>
        <v>1.2691068923097E-2</v>
      </c>
      <c r="V55" s="423">
        <f ca="1"/>
        <v>4.3314294800174701E-2</v>
      </c>
      <c r="W55" s="424">
        <f ca="1"/>
        <v>2.9299955087912001E-3</v>
      </c>
      <c r="X55" s="425">
        <f ca="1"/>
        <v>4.3314294800174702</v>
      </c>
      <c r="Y55" s="426">
        <f t="shared" ca="1" si="11"/>
        <v>0.11841785389064301</v>
      </c>
      <c r="Z55" s="427">
        <f t="shared" ca="1" si="0"/>
        <v>-1.5028491454513796E-3</v>
      </c>
      <c r="AA55" s="426">
        <f t="shared" ca="1" si="1"/>
        <v>0.10705144953879701</v>
      </c>
      <c r="AB55" s="428">
        <f t="shared" ca="1" si="2"/>
        <v>2.7834957333516398E-3</v>
      </c>
      <c r="AC55" s="427">
        <f t="shared" ca="1" si="3"/>
        <v>-6.7929866220715727E-5</v>
      </c>
      <c r="AD55" s="79"/>
      <c r="AE55" s="496">
        <f t="shared" ca="1" si="4"/>
        <v>1.2890274124077601</v>
      </c>
      <c r="AF55" s="493">
        <f t="shared" ca="1" si="5"/>
        <v>1.2461157026882068</v>
      </c>
      <c r="AG55" s="493">
        <f t="shared" ca="1" si="6"/>
        <v>4.291170971955327E-2</v>
      </c>
      <c r="AH55" s="498">
        <f t="shared" ca="1" si="7"/>
        <v>0</v>
      </c>
      <c r="AI55" s="497">
        <f t="shared" ca="1" si="12"/>
        <v>1.2890274124077601</v>
      </c>
      <c r="AJ55" s="493">
        <f t="shared" ca="1" si="8"/>
        <v>0.36107332261619168</v>
      </c>
      <c r="AK55" s="493">
        <f t="shared" ca="1" si="9"/>
        <v>0.92795408979156835</v>
      </c>
      <c r="AL55" s="498">
        <f t="shared" ca="1" si="10"/>
        <v>0</v>
      </c>
    </row>
    <row r="56" spans="1:38" customFormat="1" ht="1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>
        <f ca="1"/>
        <v>1.4574911698852499E-4</v>
      </c>
      <c r="J56" s="413">
        <f ca="1"/>
        <v>4.5448509828863398E-4</v>
      </c>
      <c r="K56" s="413">
        <f ca="1"/>
        <v>0.32069063988532098</v>
      </c>
      <c r="L56" s="413">
        <f ca="1"/>
        <v>0.32069063988532098</v>
      </c>
      <c r="M56" s="413">
        <f ca="1"/>
        <v>-1.47740712931843E-4</v>
      </c>
      <c r="N56" s="568" t="str">
        <f ca="1"/>
        <v>EADS_MMR.EUR.SU</v>
      </c>
      <c r="O56" s="413">
        <f ca="1"/>
        <v>1.2052032302805</v>
      </c>
      <c r="P56" s="413">
        <f ca="1"/>
        <v>0.78062895487520201</v>
      </c>
      <c r="Q56" s="413">
        <f ca="1"/>
        <v>1.54388742917328</v>
      </c>
      <c r="R56" s="452">
        <f ca="1"/>
        <v>1.54388742917328</v>
      </c>
      <c r="S56" s="443"/>
      <c r="T56" s="422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3">
        <f ca="1"/>
        <v>1.26933859503201E-2</v>
      </c>
      <c r="V56" s="423">
        <f ca="1"/>
        <v>4.3322340825521902E-2</v>
      </c>
      <c r="W56" s="424">
        <f ca="1"/>
        <v>2.9299861707477799E-3</v>
      </c>
      <c r="X56" s="425">
        <f ca="1"/>
        <v>4.3322340825521897</v>
      </c>
      <c r="Y56" s="426">
        <f t="shared" ca="1" si="11"/>
        <v>0.11841785389064301</v>
      </c>
      <c r="Z56" s="427">
        <f t="shared" ca="1" si="0"/>
        <v>-1.5031235228425478E-3</v>
      </c>
      <c r="AA56" s="426">
        <f t="shared" ca="1" si="1"/>
        <v>0.10689687996177366</v>
      </c>
      <c r="AB56" s="428">
        <f t="shared" ca="1" si="2"/>
        <v>2.7834868622103907E-3</v>
      </c>
      <c r="AC56" s="427">
        <f t="shared" ca="1" si="3"/>
        <v>-6.7844167711991779E-5</v>
      </c>
      <c r="AD56" s="79"/>
      <c r="AE56" s="496">
        <f t="shared" ca="1" si="4"/>
        <v>1.2890388527143499</v>
      </c>
      <c r="AF56" s="493">
        <f t="shared" ca="1" si="5"/>
        <v>1.2461190373723254</v>
      </c>
      <c r="AG56" s="493">
        <f t="shared" ca="1" si="6"/>
        <v>4.2919815342024492E-2</v>
      </c>
      <c r="AH56" s="498">
        <f t="shared" ca="1" si="7"/>
        <v>0</v>
      </c>
      <c r="AI56" s="497">
        <f t="shared" ca="1" si="12"/>
        <v>1.2890388527143499</v>
      </c>
      <c r="AJ56" s="493">
        <f t="shared" ca="1" si="8"/>
        <v>0.36071544033730218</v>
      </c>
      <c r="AK56" s="493">
        <f t="shared" ca="1" si="9"/>
        <v>0.92832341237704774</v>
      </c>
      <c r="AL56" s="498">
        <f t="shared" ca="1" si="10"/>
        <v>0</v>
      </c>
    </row>
    <row r="57" spans="1:38" customFormat="1" ht="1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>
        <f ca="1"/>
        <v>1.2879318170595501E-4</v>
      </c>
      <c r="J57" s="413">
        <f ca="1"/>
        <v>4.5711451047089798E-4</v>
      </c>
      <c r="K57" s="413">
        <f ca="1"/>
        <v>0.28175255599144799</v>
      </c>
      <c r="L57" s="413">
        <f ca="1"/>
        <v>0.28175255599144799</v>
      </c>
      <c r="M57" s="413">
        <f ca="1"/>
        <v>-1.08273399947256E-4</v>
      </c>
      <c r="N57" s="568" t="str">
        <f ca="1"/>
        <v>EDF_MMR.EUR.SU</v>
      </c>
      <c r="O57" s="413">
        <f ca="1"/>
        <v>1.2057647020107101</v>
      </c>
      <c r="P57" s="413">
        <f ca="1"/>
        <v>0.78385277938892295</v>
      </c>
      <c r="Q57" s="413">
        <f ca="1"/>
        <v>1.53825403661986</v>
      </c>
      <c r="R57" s="452">
        <f ca="1"/>
        <v>1.53825403661986</v>
      </c>
      <c r="S57" s="443"/>
      <c r="T57" s="422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3">
        <f ca="1"/>
        <v>9.5363103138793592E-3</v>
      </c>
      <c r="V57" s="423">
        <f ca="1"/>
        <v>4.33890897028026E-2</v>
      </c>
      <c r="W57" s="424">
        <f ca="1"/>
        <v>2.1978590422613502E-3</v>
      </c>
      <c r="X57" s="425">
        <f ca="1"/>
        <v>4.3389089702802597</v>
      </c>
      <c r="Y57" s="426">
        <f t="shared" ca="1" si="11"/>
        <v>0.11841785389064301</v>
      </c>
      <c r="Z57" s="427">
        <f t="shared" ca="1" si="0"/>
        <v>-1.1292694014047972E-3</v>
      </c>
      <c r="AA57" s="426">
        <f t="shared" ca="1" si="1"/>
        <v>9.3917518663815994E-2</v>
      </c>
      <c r="AB57" s="428">
        <f t="shared" ca="1" si="2"/>
        <v>2.0879660901482826E-3</v>
      </c>
      <c r="AC57" s="427">
        <f t="shared" ca="1" si="3"/>
        <v>-4.4781330094385261E-5</v>
      </c>
      <c r="AD57" s="79"/>
      <c r="AE57" s="496">
        <f t="shared" ca="1" si="4"/>
        <v>1.2901240484324199</v>
      </c>
      <c r="AF57" s="493">
        <f t="shared" ca="1" si="5"/>
        <v>1.2428697846645582</v>
      </c>
      <c r="AG57" s="493">
        <f t="shared" ca="1" si="6"/>
        <v>4.7254263767861682E-2</v>
      </c>
      <c r="AH57" s="498">
        <f t="shared" ca="1" si="7"/>
        <v>0</v>
      </c>
      <c r="AI57" s="497">
        <f t="shared" ca="1" si="12"/>
        <v>1.2901240484324199</v>
      </c>
      <c r="AJ57" s="493">
        <f t="shared" ca="1" si="8"/>
        <v>0.32686756901679648</v>
      </c>
      <c r="AK57" s="493">
        <f t="shared" ca="1" si="9"/>
        <v>0.96325647941562342</v>
      </c>
      <c r="AL57" s="498">
        <f t="shared" ca="1" si="10"/>
        <v>0</v>
      </c>
    </row>
    <row r="58" spans="1:38" customFormat="1" ht="1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>
        <f ca="1"/>
        <v>1.5949534058068399E-4</v>
      </c>
      <c r="J58" s="413">
        <f ca="1"/>
        <v>4.5227897268497902E-4</v>
      </c>
      <c r="K58" s="413">
        <f ca="1"/>
        <v>0.35264814464805</v>
      </c>
      <c r="L58" s="413">
        <f ca="1"/>
        <v>0.35264814464805</v>
      </c>
      <c r="M58" s="413">
        <f ca="1"/>
        <v>-1.8316551898998101E-4</v>
      </c>
      <c r="N58" s="568" t="str">
        <f ca="1"/>
        <v>EDISON_MMR.EUR.SU</v>
      </c>
      <c r="O58" s="413">
        <f ca="1"/>
        <v>1.2045900705922299</v>
      </c>
      <c r="P58" s="413">
        <f ca="1"/>
        <v>0.77783926545470095</v>
      </c>
      <c r="Q58" s="413">
        <f ca="1"/>
        <v>1.54863623384719</v>
      </c>
      <c r="R58" s="452">
        <f ca="1"/>
        <v>1.54863623384719</v>
      </c>
      <c r="S58" s="443"/>
      <c r="T58" s="422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3">
        <f ca="1"/>
        <v>1.53722461847998E-2</v>
      </c>
      <c r="V58" s="423">
        <f ca="1"/>
        <v>4.3211511639500398E-2</v>
      </c>
      <c r="W58" s="424">
        <f ca="1"/>
        <v>3.5574423577322302E-3</v>
      </c>
      <c r="X58" s="425">
        <f ca="1"/>
        <v>4.3211511639500397</v>
      </c>
      <c r="Y58" s="426">
        <f t="shared" ca="1" si="11"/>
        <v>0.11841785389064301</v>
      </c>
      <c r="Z58" s="427">
        <f t="shared" ca="1" si="0"/>
        <v>-1.8203484026826171E-3</v>
      </c>
      <c r="AA58" s="426">
        <f t="shared" ca="1" si="1"/>
        <v>0.11754938154935</v>
      </c>
      <c r="AB58" s="428">
        <f t="shared" ca="1" si="2"/>
        <v>3.3795702398456183E-3</v>
      </c>
      <c r="AC58" s="427">
        <f t="shared" ca="1" si="3"/>
        <v>-9.0349901602378759E-5</v>
      </c>
      <c r="AD58" s="79"/>
      <c r="AE58" s="496">
        <f t="shared" ca="1" si="4"/>
        <v>1.2879139735577001</v>
      </c>
      <c r="AF58" s="493">
        <f t="shared" ca="1" si="5"/>
        <v>1.2487786895773028</v>
      </c>
      <c r="AG58" s="493">
        <f t="shared" ca="1" si="6"/>
        <v>3.913528398039734E-2</v>
      </c>
      <c r="AH58" s="498">
        <f t="shared" ca="1" si="7"/>
        <v>0</v>
      </c>
      <c r="AI58" s="497">
        <f t="shared" ca="1" si="12"/>
        <v>1.2879139735577001</v>
      </c>
      <c r="AJ58" s="493">
        <f t="shared" ca="1" si="8"/>
        <v>0.38690934584977565</v>
      </c>
      <c r="AK58" s="493">
        <f t="shared" ca="1" si="9"/>
        <v>0.90100462770792444</v>
      </c>
      <c r="AL58" s="498">
        <f t="shared" ca="1" si="10"/>
        <v>0</v>
      </c>
    </row>
    <row r="59" spans="1:38" customFormat="1" ht="1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>
        <f ca="1"/>
        <v>1.63649044181336E-4</v>
      </c>
      <c r="J59" s="413">
        <f ca="1"/>
        <v>4.5155123793283903E-4</v>
      </c>
      <c r="K59" s="413">
        <f ca="1"/>
        <v>0.36241522652115099</v>
      </c>
      <c r="L59" s="413">
        <f ca="1"/>
        <v>0.36241522652115099</v>
      </c>
      <c r="M59" s="413">
        <f ca="1"/>
        <v>-1.9468925419174901E-4</v>
      </c>
      <c r="N59" s="568" t="str">
        <f ca="1"/>
        <v>ELECTRICITEDEPORTUGAL_MMR.EUR.SU</v>
      </c>
      <c r="O59" s="413">
        <f ca="1"/>
        <v>1.20436585674768</v>
      </c>
      <c r="P59" s="413">
        <f ca="1"/>
        <v>0.77691266678624404</v>
      </c>
      <c r="Q59" s="413">
        <f ca="1"/>
        <v>1.5501946463681999</v>
      </c>
      <c r="R59" s="452">
        <f ca="1"/>
        <v>1.5501946463681999</v>
      </c>
      <c r="S59" s="443"/>
      <c r="T59" s="422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3">
        <f ca="1"/>
        <v>1.6262140656911499E-2</v>
      </c>
      <c r="V59" s="423">
        <f ca="1"/>
        <v>4.3174807443155501E-2</v>
      </c>
      <c r="W59" s="424">
        <f ca="1"/>
        <v>3.7665809345698701E-3</v>
      </c>
      <c r="X59" s="425">
        <f ca="1"/>
        <v>4.3174807443155503</v>
      </c>
      <c r="Y59" s="426">
        <f t="shared" ca="1" si="11"/>
        <v>0.11841785389064301</v>
      </c>
      <c r="Z59" s="427">
        <f t="shared" ca="1" si="0"/>
        <v>-1.9257277962592292E-3</v>
      </c>
      <c r="AA59" s="426">
        <f t="shared" ca="1" si="1"/>
        <v>0.12080507550705033</v>
      </c>
      <c r="AB59" s="428">
        <f t="shared" ca="1" si="2"/>
        <v>3.5782518878413765E-3</v>
      </c>
      <c r="AC59" s="427">
        <f t="shared" ca="1" si="3"/>
        <v>-9.8227456498223276E-5</v>
      </c>
      <c r="AD59" s="79"/>
      <c r="AE59" s="496">
        <f t="shared" ca="1" si="4"/>
        <v>1.2875144954209401</v>
      </c>
      <c r="AF59" s="493">
        <f t="shared" ca="1" si="5"/>
        <v>1.249642477207326</v>
      </c>
      <c r="AG59" s="493">
        <f t="shared" ca="1" si="6"/>
        <v>3.7872018213614078E-2</v>
      </c>
      <c r="AH59" s="498">
        <f t="shared" ca="1" si="7"/>
        <v>0</v>
      </c>
      <c r="AI59" s="497">
        <f t="shared" ca="1" si="12"/>
        <v>1.2875144954209401</v>
      </c>
      <c r="AJ59" s="493">
        <f t="shared" ca="1" si="8"/>
        <v>0.3946851866172435</v>
      </c>
      <c r="AK59" s="493">
        <f t="shared" ca="1" si="9"/>
        <v>0.8928293088036966</v>
      </c>
      <c r="AL59" s="498">
        <f t="shared" ca="1" si="10"/>
        <v>0</v>
      </c>
    </row>
    <row r="60" spans="1:38" customFormat="1" ht="1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>
        <f ca="1"/>
        <v>1.6035557664328899E-4</v>
      </c>
      <c r="J60" s="413">
        <f ca="1"/>
        <v>4.5186985054337502E-4</v>
      </c>
      <c r="K60" s="413">
        <f ca="1"/>
        <v>0.354871156928175</v>
      </c>
      <c r="L60" s="413">
        <f ca="1"/>
        <v>0.354871156928175</v>
      </c>
      <c r="M60" s="413">
        <f ca="1"/>
        <v>-1.8709798043718901E-4</v>
      </c>
      <c r="N60" s="568" t="str">
        <f ca="1"/>
        <v>ELECTROLUX_MMR.EUR.SU</v>
      </c>
      <c r="O60" s="413">
        <f ca="1"/>
        <v>1.2045457880694299</v>
      </c>
      <c r="P60" s="413">
        <f ca="1"/>
        <v>0.777406509842404</v>
      </c>
      <c r="Q60" s="413">
        <f ca="1"/>
        <v>1.54944134480378</v>
      </c>
      <c r="R60" s="452">
        <f ca="1"/>
        <v>1.54944134480378</v>
      </c>
      <c r="S60" s="443"/>
      <c r="T60" s="422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3">
        <f ca="1"/>
        <v>1.5834310616768401E-2</v>
      </c>
      <c r="V60" s="423">
        <f ca="1"/>
        <v>4.3240820459172102E-2</v>
      </c>
      <c r="W60" s="424">
        <f ca="1"/>
        <v>3.6618894943769901E-3</v>
      </c>
      <c r="X60" s="425">
        <f ca="1"/>
        <v>4.3240820459172102</v>
      </c>
      <c r="Y60" s="426">
        <f t="shared" ca="1" si="11"/>
        <v>0.11841785389064301</v>
      </c>
      <c r="Z60" s="427">
        <f t="shared" ca="1" si="0"/>
        <v>-1.8750650810755371E-3</v>
      </c>
      <c r="AA60" s="426">
        <f t="shared" ca="1" si="1"/>
        <v>0.118290385642725</v>
      </c>
      <c r="AB60" s="428">
        <f t="shared" ca="1" si="2"/>
        <v>3.4787950196581404E-3</v>
      </c>
      <c r="AC60" s="427">
        <f t="shared" ca="1" si="3"/>
        <v>-9.3652335462211494E-5</v>
      </c>
      <c r="AD60" s="79"/>
      <c r="AE60" s="496">
        <f t="shared" ca="1" si="4"/>
        <v>1.28781136111324</v>
      </c>
      <c r="AF60" s="493">
        <f t="shared" ca="1" si="5"/>
        <v>1.2492627837946659</v>
      </c>
      <c r="AG60" s="493">
        <f t="shared" ca="1" si="6"/>
        <v>3.8548577318574084E-2</v>
      </c>
      <c r="AH60" s="498">
        <f t="shared" ca="1" si="7"/>
        <v>0</v>
      </c>
      <c r="AI60" s="497">
        <f t="shared" ca="1" si="12"/>
        <v>1.28781136111324</v>
      </c>
      <c r="AJ60" s="493">
        <f t="shared" ca="1" si="8"/>
        <v>0.3891663677066094</v>
      </c>
      <c r="AK60" s="493">
        <f t="shared" ca="1" si="9"/>
        <v>0.89864499340663062</v>
      </c>
      <c r="AL60" s="498">
        <f t="shared" ca="1" si="10"/>
        <v>0</v>
      </c>
    </row>
    <row r="61" spans="1:38" customFormat="1" ht="1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>
        <f ca="1"/>
        <v>1.7953104349823699E-4</v>
      </c>
      <c r="J61" s="413">
        <f ca="1"/>
        <v>4.4824492294132101E-4</v>
      </c>
      <c r="K61" s="413">
        <f ca="1"/>
        <v>0.40051997091273001</v>
      </c>
      <c r="L61" s="413">
        <f ca="1"/>
        <v>0.40051997091273001</v>
      </c>
      <c r="M61" s="413">
        <f ca="1"/>
        <v>-2.43746364722263E-4</v>
      </c>
      <c r="N61" s="568" t="str">
        <f ca="1"/>
        <v>ENDESA_MMR.EUR.SU</v>
      </c>
      <c r="O61" s="413">
        <f ca="1"/>
        <v>1.20334095716168</v>
      </c>
      <c r="P61" s="413">
        <f ca="1"/>
        <v>0.77278190134576297</v>
      </c>
      <c r="Q61" s="413">
        <f ca="1"/>
        <v>1.5571546837032799</v>
      </c>
      <c r="R61" s="452">
        <f ca="1"/>
        <v>1.5571546837032799</v>
      </c>
      <c r="S61" s="443"/>
      <c r="T61" s="422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3">
        <f ca="1"/>
        <v>2.0262597518984501E-2</v>
      </c>
      <c r="V61" s="423">
        <f ca="1"/>
        <v>4.3044498864747198E-2</v>
      </c>
      <c r="W61" s="424">
        <f ca="1"/>
        <v>4.7073605346534203E-3</v>
      </c>
      <c r="X61" s="425">
        <f ca="1"/>
        <v>4.3044498864747203</v>
      </c>
      <c r="Y61" s="426">
        <f t="shared" ca="1" si="11"/>
        <v>0.11841785389064301</v>
      </c>
      <c r="Z61" s="427">
        <f t="shared" ca="1" si="0"/>
        <v>-2.3994533124480112E-3</v>
      </c>
      <c r="AA61" s="426">
        <f t="shared" ca="1" si="1"/>
        <v>0.13350665697090999</v>
      </c>
      <c r="AB61" s="428">
        <f t="shared" ca="1" si="2"/>
        <v>4.471992507920749E-3</v>
      </c>
      <c r="AC61" s="427">
        <f t="shared" ca="1" si="3"/>
        <v>-1.352595828153339E-4</v>
      </c>
      <c r="AD61" s="79"/>
      <c r="AE61" s="496">
        <f t="shared" ca="1" si="4"/>
        <v>1.2857005644228201</v>
      </c>
      <c r="AF61" s="493">
        <f t="shared" ca="1" si="5"/>
        <v>1.2534931031508032</v>
      </c>
      <c r="AG61" s="493">
        <f t="shared" ca="1" si="6"/>
        <v>3.2207461272016902E-2</v>
      </c>
      <c r="AH61" s="498">
        <f t="shared" ca="1" si="7"/>
        <v>0</v>
      </c>
      <c r="AI61" s="497">
        <f t="shared" ca="1" si="12"/>
        <v>1.2857005644228201</v>
      </c>
      <c r="AJ61" s="493">
        <f t="shared" ca="1" si="8"/>
        <v>0.42466860083823088</v>
      </c>
      <c r="AK61" s="493">
        <f t="shared" ca="1" si="9"/>
        <v>0.86103196358458922</v>
      </c>
      <c r="AL61" s="498">
        <f t="shared" ca="1" si="10"/>
        <v>0</v>
      </c>
    </row>
    <row r="62" spans="1:38" customFormat="1" ht="1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>
        <f ca="1"/>
        <v>1.6743941616341801E-4</v>
      </c>
      <c r="J62" s="413">
        <f ca="1"/>
        <v>4.5081424590696402E-4</v>
      </c>
      <c r="K62" s="413">
        <f ca="1"/>
        <v>0.371415539068774</v>
      </c>
      <c r="L62" s="413">
        <f ca="1"/>
        <v>0.371415539068774</v>
      </c>
      <c r="M62" s="413">
        <f ca="1"/>
        <v>-2.0585195319402499E-4</v>
      </c>
      <c r="N62" s="568" t="str">
        <f ca="1"/>
        <v>ENEL_MMR.EUR.SU</v>
      </c>
      <c r="O62" s="413">
        <f ca="1"/>
        <v>1.2041485109949199</v>
      </c>
      <c r="P62" s="413">
        <f ca="1"/>
        <v>0.77599172252037396</v>
      </c>
      <c r="Q62" s="413">
        <f ca="1"/>
        <v>1.5517543242393299</v>
      </c>
      <c r="R62" s="452">
        <f ca="1"/>
        <v>1.5517543242393299</v>
      </c>
      <c r="S62" s="443"/>
      <c r="T62" s="422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3">
        <f ca="1"/>
        <v>1.7152884473186199E-2</v>
      </c>
      <c r="V62" s="423">
        <f ca="1"/>
        <v>4.3144606993560403E-2</v>
      </c>
      <c r="W62" s="424">
        <f ca="1"/>
        <v>3.9756728982944202E-3</v>
      </c>
      <c r="X62" s="425">
        <f ca="1"/>
        <v>4.3144606993560402</v>
      </c>
      <c r="Y62" s="426">
        <f t="shared" ca="1" si="11"/>
        <v>0.11841785389064301</v>
      </c>
      <c r="Z62" s="427">
        <f t="shared" ca="1" si="0"/>
        <v>-2.0312077673488426E-3</v>
      </c>
      <c r="AA62" s="426">
        <f t="shared" ca="1" si="1"/>
        <v>0.12380517968959133</v>
      </c>
      <c r="AB62" s="428">
        <f t="shared" ca="1" si="2"/>
        <v>3.776889253379699E-3</v>
      </c>
      <c r="AC62" s="427">
        <f t="shared" ca="1" si="3"/>
        <v>-1.06180797219881E-4</v>
      </c>
      <c r="AD62" s="79"/>
      <c r="AE62" s="496">
        <f t="shared" ca="1" si="4"/>
        <v>1.28712411438093</v>
      </c>
      <c r="AF62" s="493">
        <f t="shared" ca="1" si="5"/>
        <v>1.2505100222157159</v>
      </c>
      <c r="AG62" s="493">
        <f t="shared" ca="1" si="6"/>
        <v>3.6614092165214052E-2</v>
      </c>
      <c r="AH62" s="498">
        <f t="shared" ca="1" si="7"/>
        <v>0</v>
      </c>
      <c r="AI62" s="497">
        <f t="shared" ca="1" si="12"/>
        <v>1.28712411438093</v>
      </c>
      <c r="AJ62" s="493">
        <f t="shared" ca="1" si="8"/>
        <v>0.40188459881838257</v>
      </c>
      <c r="AK62" s="493">
        <f t="shared" ca="1" si="9"/>
        <v>0.88523951556254743</v>
      </c>
      <c r="AL62" s="498">
        <f t="shared" ca="1" si="10"/>
        <v>0</v>
      </c>
    </row>
    <row r="63" spans="1:38" customFormat="1" ht="1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>
        <f ca="1"/>
        <v>1.3249372860564299E-4</v>
      </c>
      <c r="J63" s="413">
        <f ca="1"/>
        <v>4.5676206312862899E-4</v>
      </c>
      <c r="K63" s="413">
        <f ca="1"/>
        <v>0.29007165721714401</v>
      </c>
      <c r="L63" s="413">
        <f ca="1"/>
        <v>0.29007165721714401</v>
      </c>
      <c r="M63" s="413">
        <f ca="1"/>
        <v>-1.15248215936381E-4</v>
      </c>
      <c r="N63" s="568" t="str">
        <f ca="1"/>
        <v>ENERGIEBADENWUERTTEMBERG_MMR.EUR.SU</v>
      </c>
      <c r="O63" s="413">
        <f ca="1"/>
        <v>1.20565255633561</v>
      </c>
      <c r="P63" s="413">
        <f ca="1"/>
        <v>0.78336904772304505</v>
      </c>
      <c r="Q63" s="413">
        <f ca="1"/>
        <v>1.53906075283416</v>
      </c>
      <c r="R63" s="452">
        <f ca="1"/>
        <v>1.53906075283416</v>
      </c>
      <c r="S63" s="443"/>
      <c r="T63" s="422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3">
        <f ca="1"/>
        <v>9.9815118662649697E-3</v>
      </c>
      <c r="V63" s="423">
        <f ca="1"/>
        <v>4.33505595893105E-2</v>
      </c>
      <c r="W63" s="424">
        <f ca="1"/>
        <v>2.3025105006317498E-3</v>
      </c>
      <c r="X63" s="425">
        <f ca="1"/>
        <v>4.3350559589310498</v>
      </c>
      <c r="Y63" s="426">
        <f t="shared" ca="1" si="11"/>
        <v>0.11841785389064301</v>
      </c>
      <c r="Z63" s="427">
        <f t="shared" ca="1" si="0"/>
        <v>-1.1819892137870862E-3</v>
      </c>
      <c r="AA63" s="426">
        <f t="shared" ca="1" si="1"/>
        <v>9.6690552405714669E-2</v>
      </c>
      <c r="AB63" s="428">
        <f t="shared" ca="1" si="2"/>
        <v>2.1873849756001624E-3</v>
      </c>
      <c r="AC63" s="427">
        <f t="shared" ca="1" si="3"/>
        <v>-4.8255894809667827E-5</v>
      </c>
      <c r="AD63" s="79"/>
      <c r="AE63" s="496">
        <f t="shared" ca="1" si="4"/>
        <v>1.2899210938238601</v>
      </c>
      <c r="AF63" s="493">
        <f t="shared" ca="1" si="5"/>
        <v>1.2433167904494389</v>
      </c>
      <c r="AG63" s="493">
        <f t="shared" ca="1" si="6"/>
        <v>4.660430337442123E-2</v>
      </c>
      <c r="AH63" s="498">
        <f t="shared" ca="1" si="7"/>
        <v>0</v>
      </c>
      <c r="AI63" s="497">
        <f t="shared" ca="1" si="12"/>
        <v>1.2899210938238601</v>
      </c>
      <c r="AJ63" s="493">
        <f t="shared" ca="1" si="8"/>
        <v>0.33371011965313113</v>
      </c>
      <c r="AK63" s="493">
        <f t="shared" ca="1" si="9"/>
        <v>0.95621097417072898</v>
      </c>
      <c r="AL63" s="498">
        <f t="shared" ca="1" si="10"/>
        <v>0</v>
      </c>
    </row>
    <row r="64" spans="1:38" customFormat="1" ht="1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>
        <f ca="1"/>
        <v>1.37861890317592E-4</v>
      </c>
      <c r="J64" s="413">
        <f ca="1"/>
        <v>4.5602496623942199E-4</v>
      </c>
      <c r="K64" s="413">
        <f ca="1"/>
        <v>0.30231215508760501</v>
      </c>
      <c r="L64" s="413">
        <f ca="1"/>
        <v>0.30231215508760501</v>
      </c>
      <c r="M64" s="413">
        <f ca="1"/>
        <v>-1.2699450456306099E-4</v>
      </c>
      <c r="N64" s="568" t="str">
        <f ca="1"/>
        <v>EON_MMR.EUR.SU</v>
      </c>
      <c r="O64" s="413">
        <f ca="1"/>
        <v>1.20547750432874</v>
      </c>
      <c r="P64" s="413">
        <f ca="1"/>
        <v>0.78243961708870102</v>
      </c>
      <c r="Q64" s="413">
        <f ca="1"/>
        <v>1.5406652193993899</v>
      </c>
      <c r="R64" s="452">
        <f ca="1"/>
        <v>1.5406652193993899</v>
      </c>
      <c r="S64" s="443"/>
      <c r="T64" s="422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3">
        <f ca="1"/>
        <v>1.08810190612126E-2</v>
      </c>
      <c r="V64" s="423">
        <f ca="1"/>
        <v>4.3320636149913203E-2</v>
      </c>
      <c r="W64" s="424">
        <f ca="1"/>
        <v>2.5117403686220801E-3</v>
      </c>
      <c r="X64" s="425">
        <f ca="1"/>
        <v>4.3320636149913199</v>
      </c>
      <c r="Y64" s="426">
        <f t="shared" ca="1" si="11"/>
        <v>0.11841785389064301</v>
      </c>
      <c r="Z64" s="427">
        <f t="shared" ca="1" si="0"/>
        <v>-1.2885069253719748E-3</v>
      </c>
      <c r="AA64" s="426">
        <f t="shared" ca="1" si="1"/>
        <v>0.100770718362535</v>
      </c>
      <c r="AB64" s="428">
        <f t="shared" ca="1" si="2"/>
        <v>2.3861533501909758E-3</v>
      </c>
      <c r="AC64" s="427">
        <f t="shared" ca="1" si="3"/>
        <v>-5.482440536574158E-5</v>
      </c>
      <c r="AD64" s="79"/>
      <c r="AE64" s="496">
        <f t="shared" ca="1" si="4"/>
        <v>1.28959165913065</v>
      </c>
      <c r="AF64" s="493">
        <f t="shared" ca="1" si="5"/>
        <v>1.2442356361806852</v>
      </c>
      <c r="AG64" s="493">
        <f t="shared" ca="1" si="6"/>
        <v>4.5356022949964769E-2</v>
      </c>
      <c r="AH64" s="498">
        <f t="shared" ca="1" si="7"/>
        <v>0</v>
      </c>
      <c r="AI64" s="497">
        <f t="shared" ca="1" si="12"/>
        <v>1.28959165913065</v>
      </c>
      <c r="AJ64" s="493">
        <f t="shared" ca="1" si="8"/>
        <v>0.34421199298294841</v>
      </c>
      <c r="AK64" s="493">
        <f t="shared" ca="1" si="9"/>
        <v>0.94537966614770164</v>
      </c>
      <c r="AL64" s="498">
        <f t="shared" ca="1" si="10"/>
        <v>0</v>
      </c>
    </row>
    <row r="65" spans="1:38" customFormat="1" ht="1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>
        <f ca="1"/>
        <v>1.4357691392119501E-4</v>
      </c>
      <c r="J65" s="413">
        <f ca="1"/>
        <v>4.5486058213504998E-4</v>
      </c>
      <c r="K65" s="413">
        <f ca="1"/>
        <v>0.31565037631369502</v>
      </c>
      <c r="L65" s="413">
        <f ca="1"/>
        <v>0.31565037631369502</v>
      </c>
      <c r="M65" s="413">
        <f ca="1"/>
        <v>-1.42314506065699E-4</v>
      </c>
      <c r="N65" s="568" t="str">
        <f ca="1"/>
        <v>FORTUMOYJ_MMR.EUR.SU</v>
      </c>
      <c r="O65" s="413">
        <f ca="1"/>
        <v>1.20528772663187</v>
      </c>
      <c r="P65" s="413">
        <f ca="1"/>
        <v>0.78108617860652596</v>
      </c>
      <c r="Q65" s="413">
        <f ca="1"/>
        <v>1.5430918631566699</v>
      </c>
      <c r="R65" s="452">
        <f ca="1"/>
        <v>1.5430918631566699</v>
      </c>
      <c r="S65" s="443"/>
      <c r="T65" s="422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3">
        <f ca="1"/>
        <v>1.2242017794087E-2</v>
      </c>
      <c r="V65" s="423">
        <f ca="1"/>
        <v>4.3328196400612598E-2</v>
      </c>
      <c r="W65" s="424">
        <f ca="1"/>
        <v>2.8254159672138801E-3</v>
      </c>
      <c r="X65" s="425">
        <f ca="1"/>
        <v>4.3328196400612597</v>
      </c>
      <c r="Y65" s="426">
        <f t="shared" ca="1" si="11"/>
        <v>0.11841785389064301</v>
      </c>
      <c r="Z65" s="427">
        <f t="shared" ca="1" si="0"/>
        <v>-1.4496734744668439E-3</v>
      </c>
      <c r="AA65" s="426">
        <f t="shared" ca="1" si="1"/>
        <v>0.10521679210456501</v>
      </c>
      <c r="AB65" s="428">
        <f t="shared" ca="1" si="2"/>
        <v>2.684145168853186E-3</v>
      </c>
      <c r="AC65" s="427">
        <f t="shared" ca="1" si="3"/>
        <v>-6.4403292059041841E-5</v>
      </c>
      <c r="AD65" s="79"/>
      <c r="AE65" s="496">
        <f t="shared" ca="1" si="4"/>
        <v>1.2891984177454101</v>
      </c>
      <c r="AF65" s="493">
        <f t="shared" ca="1" si="5"/>
        <v>1.245661600565849</v>
      </c>
      <c r="AG65" s="493">
        <f t="shared" ca="1" si="6"/>
        <v>4.3536817179561149E-2</v>
      </c>
      <c r="AH65" s="498">
        <f t="shared" ca="1" si="7"/>
        <v>0</v>
      </c>
      <c r="AI65" s="497">
        <f t="shared" ca="1" si="12"/>
        <v>1.2891984177454101</v>
      </c>
      <c r="AJ65" s="493">
        <f t="shared" ca="1" si="8"/>
        <v>0.35645034957158217</v>
      </c>
      <c r="AK65" s="493">
        <f t="shared" ca="1" si="9"/>
        <v>0.93274806817382794</v>
      </c>
      <c r="AL65" s="498">
        <f t="shared" ca="1" si="10"/>
        <v>0</v>
      </c>
    </row>
    <row r="66" spans="1:38" customFormat="1" ht="1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>
        <f ca="1"/>
        <v>1.5130890479726501E-4</v>
      </c>
      <c r="J66" s="413">
        <f ca="1"/>
        <v>4.5377117135705501E-4</v>
      </c>
      <c r="K66" s="413">
        <f ca="1"/>
        <v>0.33344759285777997</v>
      </c>
      <c r="L66" s="413">
        <f ca="1"/>
        <v>0.33344759285777997</v>
      </c>
      <c r="M66" s="413">
        <f ca="1"/>
        <v>-1.6065658517197E-4</v>
      </c>
      <c r="N66" s="568" t="str">
        <f ca="1"/>
        <v>FRANCETELECOM_MMR.EUR.SU</v>
      </c>
      <c r="O66" s="413">
        <f ca="1"/>
        <v>1.20497091289495</v>
      </c>
      <c r="P66" s="413">
        <f ca="1"/>
        <v>0.77968014305474098</v>
      </c>
      <c r="Q66" s="413">
        <f ca="1"/>
        <v>1.54546825852707</v>
      </c>
      <c r="R66" s="452">
        <f ca="1"/>
        <v>1.54546825852707</v>
      </c>
      <c r="S66" s="443"/>
      <c r="T66" s="422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3">
        <f ca="1"/>
        <v>1.3580349913247899E-2</v>
      </c>
      <c r="V66" s="423">
        <f ca="1"/>
        <v>4.3260492967988597E-2</v>
      </c>
      <c r="W66" s="424">
        <f ca="1"/>
        <v>3.1392036894486901E-3</v>
      </c>
      <c r="X66" s="425">
        <f ca="1"/>
        <v>4.3260492967988604</v>
      </c>
      <c r="Y66" s="426">
        <f t="shared" ca="1" si="11"/>
        <v>0.11841785389064301</v>
      </c>
      <c r="Z66" s="427">
        <f t="shared" ca="1" si="0"/>
        <v>-1.6081558918107956E-3</v>
      </c>
      <c r="AA66" s="426">
        <f t="shared" ca="1" si="1"/>
        <v>0.11114919761926</v>
      </c>
      <c r="AB66" s="428">
        <f t="shared" ca="1" si="2"/>
        <v>2.9822435049762556E-3</v>
      </c>
      <c r="AC66" s="427">
        <f t="shared" ca="1" si="3"/>
        <v>-7.5472249812314537E-5</v>
      </c>
      <c r="AD66" s="79"/>
      <c r="AE66" s="496">
        <f t="shared" ca="1" si="4"/>
        <v>1.2886234508533501</v>
      </c>
      <c r="AF66" s="493">
        <f t="shared" ca="1" si="5"/>
        <v>1.2469893601195028</v>
      </c>
      <c r="AG66" s="493">
        <f t="shared" ca="1" si="6"/>
        <v>4.1634090733847273E-2</v>
      </c>
      <c r="AH66" s="498">
        <f t="shared" ca="1" si="7"/>
        <v>0</v>
      </c>
      <c r="AI66" s="497">
        <f t="shared" ca="1" si="12"/>
        <v>1.2886234508533501</v>
      </c>
      <c r="AJ66" s="493">
        <f t="shared" ca="1" si="8"/>
        <v>0.37096376155350669</v>
      </c>
      <c r="AK66" s="493">
        <f t="shared" ca="1" si="9"/>
        <v>0.91765968929984343</v>
      </c>
      <c r="AL66" s="498">
        <f t="shared" ca="1" si="10"/>
        <v>0</v>
      </c>
    </row>
    <row r="67" spans="1:38" customFormat="1" ht="1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>
        <f ca="1"/>
        <v>1.3373784121160001E-4</v>
      </c>
      <c r="J67" s="413">
        <f ca="1"/>
        <v>4.5635672231859501E-4</v>
      </c>
      <c r="K67" s="413">
        <f ca="1"/>
        <v>0.29305548635752099</v>
      </c>
      <c r="L67" s="413">
        <f ca="1"/>
        <v>0.29305548635752099</v>
      </c>
      <c r="M67" s="413">
        <f ca="1"/>
        <v>-1.19473489369604E-4</v>
      </c>
      <c r="N67" s="568" t="str">
        <f ca="1"/>
        <v>GALLAHERGROUPPLC_MMR.EUR.SU</v>
      </c>
      <c r="O67" s="413">
        <f ca="1"/>
        <v>1.2056202783241601</v>
      </c>
      <c r="P67" s="413">
        <f ca="1"/>
        <v>0.782932394252979</v>
      </c>
      <c r="Q67" s="413">
        <f ca="1"/>
        <v>1.53987788367664</v>
      </c>
      <c r="R67" s="452">
        <f ca="1"/>
        <v>1.53987788367664</v>
      </c>
      <c r="S67" s="443"/>
      <c r="T67" s="422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3">
        <f ca="1"/>
        <v>1.0439955472155499E-2</v>
      </c>
      <c r="V67" s="423">
        <f ca="1"/>
        <v>4.3372349725134103E-2</v>
      </c>
      <c r="W67" s="424">
        <f ca="1"/>
        <v>2.4070532351410899E-3</v>
      </c>
      <c r="X67" s="425">
        <f ca="1"/>
        <v>4.3372349725134098</v>
      </c>
      <c r="Y67" s="426">
        <f t="shared" ca="1" si="11"/>
        <v>0.11841785389064301</v>
      </c>
      <c r="Z67" s="427">
        <f t="shared" ca="1" si="0"/>
        <v>-1.2362771217265265E-3</v>
      </c>
      <c r="AA67" s="426">
        <f t="shared" ca="1" si="1"/>
        <v>9.7685162119173663E-2</v>
      </c>
      <c r="AB67" s="428">
        <f t="shared" ca="1" si="2"/>
        <v>2.2867005733840351E-3</v>
      </c>
      <c r="AC67" s="427">
        <f t="shared" ca="1" si="3"/>
        <v>-5.0991437140723224E-5</v>
      </c>
      <c r="AD67" s="79"/>
      <c r="AE67" s="496">
        <f t="shared" ca="1" si="4"/>
        <v>1.28983625412985</v>
      </c>
      <c r="AF67" s="493">
        <f t="shared" ca="1" si="5"/>
        <v>1.2438151203294996</v>
      </c>
      <c r="AG67" s="493">
        <f t="shared" ca="1" si="6"/>
        <v>4.6021133800350444E-2</v>
      </c>
      <c r="AH67" s="498">
        <f t="shared" ca="1" si="7"/>
        <v>0</v>
      </c>
      <c r="AI67" s="497">
        <f t="shared" ca="1" si="12"/>
        <v>1.28983625412985</v>
      </c>
      <c r="AJ67" s="493">
        <f t="shared" ca="1" si="8"/>
        <v>0.33702371885169363</v>
      </c>
      <c r="AK67" s="493">
        <f t="shared" ca="1" si="9"/>
        <v>0.95281253527815646</v>
      </c>
      <c r="AL67" s="498">
        <f t="shared" ca="1" si="10"/>
        <v>0</v>
      </c>
    </row>
    <row r="68" spans="1:38" customFormat="1" ht="1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>
        <f ca="1"/>
        <v>1.2589091408150499E-4</v>
      </c>
      <c r="J68" s="413">
        <f ca="1"/>
        <v>4.5748803030817701E-4</v>
      </c>
      <c r="K68" s="413">
        <f ca="1"/>
        <v>0.27517859646885501</v>
      </c>
      <c r="L68" s="413">
        <f ca="1"/>
        <v>0.27517859646885501</v>
      </c>
      <c r="M68" s="413">
        <f ca="1"/>
        <v>-1.02409475831422E-4</v>
      </c>
      <c r="N68" s="568" t="str">
        <f ca="1"/>
        <v>GASNATURALSDGSA_MMR.EUR.SU</v>
      </c>
      <c r="O68" s="413">
        <f ca="1"/>
        <v>1.20584219285538</v>
      </c>
      <c r="P68" s="413">
        <f ca="1"/>
        <v>0.78431770038901505</v>
      </c>
      <c r="Q68" s="413">
        <f ca="1"/>
        <v>1.53744100414576</v>
      </c>
      <c r="R68" s="452">
        <f ca="1"/>
        <v>1.53744100414576</v>
      </c>
      <c r="S68" s="443"/>
      <c r="T68" s="422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3">
        <f ca="1"/>
        <v>9.0853199327524704E-3</v>
      </c>
      <c r="V68" s="423">
        <f ca="1"/>
        <v>4.34030203217678E-2</v>
      </c>
      <c r="W68" s="424">
        <f ca="1"/>
        <v>2.09324601500047E-3</v>
      </c>
      <c r="X68" s="425">
        <f ca="1"/>
        <v>4.3403020321767798</v>
      </c>
      <c r="Y68" s="426">
        <f t="shared" ca="1" si="11"/>
        <v>0.11841785389064301</v>
      </c>
      <c r="Z68" s="427">
        <f t="shared" ca="1" si="0"/>
        <v>-1.0758640883464304E-3</v>
      </c>
      <c r="AA68" s="426">
        <f t="shared" ca="1" si="1"/>
        <v>9.1726198822951674E-2</v>
      </c>
      <c r="AB68" s="428">
        <f t="shared" ca="1" si="2"/>
        <v>1.9885837142504465E-3</v>
      </c>
      <c r="AC68" s="427">
        <f t="shared" ca="1" si="3"/>
        <v>-4.1668093126089049E-5</v>
      </c>
      <c r="AD68" s="79"/>
      <c r="AE68" s="496">
        <f t="shared" ca="1" si="4"/>
        <v>1.29027523638593</v>
      </c>
      <c r="AF68" s="493">
        <f t="shared" ca="1" si="5"/>
        <v>1.2423988668993113</v>
      </c>
      <c r="AG68" s="493">
        <f t="shared" ca="1" si="6"/>
        <v>4.7876369486618664E-2</v>
      </c>
      <c r="AH68" s="498">
        <f t="shared" ca="1" si="7"/>
        <v>0</v>
      </c>
      <c r="AI68" s="497">
        <f t="shared" ca="1" si="12"/>
        <v>1.29027523638593</v>
      </c>
      <c r="AJ68" s="493">
        <f t="shared" ca="1" si="8"/>
        <v>0.32108707548239623</v>
      </c>
      <c r="AK68" s="493">
        <f t="shared" ca="1" si="9"/>
        <v>0.96918816090353377</v>
      </c>
      <c r="AL68" s="498">
        <f t="shared" ca="1" si="10"/>
        <v>0</v>
      </c>
    </row>
    <row r="69" spans="1:38" customFormat="1" ht="1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>
        <f ca="1"/>
        <v>1.28741572227064E-4</v>
      </c>
      <c r="J69" s="413">
        <f ca="1"/>
        <v>4.5711417865299599E-4</v>
      </c>
      <c r="K69" s="413">
        <f ca="1"/>
        <v>0.28163985769689798</v>
      </c>
      <c r="L69" s="413">
        <f ca="1"/>
        <v>0.28163985769689798</v>
      </c>
      <c r="M69" s="413">
        <f ca="1"/>
        <v>-1.08331604036427E-4</v>
      </c>
      <c r="N69" s="568" t="str">
        <f ca="1"/>
        <v>GAZDEFRANCE_MMR.EUR.SU</v>
      </c>
      <c r="O69" s="413">
        <f ca="1"/>
        <v>1.20576518027032</v>
      </c>
      <c r="P69" s="413">
        <f ca="1"/>
        <v>0.78385195976786204</v>
      </c>
      <c r="Q69" s="413">
        <f ca="1"/>
        <v>1.53825625520845</v>
      </c>
      <c r="R69" s="452">
        <f ca="1"/>
        <v>1.53825625520845</v>
      </c>
      <c r="S69" s="443"/>
      <c r="T69" s="422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3">
        <f ca="1"/>
        <v>9.5360954959001609E-3</v>
      </c>
      <c r="V69" s="423">
        <f ca="1"/>
        <v>4.33880552637625E-2</v>
      </c>
      <c r="W69" s="424">
        <f ca="1"/>
        <v>2.1978619317987E-3</v>
      </c>
      <c r="X69" s="425">
        <f ca="1"/>
        <v>4.3388055263762499</v>
      </c>
      <c r="Y69" s="426">
        <f t="shared" ca="1" si="11"/>
        <v>0.11841785389064301</v>
      </c>
      <c r="Z69" s="427">
        <f t="shared" ca="1" si="0"/>
        <v>-1.1292439631207264E-3</v>
      </c>
      <c r="AA69" s="426">
        <f t="shared" ca="1" si="1"/>
        <v>9.3879952565632654E-2</v>
      </c>
      <c r="AB69" s="428">
        <f t="shared" ca="1" si="2"/>
        <v>2.0879688352087649E-3</v>
      </c>
      <c r="AC69" s="427">
        <f t="shared" ca="1" si="3"/>
        <v>-4.4762409640822629E-5</v>
      </c>
      <c r="AD69" s="79"/>
      <c r="AE69" s="496">
        <f t="shared" ca="1" si="4"/>
        <v>1.2901237610923</v>
      </c>
      <c r="AF69" s="493">
        <f t="shared" ca="1" si="5"/>
        <v>1.2428705955640482</v>
      </c>
      <c r="AG69" s="493">
        <f t="shared" ca="1" si="6"/>
        <v>4.7253165528251762E-2</v>
      </c>
      <c r="AH69" s="498">
        <f t="shared" ca="1" si="7"/>
        <v>0</v>
      </c>
      <c r="AI69" s="497">
        <f t="shared" ca="1" si="12"/>
        <v>1.2901237610923</v>
      </c>
      <c r="AJ69" s="493">
        <f t="shared" ca="1" si="8"/>
        <v>0.3268411429555233</v>
      </c>
      <c r="AK69" s="493">
        <f t="shared" ca="1" si="9"/>
        <v>0.96328261813677662</v>
      </c>
      <c r="AL69" s="498">
        <f t="shared" ca="1" si="10"/>
        <v>0</v>
      </c>
    </row>
    <row r="70" spans="1:38" customFormat="1" ht="1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>
        <f ca="1"/>
        <v>1.5397480792891401E-4</v>
      </c>
      <c r="J70" s="413">
        <f ca="1"/>
        <v>4.5341948290752299E-4</v>
      </c>
      <c r="K70" s="413">
        <f ca="1"/>
        <v>0.33958577814424901</v>
      </c>
      <c r="L70" s="413">
        <f ca="1"/>
        <v>0.33958577814424901</v>
      </c>
      <c r="M70" s="413">
        <f ca="1"/>
        <v>-1.67176046684148E-4</v>
      </c>
      <c r="N70" s="568" t="str">
        <f ca="1"/>
        <v>GENERALI_MMR.EUR.SU</v>
      </c>
      <c r="O70" s="413">
        <f ca="1"/>
        <v>1.20484528777589</v>
      </c>
      <c r="P70" s="413">
        <f ca="1"/>
        <v>0.77920444335443995</v>
      </c>
      <c r="Q70" s="413">
        <f ca="1"/>
        <v>1.54625053546805</v>
      </c>
      <c r="R70" s="452">
        <f ca="1"/>
        <v>1.54625053546805</v>
      </c>
      <c r="S70" s="443"/>
      <c r="T70" s="422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3">
        <f ca="1"/>
        <v>1.4021910451348299E-2</v>
      </c>
      <c r="V70" s="423">
        <f ca="1"/>
        <v>4.3226353805788403E-2</v>
      </c>
      <c r="W70" s="424">
        <f ca="1"/>
        <v>3.2438337303088999E-3</v>
      </c>
      <c r="X70" s="425">
        <f ca="1"/>
        <v>4.3226353805788396</v>
      </c>
      <c r="Y70" s="426">
        <f t="shared" ca="1" si="11"/>
        <v>0.11841785389064301</v>
      </c>
      <c r="Z70" s="427">
        <f t="shared" ca="1" si="0"/>
        <v>-1.6604445430954417E-3</v>
      </c>
      <c r="AA70" s="426">
        <f t="shared" ca="1" si="1"/>
        <v>0.11319525938141634</v>
      </c>
      <c r="AB70" s="428">
        <f t="shared" ca="1" si="2"/>
        <v>3.0816420437934549E-3</v>
      </c>
      <c r="AC70" s="427">
        <f t="shared" ca="1" si="3"/>
        <v>-7.936068952816815E-5</v>
      </c>
      <c r="AD70" s="79"/>
      <c r="AE70" s="496">
        <f t="shared" ca="1" si="4"/>
        <v>1.2884024904043001</v>
      </c>
      <c r="AF70" s="493">
        <f t="shared" ca="1" si="5"/>
        <v>1.247414506038645</v>
      </c>
      <c r="AG70" s="493">
        <f t="shared" ca="1" si="6"/>
        <v>4.0987984365655095E-2</v>
      </c>
      <c r="AH70" s="498">
        <f t="shared" ca="1" si="7"/>
        <v>0</v>
      </c>
      <c r="AI70" s="497">
        <f t="shared" ca="1" si="12"/>
        <v>1.2884024904043001</v>
      </c>
      <c r="AJ70" s="493">
        <f t="shared" ca="1" si="8"/>
        <v>0.37582057935943503</v>
      </c>
      <c r="AK70" s="493">
        <f t="shared" ca="1" si="9"/>
        <v>0.91258191104486508</v>
      </c>
      <c r="AL70" s="498">
        <f t="shared" ca="1" si="10"/>
        <v>0</v>
      </c>
    </row>
    <row r="71" spans="1:38" customFormat="1" ht="1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>
        <f ca="1"/>
        <v>1.93296928210463E-4</v>
      </c>
      <c r="J71" s="413">
        <f ca="1"/>
        <v>4.4450478607853302E-4</v>
      </c>
      <c r="K71" s="413">
        <f ca="1"/>
        <v>0.43485904823601201</v>
      </c>
      <c r="L71" s="413">
        <f ca="1"/>
        <v>0.43485904823601201</v>
      </c>
      <c r="M71" s="413">
        <f ca="1"/>
        <v>-2.9301511695627402E-4</v>
      </c>
      <c r="N71" s="568" t="str">
        <f ca="1"/>
        <v>GKN HOLDINGS  PLC_MMR.EUR.SU</v>
      </c>
      <c r="O71" s="413">
        <f ca="1"/>
        <v>1.2022000615408801</v>
      </c>
      <c r="P71" s="413">
        <f ca="1"/>
        <v>0.76825912517765305</v>
      </c>
      <c r="Q71" s="413">
        <f ca="1"/>
        <v>1.5648366835381</v>
      </c>
      <c r="R71" s="452">
        <f ca="1"/>
        <v>1.5648366835381</v>
      </c>
      <c r="S71" s="443"/>
      <c r="T71" s="422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3">
        <f ca="1"/>
        <v>2.4723097694300498E-2</v>
      </c>
      <c r="V71" s="423">
        <f ca="1"/>
        <v>4.2982222871953198E-2</v>
      </c>
      <c r="W71" s="424">
        <f ca="1"/>
        <v>5.7519355776345501E-3</v>
      </c>
      <c r="X71" s="425">
        <f ca="1"/>
        <v>4.29822228719532</v>
      </c>
      <c r="Y71" s="426">
        <f t="shared" ca="1" si="11"/>
        <v>0.11841785389064301</v>
      </c>
      <c r="Z71" s="427">
        <f t="shared" ca="1" si="0"/>
        <v>-2.9276561704877709E-3</v>
      </c>
      <c r="AA71" s="426">
        <f t="shared" ca="1" si="1"/>
        <v>0.14495301607867067</v>
      </c>
      <c r="AB71" s="428">
        <f t="shared" ca="1" si="2"/>
        <v>5.4643387987528226E-3</v>
      </c>
      <c r="AC71" s="427">
        <f t="shared" ca="1" si="3"/>
        <v>-1.7918437887982439E-4</v>
      </c>
      <c r="AD71" s="79"/>
      <c r="AE71" s="496">
        <f t="shared" ca="1" si="4"/>
        <v>1.2836930649823499</v>
      </c>
      <c r="AF71" s="493">
        <f t="shared" ca="1" si="5"/>
        <v>1.2577484626651108</v>
      </c>
      <c r="AG71" s="493">
        <f t="shared" ca="1" si="6"/>
        <v>2.5944602317239163E-2</v>
      </c>
      <c r="AH71" s="498">
        <f t="shared" ca="1" si="7"/>
        <v>0</v>
      </c>
      <c r="AI71" s="497">
        <f t="shared" ca="1" si="12"/>
        <v>1.2836930649823499</v>
      </c>
      <c r="AJ71" s="493">
        <f t="shared" ca="1" si="8"/>
        <v>0.45113694761456147</v>
      </c>
      <c r="AK71" s="493">
        <f t="shared" ca="1" si="9"/>
        <v>0.83255611736778845</v>
      </c>
      <c r="AL71" s="498">
        <f t="shared" ca="1" si="10"/>
        <v>0</v>
      </c>
    </row>
    <row r="72" spans="1:38" customFormat="1" ht="1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>
        <f ca="1"/>
        <v>2.0023655110319399E-4</v>
      </c>
      <c r="J72" s="413">
        <f ca="1"/>
        <v>4.4270652472383102E-4</v>
      </c>
      <c r="K72" s="413">
        <f ca="1"/>
        <v>0.452300880878377</v>
      </c>
      <c r="L72" s="413">
        <f ca="1"/>
        <v>0.452300880878377</v>
      </c>
      <c r="M72" s="413">
        <f ca="1"/>
        <v>-3.1820224019547501E-4</v>
      </c>
      <c r="N72" s="568" t="str">
        <f ca="1"/>
        <v>GLENCOREINTAG_MMR.EUR.SU</v>
      </c>
      <c r="O72" s="413">
        <f ca="1"/>
        <v>1.2014888267437001</v>
      </c>
      <c r="P72" s="413">
        <f ca="1"/>
        <v>0.76597983698452998</v>
      </c>
      <c r="Q72" s="413">
        <f ca="1"/>
        <v>1.56856456101202</v>
      </c>
      <c r="R72" s="452">
        <f ca="1"/>
        <v>1.56856456101202</v>
      </c>
      <c r="S72" s="443"/>
      <c r="T72" s="422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3">
        <f ca="1"/>
        <v>2.6910450414134299E-2</v>
      </c>
      <c r="V72" s="423">
        <f ca="1"/>
        <v>4.2890287398664101E-2</v>
      </c>
      <c r="W72" s="424">
        <f ca="1"/>
        <v>6.2742527612376104E-3</v>
      </c>
      <c r="X72" s="425">
        <f ca="1"/>
        <v>4.28902873986641</v>
      </c>
      <c r="Y72" s="426">
        <f t="shared" ca="1" si="11"/>
        <v>0.11841785389064301</v>
      </c>
      <c r="Z72" s="427">
        <f t="shared" ca="1" si="0"/>
        <v>-3.1866777852723482E-3</v>
      </c>
      <c r="AA72" s="426">
        <f t="shared" ca="1" si="1"/>
        <v>0.15076696029279232</v>
      </c>
      <c r="AB72" s="428">
        <f t="shared" ca="1" si="2"/>
        <v>5.9605401231757294E-3</v>
      </c>
      <c r="AC72" s="427">
        <f t="shared" ca="1" si="3"/>
        <v>-2.0286034045244734E-4</v>
      </c>
      <c r="AD72" s="79"/>
      <c r="AE72" s="496">
        <f t="shared" ca="1" si="4"/>
        <v>1.28250634995359</v>
      </c>
      <c r="AF72" s="493">
        <f t="shared" ca="1" si="5"/>
        <v>1.2597457192816324</v>
      </c>
      <c r="AG72" s="493">
        <f t="shared" ca="1" si="6"/>
        <v>2.276063067195766E-2</v>
      </c>
      <c r="AH72" s="498">
        <f t="shared" ca="1" si="7"/>
        <v>0</v>
      </c>
      <c r="AI72" s="497">
        <f t="shared" ca="1" si="12"/>
        <v>1.28250634995359</v>
      </c>
      <c r="AJ72" s="493">
        <f t="shared" ca="1" si="8"/>
        <v>0.46381131102178774</v>
      </c>
      <c r="AK72" s="493">
        <f t="shared" ca="1" si="9"/>
        <v>0.81869503893180229</v>
      </c>
      <c r="AL72" s="498">
        <f t="shared" ca="1" si="10"/>
        <v>0</v>
      </c>
    </row>
    <row r="73" spans="1:38" customFormat="1" ht="1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>
        <f ca="1"/>
        <v>1.6049339610848501E-4</v>
      </c>
      <c r="J73" s="413">
        <f ca="1"/>
        <v>4.5187488333998E-4</v>
      </c>
      <c r="K73" s="413">
        <f ca="1"/>
        <v>0.35517219926502003</v>
      </c>
      <c r="L73" s="413">
        <f ca="1"/>
        <v>0.35517219926502003</v>
      </c>
      <c r="M73" s="413">
        <f ca="1"/>
        <v>-1.87261899089175E-4</v>
      </c>
      <c r="N73" s="568" t="str">
        <f ca="1"/>
        <v>GREATUNIVERSALSTORES_MMR.EUR.SU</v>
      </c>
      <c r="O73" s="413">
        <f ca="1"/>
        <v>1.2045400223323499</v>
      </c>
      <c r="P73" s="413">
        <f ca="1"/>
        <v>0.77740415132699303</v>
      </c>
      <c r="Q73" s="413">
        <f ca="1"/>
        <v>1.54943862889882</v>
      </c>
      <c r="R73" s="452">
        <f ca="1"/>
        <v>1.54943862889882</v>
      </c>
      <c r="S73" s="443"/>
      <c r="T73" s="422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3">
        <f ca="1"/>
        <v>1.5833064071766101E-2</v>
      </c>
      <c r="V73" s="423">
        <f ca="1"/>
        <v>4.3237215398759098E-2</v>
      </c>
      <c r="W73" s="424">
        <f ca="1"/>
        <v>3.6619065140398701E-3</v>
      </c>
      <c r="X73" s="425">
        <f ca="1"/>
        <v>4.3237215398759101</v>
      </c>
      <c r="Y73" s="426">
        <f t="shared" ca="1" si="11"/>
        <v>0.11841785389064301</v>
      </c>
      <c r="Z73" s="427">
        <f t="shared" ca="1" si="0"/>
        <v>-1.8749174678915866E-3</v>
      </c>
      <c r="AA73" s="426">
        <f t="shared" ca="1" si="1"/>
        <v>0.11839073308834001</v>
      </c>
      <c r="AB73" s="428">
        <f t="shared" ca="1" si="2"/>
        <v>3.4788111883378766E-3</v>
      </c>
      <c r="AC73" s="427">
        <f t="shared" ca="1" si="3"/>
        <v>-9.3724403124552253E-5</v>
      </c>
      <c r="AD73" s="79"/>
      <c r="AE73" s="496">
        <f t="shared" ca="1" si="4"/>
        <v>1.28780319739319</v>
      </c>
      <c r="AF73" s="493">
        <f t="shared" ca="1" si="5"/>
        <v>1.2492580874934056</v>
      </c>
      <c r="AG73" s="493">
        <f t="shared" ca="1" si="6"/>
        <v>3.8545109899784435E-2</v>
      </c>
      <c r="AH73" s="498">
        <f t="shared" ca="1" si="7"/>
        <v>0</v>
      </c>
      <c r="AI73" s="497">
        <f t="shared" ca="1" si="12"/>
        <v>1.28780319739319</v>
      </c>
      <c r="AJ73" s="493">
        <f t="shared" ca="1" si="8"/>
        <v>0.38935713228098151</v>
      </c>
      <c r="AK73" s="493">
        <f t="shared" ca="1" si="9"/>
        <v>0.89844606511220859</v>
      </c>
      <c r="AL73" s="498">
        <f t="shared" ca="1" si="10"/>
        <v>0</v>
      </c>
    </row>
    <row r="74" spans="1:38" customFormat="1" ht="1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>
        <f ca="1"/>
        <v>1.5203129375289601E-4</v>
      </c>
      <c r="J74" s="413">
        <f ca="1"/>
        <v>4.5380164046462398E-4</v>
      </c>
      <c r="K74" s="413">
        <f ca="1"/>
        <v>0.33501706515921598</v>
      </c>
      <c r="L74" s="413">
        <f ca="1"/>
        <v>0.33501706515921598</v>
      </c>
      <c r="M74" s="413">
        <f ca="1"/>
        <v>-1.6175111630958299E-4</v>
      </c>
      <c r="N74" s="568" t="str">
        <f ca="1"/>
        <v>HANNOVERRUECK_MMR.EUR.SU</v>
      </c>
      <c r="O74" s="413">
        <f ca="1"/>
        <v>1.20492458618805</v>
      </c>
      <c r="P74" s="413">
        <f ca="1"/>
        <v>0.77966016331572996</v>
      </c>
      <c r="Q74" s="413">
        <f ca="1"/>
        <v>1.5454484439268501</v>
      </c>
      <c r="R74" s="452">
        <f ca="1"/>
        <v>1.5454484439268501</v>
      </c>
      <c r="S74" s="443"/>
      <c r="T74" s="422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3">
        <f ca="1"/>
        <v>1.35717349759667E-2</v>
      </c>
      <c r="V74" s="423">
        <f ca="1"/>
        <v>4.3231898291696803E-2</v>
      </c>
      <c r="W74" s="424">
        <f ca="1"/>
        <v>3.1392873115112102E-3</v>
      </c>
      <c r="X74" s="425">
        <f ca="1"/>
        <v>4.3231898291696798</v>
      </c>
      <c r="Y74" s="426">
        <f t="shared" ca="1" si="11"/>
        <v>0.11841785389064301</v>
      </c>
      <c r="Z74" s="427">
        <f t="shared" ca="1" si="0"/>
        <v>-1.6071357294265532E-3</v>
      </c>
      <c r="AA74" s="426">
        <f t="shared" ca="1" si="1"/>
        <v>0.11167235505307199</v>
      </c>
      <c r="AB74" s="428">
        <f t="shared" ca="1" si="2"/>
        <v>2.9823229459356496E-3</v>
      </c>
      <c r="AC74" s="427">
        <f t="shared" ca="1" si="3"/>
        <v>-7.5779380346117442E-5</v>
      </c>
      <c r="AD74" s="79"/>
      <c r="AE74" s="496">
        <f t="shared" ca="1" si="4"/>
        <v>1.2885587566672501</v>
      </c>
      <c r="AF74" s="493">
        <f t="shared" ca="1" si="5"/>
        <v>1.2469538975924501</v>
      </c>
      <c r="AG74" s="493">
        <f t="shared" ca="1" si="6"/>
        <v>4.1604859074799938E-2</v>
      </c>
      <c r="AH74" s="498">
        <f t="shared" ca="1" si="7"/>
        <v>0</v>
      </c>
      <c r="AI74" s="497">
        <f t="shared" ca="1" si="12"/>
        <v>1.2885587566672501</v>
      </c>
      <c r="AJ74" s="493">
        <f t="shared" ca="1" si="8"/>
        <v>0.3718790971051083</v>
      </c>
      <c r="AK74" s="493">
        <f t="shared" ca="1" si="9"/>
        <v>0.91667965956214181</v>
      </c>
      <c r="AL74" s="498">
        <f t="shared" ca="1" si="10"/>
        <v>0</v>
      </c>
    </row>
    <row r="75" spans="1:38" customFormat="1" ht="1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>
        <f ca="1"/>
        <v>1.81774471997698E-4</v>
      </c>
      <c r="J75" s="413">
        <f ca="1"/>
        <v>4.4745197102356897E-4</v>
      </c>
      <c r="K75" s="413">
        <f ca="1"/>
        <v>0.40624353845593703</v>
      </c>
      <c r="L75" s="413">
        <f ca="1"/>
        <v>0.40624353845593703</v>
      </c>
      <c r="M75" s="413">
        <f ca="1"/>
        <v>-2.52632678885911E-4</v>
      </c>
      <c r="N75" s="568" t="str">
        <f ca="1"/>
        <v>HELLENIC TELCOM_MMR.EUR.SU</v>
      </c>
      <c r="O75" s="413">
        <f ca="1"/>
        <v>1.2031880322184301</v>
      </c>
      <c r="P75" s="413">
        <f ca="1"/>
        <v>0.77189682669396598</v>
      </c>
      <c r="Q75" s="413">
        <f ca="1"/>
        <v>1.55874203728973</v>
      </c>
      <c r="R75" s="452">
        <f ca="1"/>
        <v>1.55874203728973</v>
      </c>
      <c r="S75" s="443"/>
      <c r="T75" s="422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3">
        <f ca="1"/>
        <v>2.11747736683238E-2</v>
      </c>
      <c r="V75" s="423">
        <f ca="1"/>
        <v>4.3071600362289499E-2</v>
      </c>
      <c r="W75" s="424">
        <f ca="1"/>
        <v>4.9161799167469402E-3</v>
      </c>
      <c r="X75" s="425">
        <f ca="1"/>
        <v>4.3071600362289502</v>
      </c>
      <c r="Y75" s="426">
        <f t="shared" ca="1" si="11"/>
        <v>0.11841785389064301</v>
      </c>
      <c r="Z75" s="427">
        <f t="shared" ca="1" si="0"/>
        <v>-2.5074712544230012E-3</v>
      </c>
      <c r="AA75" s="426">
        <f t="shared" ca="1" si="1"/>
        <v>0.13541451281864567</v>
      </c>
      <c r="AB75" s="428">
        <f t="shared" ca="1" si="2"/>
        <v>4.6703709209095926E-3</v>
      </c>
      <c r="AC75" s="427">
        <f t="shared" ca="1" si="3"/>
        <v>-1.4336858301705797E-4</v>
      </c>
      <c r="AD75" s="79"/>
      <c r="AE75" s="496">
        <f t="shared" ca="1" si="4"/>
        <v>1.2853989837358299</v>
      </c>
      <c r="AF75" s="493">
        <f t="shared" ca="1" si="5"/>
        <v>1.254409562362014</v>
      </c>
      <c r="AG75" s="493">
        <f t="shared" ca="1" si="6"/>
        <v>3.0989421373815995E-2</v>
      </c>
      <c r="AH75" s="498">
        <f t="shared" ca="1" si="7"/>
        <v>0</v>
      </c>
      <c r="AI75" s="497">
        <f t="shared" ca="1" si="12"/>
        <v>1.2853989837358299</v>
      </c>
      <c r="AJ75" s="493">
        <f t="shared" ca="1" si="8"/>
        <v>0.42951713542385239</v>
      </c>
      <c r="AK75" s="493">
        <f t="shared" ca="1" si="9"/>
        <v>0.85588184831197756</v>
      </c>
      <c r="AL75" s="498">
        <f t="shared" ca="1" si="10"/>
        <v>0</v>
      </c>
    </row>
    <row r="76" spans="1:38" customFormat="1" ht="1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>
        <f ca="1"/>
        <v>1.3618135971358301E-4</v>
      </c>
      <c r="J76" s="413">
        <f ca="1"/>
        <v>4.5598220116032599E-4</v>
      </c>
      <c r="K76" s="413">
        <f ca="1"/>
        <v>0.29865498996900702</v>
      </c>
      <c r="L76" s="413">
        <f ca="1"/>
        <v>0.29865498996900702</v>
      </c>
      <c r="M76" s="413">
        <f ca="1"/>
        <v>-1.24895805969861E-4</v>
      </c>
      <c r="N76" s="568" t="str">
        <f ca="1"/>
        <v>HENKELKG_MMR.EUR.SU</v>
      </c>
      <c r="O76" s="413">
        <f ca="1"/>
        <v>1.2055440120095899</v>
      </c>
      <c r="P76" s="413">
        <f ca="1"/>
        <v>0.78247604035556195</v>
      </c>
      <c r="Q76" s="413">
        <f ca="1"/>
        <v>1.5406784998321299</v>
      </c>
      <c r="R76" s="452">
        <f ca="1"/>
        <v>1.5406784998321299</v>
      </c>
      <c r="S76" s="443"/>
      <c r="T76" s="422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3">
        <f ca="1"/>
        <v>1.08927340264857E-2</v>
      </c>
      <c r="V76" s="423">
        <f ca="1"/>
        <v>4.3368774382048003E-2</v>
      </c>
      <c r="W76" s="424">
        <f ca="1"/>
        <v>2.5116536452076E-3</v>
      </c>
      <c r="X76" s="425">
        <f ca="1"/>
        <v>4.3368774382047999</v>
      </c>
      <c r="Y76" s="426">
        <f t="shared" ca="1" si="11"/>
        <v>0.11841785389064301</v>
      </c>
      <c r="Z76" s="427">
        <f t="shared" ca="1" si="0"/>
        <v>-1.2898941864180173E-3</v>
      </c>
      <c r="AA76" s="426">
        <f t="shared" ca="1" si="1"/>
        <v>9.9551663323002346E-2</v>
      </c>
      <c r="AB76" s="428">
        <f t="shared" ca="1" si="2"/>
        <v>2.3860709629472199E-3</v>
      </c>
      <c r="AC76" s="427">
        <f t="shared" ca="1" si="3"/>
        <v>-5.4219489523585761E-5</v>
      </c>
      <c r="AD76" s="79"/>
      <c r="AE76" s="496">
        <f t="shared" ca="1" si="4"/>
        <v>1.2896889505629801</v>
      </c>
      <c r="AF76" s="493">
        <f t="shared" ca="1" si="5"/>
        <v>1.2442804553424804</v>
      </c>
      <c r="AG76" s="493">
        <f t="shared" ca="1" si="6"/>
        <v>4.5408495220499612E-2</v>
      </c>
      <c r="AH76" s="498">
        <f t="shared" ca="1" si="7"/>
        <v>0</v>
      </c>
      <c r="AI76" s="497">
        <f t="shared" ca="1" si="12"/>
        <v>1.2896889505629801</v>
      </c>
      <c r="AJ76" s="493">
        <f t="shared" ca="1" si="8"/>
        <v>0.34186003640310481</v>
      </c>
      <c r="AK76" s="493">
        <f t="shared" ca="1" si="9"/>
        <v>0.94782891415987525</v>
      </c>
      <c r="AL76" s="498">
        <f t="shared" ca="1" si="10"/>
        <v>0</v>
      </c>
    </row>
    <row r="77" spans="1:38" customFormat="1" ht="1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>
        <f ca="1"/>
        <v>1.5976561802215599E-4</v>
      </c>
      <c r="J77" s="413">
        <f ca="1"/>
        <v>4.5228992214176402E-4</v>
      </c>
      <c r="K77" s="413">
        <f ca="1"/>
        <v>0.353237183056402</v>
      </c>
      <c r="L77" s="413">
        <f ca="1"/>
        <v>0.353237183056402</v>
      </c>
      <c r="M77" s="413">
        <f ca="1"/>
        <v>-1.8363273295693999E-4</v>
      </c>
      <c r="N77" s="568" t="str">
        <f ca="1"/>
        <v>IBERDROLA_MMR.EUR.SU</v>
      </c>
      <c r="O77" s="413">
        <f ca="1"/>
        <v>1.2045727067329399</v>
      </c>
      <c r="P77" s="413">
        <f ca="1"/>
        <v>0.77783112907995999</v>
      </c>
      <c r="Q77" s="413">
        <f ca="1"/>
        <v>1.5486301096714199</v>
      </c>
      <c r="R77" s="452">
        <f ca="1"/>
        <v>1.5486301096714199</v>
      </c>
      <c r="S77" s="443"/>
      <c r="T77" s="422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3">
        <f ca="1"/>
        <v>1.5367979749653799E-2</v>
      </c>
      <c r="V77" s="423">
        <f ca="1"/>
        <v>4.3199108829613801E-2</v>
      </c>
      <c r="W77" s="424">
        <f ca="1"/>
        <v>3.5574761068031002E-3</v>
      </c>
      <c r="X77" s="425">
        <f ca="1"/>
        <v>4.3199108829613797</v>
      </c>
      <c r="Y77" s="426">
        <f t="shared" ca="1" si="11"/>
        <v>0.11841785389064301</v>
      </c>
      <c r="Z77" s="427">
        <f t="shared" ca="1" si="0"/>
        <v>-1.8198431805888633E-3</v>
      </c>
      <c r="AA77" s="426">
        <f t="shared" ca="1" si="1"/>
        <v>0.11774572768546733</v>
      </c>
      <c r="AB77" s="428">
        <f t="shared" ca="1" si="2"/>
        <v>3.3796023014629451E-3</v>
      </c>
      <c r="AC77" s="427">
        <f t="shared" ca="1" si="3"/>
        <v>-9.0475697933925622E-5</v>
      </c>
      <c r="AD77" s="79"/>
      <c r="AE77" s="496">
        <f t="shared" ca="1" si="4"/>
        <v>1.28788885674139</v>
      </c>
      <c r="AF77" s="493">
        <f t="shared" ca="1" si="5"/>
        <v>1.2487654272000099</v>
      </c>
      <c r="AG77" s="493">
        <f t="shared" ca="1" si="6"/>
        <v>3.9123429541380039E-2</v>
      </c>
      <c r="AH77" s="498">
        <f t="shared" ca="1" si="7"/>
        <v>0</v>
      </c>
      <c r="AI77" s="497">
        <f t="shared" ca="1" si="12"/>
        <v>1.28788885674139</v>
      </c>
      <c r="AJ77" s="493">
        <f t="shared" ca="1" si="8"/>
        <v>0.38727005990144425</v>
      </c>
      <c r="AK77" s="493">
        <f t="shared" ca="1" si="9"/>
        <v>0.90061879683994572</v>
      </c>
      <c r="AL77" s="498">
        <f t="shared" ca="1" si="10"/>
        <v>0</v>
      </c>
    </row>
    <row r="78" spans="1:38" customFormat="1" ht="1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>
        <f ca="1"/>
        <v>1.0319146207553601E-4</v>
      </c>
      <c r="J78" s="413">
        <f ca="1"/>
        <v>4.6011772474805298E-4</v>
      </c>
      <c r="K78" s="413">
        <f ca="1"/>
        <v>0.22427186897014401</v>
      </c>
      <c r="L78" s="413">
        <f ca="1"/>
        <v>0.22427186897014401</v>
      </c>
      <c r="M78" s="413">
        <f ca="1"/>
        <v>-6.2233399262190406E-5</v>
      </c>
      <c r="N78" s="568" t="str">
        <f ca="1"/>
        <v>ICI_MMR.EUR.SU</v>
      </c>
      <c r="O78" s="413">
        <f ca="1"/>
        <v>1.2063033911496399</v>
      </c>
      <c r="P78" s="413">
        <f ca="1"/>
        <v>0.78756706661433795</v>
      </c>
      <c r="Q78" s="413">
        <f ca="1"/>
        <v>1.53168338581678</v>
      </c>
      <c r="R78" s="452">
        <f ca="1"/>
        <v>1.53168338581678</v>
      </c>
      <c r="S78" s="443"/>
      <c r="T78" s="422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3">
        <f ca="1"/>
        <v>5.9174855882635699E-3</v>
      </c>
      <c r="V78" s="423">
        <f ca="1"/>
        <v>4.3484552202601903E-2</v>
      </c>
      <c r="W78" s="424">
        <f ca="1"/>
        <v>1.36082477305803E-3</v>
      </c>
      <c r="X78" s="425">
        <f ca="1"/>
        <v>4.34845522026019</v>
      </c>
      <c r="Y78" s="426">
        <f t="shared" ca="1" si="11"/>
        <v>0.11841785389064301</v>
      </c>
      <c r="Z78" s="427">
        <f t="shared" ca="1" si="0"/>
        <v>-7.0073594379098218E-4</v>
      </c>
      <c r="AA78" s="426">
        <f t="shared" ca="1" si="1"/>
        <v>7.4757289656714673E-2</v>
      </c>
      <c r="AB78" s="428">
        <f t="shared" ca="1" si="2"/>
        <v>1.2927835344051285E-3</v>
      </c>
      <c r="AC78" s="427">
        <f t="shared" ca="1" si="3"/>
        <v>-2.2118759208062751E-5</v>
      </c>
      <c r="AD78" s="79"/>
      <c r="AE78" s="496">
        <f t="shared" ca="1" si="4"/>
        <v>1.2912095492276701</v>
      </c>
      <c r="AF78" s="493">
        <f t="shared" ca="1" si="5"/>
        <v>1.2390104276824521</v>
      </c>
      <c r="AG78" s="493">
        <f t="shared" ca="1" si="6"/>
        <v>5.2199121545217997E-2</v>
      </c>
      <c r="AH78" s="498">
        <f t="shared" ca="1" si="7"/>
        <v>0</v>
      </c>
      <c r="AI78" s="497">
        <f t="shared" ca="1" si="12"/>
        <v>1.2912095492276701</v>
      </c>
      <c r="AJ78" s="493">
        <f t="shared" ca="1" si="8"/>
        <v>0.2743145287346106</v>
      </c>
      <c r="AK78" s="493">
        <f t="shared" ca="1" si="9"/>
        <v>1.0168950204930596</v>
      </c>
      <c r="AL78" s="498">
        <f t="shared" ca="1" si="10"/>
        <v>0</v>
      </c>
    </row>
    <row r="79" spans="1:38" customFormat="1" ht="1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>
        <f ca="1"/>
        <v>1.5219452390669E-4</v>
      </c>
      <c r="J79" s="413">
        <f ca="1"/>
        <v>4.5380488489907598E-4</v>
      </c>
      <c r="K79" s="413">
        <f ca="1"/>
        <v>0.33537436235517198</v>
      </c>
      <c r="L79" s="413">
        <f ca="1"/>
        <v>0.33537436235517198</v>
      </c>
      <c r="M79" s="413">
        <f ca="1"/>
        <v>-1.62124314761192E-4</v>
      </c>
      <c r="N79" s="568" t="str">
        <f ca="1"/>
        <v>INTESA_MMR.EUR.SU</v>
      </c>
      <c r="O79" s="413">
        <f ca="1"/>
        <v>1.20491642996542</v>
      </c>
      <c r="P79" s="413">
        <f ca="1"/>
        <v>0.77965381607817497</v>
      </c>
      <c r="Q79" s="413">
        <f ca="1"/>
        <v>1.54545056423427</v>
      </c>
      <c r="R79" s="452">
        <f ca="1"/>
        <v>1.54545056423427</v>
      </c>
      <c r="S79" s="443"/>
      <c r="T79" s="422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3">
        <f ca="1"/>
        <v>1.3568907487582599E-2</v>
      </c>
      <c r="V79" s="423">
        <f ca="1"/>
        <v>4.3222723565757501E-2</v>
      </c>
      <c r="W79" s="424">
        <f ca="1"/>
        <v>3.1392995091897298E-3</v>
      </c>
      <c r="X79" s="425">
        <f ca="1"/>
        <v>4.3222723565757502</v>
      </c>
      <c r="Y79" s="426">
        <f t="shared" ca="1" si="11"/>
        <v>0.11841785389064301</v>
      </c>
      <c r="Z79" s="427">
        <f t="shared" ca="1" si="0"/>
        <v>-1.6068009043202069E-3</v>
      </c>
      <c r="AA79" s="426">
        <f t="shared" ca="1" si="1"/>
        <v>0.11179145411839066</v>
      </c>
      <c r="AB79" s="428">
        <f t="shared" ca="1" si="2"/>
        <v>2.9823345337302433E-3</v>
      </c>
      <c r="AC79" s="427">
        <f t="shared" ca="1" si="3"/>
        <v>-7.5844394941738832E-5</v>
      </c>
      <c r="AD79" s="79"/>
      <c r="AE79" s="496">
        <f t="shared" ca="1" si="4"/>
        <v>1.28854469217933</v>
      </c>
      <c r="AF79" s="493">
        <f t="shared" ca="1" si="5"/>
        <v>1.2469488724386313</v>
      </c>
      <c r="AG79" s="493">
        <f t="shared" ca="1" si="6"/>
        <v>4.1595819740698703E-2</v>
      </c>
      <c r="AH79" s="498">
        <f t="shared" ca="1" si="7"/>
        <v>0</v>
      </c>
      <c r="AI79" s="497">
        <f t="shared" ca="1" si="12"/>
        <v>1.28854469217933</v>
      </c>
      <c r="AJ79" s="493">
        <f t="shared" ca="1" si="8"/>
        <v>0.37213385120097198</v>
      </c>
      <c r="AK79" s="493">
        <f t="shared" ca="1" si="9"/>
        <v>0.91641084097835801</v>
      </c>
      <c r="AL79" s="498">
        <f t="shared" ca="1" si="10"/>
        <v>0</v>
      </c>
    </row>
    <row r="80" spans="1:38" customFormat="1" ht="1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>
        <f ca="1"/>
        <v>2.48222468582204E-4</v>
      </c>
      <c r="J80" s="413">
        <f ca="1"/>
        <v>4.4080120070674598E-4</v>
      </c>
      <c r="K80" s="413">
        <f ca="1"/>
        <v>0.56311658902975703</v>
      </c>
      <c r="L80" s="413">
        <f ca="1"/>
        <v>0.56311658902975703</v>
      </c>
      <c r="M80" s="413">
        <f ca="1"/>
        <v>-4.94157003530216E-4</v>
      </c>
      <c r="N80" s="568" t="str">
        <f ca="1"/>
        <v>KINGFISHER_MMR.EUR.SU</v>
      </c>
      <c r="O80" s="413">
        <f ca="1"/>
        <v>1.1947500349372</v>
      </c>
      <c r="P80" s="413">
        <f ca="1"/>
        <v>0.74678729526122101</v>
      </c>
      <c r="Q80" s="413">
        <f ca="1"/>
        <v>1.5998531878066899</v>
      </c>
      <c r="R80" s="452">
        <f ca="1"/>
        <v>1.5998531878066899</v>
      </c>
      <c r="S80" s="443"/>
      <c r="T80" s="422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3">
        <f ca="1"/>
        <v>4.5637303921944497E-2</v>
      </c>
      <c r="V80" s="423">
        <f ca="1"/>
        <v>4.24245991831654E-2</v>
      </c>
      <c r="W80" s="424">
        <f ca="1"/>
        <v>1.07572740345544E-2</v>
      </c>
      <c r="X80" s="425">
        <f ca="1"/>
        <v>4.2424599183165403</v>
      </c>
      <c r="Y80" s="426">
        <f t="shared" ref="Y80:Y143" ca="1" si="13">IF($U$12,IF(T80="","",$U$13*D104/$C$18),"")</f>
        <v>0.11841785389064301</v>
      </c>
      <c r="Z80" s="427">
        <f t="shared" ref="Z80:Z143" ca="1" si="14">IF($U$12,IF(Y80="","",Y80*($Z$10-W80)*X80),"")</f>
        <v>-5.4042715877916691E-3</v>
      </c>
      <c r="AA80" s="426">
        <f t="shared" ref="AA80:AA143" ca="1" si="15">IF($U$12,IF(OR(T80="",L80=""),"",L80/($C$20-$C$19)),"")</f>
        <v>0.18770552967658569</v>
      </c>
      <c r="AB80" s="428">
        <f t="shared" ref="AB80:AB143" ca="1" si="16">IF($U$12,IF(W80="","",W80*$AC$10),"")</f>
        <v>1.0219410332826679E-2</v>
      </c>
      <c r="AC80" s="427">
        <f t="shared" ref="AC80:AC143" ca="1" si="17">IF($U$12,IF(AA80="","",AA80*(AB80-W80)*X80),"")</f>
        <v>-4.2831871528399432E-4</v>
      </c>
      <c r="AD80" s="79"/>
      <c r="AE80" s="496">
        <f t="shared" ref="AE80:AE114" ca="1" si="18">O80</f>
        <v>1.2717247810752601</v>
      </c>
      <c r="AF80" s="493">
        <f t="shared" ref="AF80:AF114" ca="1" si="19">ABS(MIN(-0.75*(Q80+T80)+T80,0))</f>
        <v>1.2763926088250304</v>
      </c>
      <c r="AG80" s="493">
        <f t="shared" ref="AG80:AG114" ca="1" si="20">IF($AF$9,MAX(O80-AF80,0),AE80)</f>
        <v>0</v>
      </c>
      <c r="AH80" s="498">
        <f t="shared" ca="1" si="7"/>
        <v>0</v>
      </c>
      <c r="AI80" s="497">
        <f t="shared" ca="1" si="12"/>
        <v>1.2717247810752601</v>
      </c>
      <c r="AJ80" s="493">
        <f t="shared" ca="1" si="8"/>
        <v>0.53941146418382691</v>
      </c>
      <c r="AK80" s="493">
        <f t="shared" ca="1" si="9"/>
        <v>0.7323133168914332</v>
      </c>
      <c r="AL80" s="498">
        <f t="shared" ca="1" si="10"/>
        <v>0</v>
      </c>
    </row>
    <row r="81" spans="1:38" customFormat="1" ht="1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>
        <f ca="1"/>
        <v>1.7041097513665899E-4</v>
      </c>
      <c r="J81" s="413">
        <f ca="1"/>
        <v>4.5004548614042402E-4</v>
      </c>
      <c r="K81" s="413">
        <f ca="1"/>
        <v>0.37865278151792597</v>
      </c>
      <c r="L81" s="413">
        <f ca="1"/>
        <v>0.37865278151792597</v>
      </c>
      <c r="M81" s="413">
        <f ca="1"/>
        <v>-2.1574926618241901E-4</v>
      </c>
      <c r="N81" s="568" t="str">
        <f ca="1"/>
        <v>KPN_MMR.EUR.SU</v>
      </c>
      <c r="O81" s="413">
        <f ca="1"/>
        <v>1.2039761317945501</v>
      </c>
      <c r="P81" s="413">
        <f ca="1"/>
        <v>0.77509231777335297</v>
      </c>
      <c r="Q81" s="413">
        <f ca="1"/>
        <v>1.5533325568924099</v>
      </c>
      <c r="R81" s="452">
        <f ca="1"/>
        <v>1.5533325568924099</v>
      </c>
      <c r="S81" s="443"/>
      <c r="T81" s="422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3">
        <f ca="1"/>
        <v>1.8056090612447701E-2</v>
      </c>
      <c r="V81" s="423">
        <f ca="1"/>
        <v>4.3148408385801001E-2</v>
      </c>
      <c r="W81" s="424">
        <f ca="1"/>
        <v>4.1846481221285304E-3</v>
      </c>
      <c r="X81" s="425">
        <f ca="1"/>
        <v>4.3148408385800998</v>
      </c>
      <c r="Y81" s="426">
        <f t="shared" ca="1" si="13"/>
        <v>0.11841785389064301</v>
      </c>
      <c r="Z81" s="427">
        <f t="shared" ca="1" si="14"/>
        <v>-2.1381634999810433E-3</v>
      </c>
      <c r="AA81" s="426">
        <f t="shared" ca="1" si="15"/>
        <v>0.12621759383930867</v>
      </c>
      <c r="AB81" s="428">
        <f t="shared" ca="1" si="16"/>
        <v>3.975415716022104E-3</v>
      </c>
      <c r="AC81" s="427">
        <f t="shared" ca="1" si="17"/>
        <v>-1.1394981556238391E-4</v>
      </c>
      <c r="AD81" s="79"/>
      <c r="AE81" s="496">
        <f t="shared" ca="1" si="18"/>
        <v>1.28679677363463</v>
      </c>
      <c r="AF81" s="493">
        <f t="shared" ca="1" si="19"/>
        <v>1.2514119591557034</v>
      </c>
      <c r="AG81" s="493">
        <f t="shared" ca="1" si="20"/>
        <v>3.5384814478926607E-2</v>
      </c>
      <c r="AH81" s="498">
        <f t="shared" ref="AH81:AH114" ca="1" si="21">IF($AF$9,0,AF81)</f>
        <v>0</v>
      </c>
      <c r="AI81" s="497">
        <f t="shared" ca="1" si="12"/>
        <v>1.28679677363463</v>
      </c>
      <c r="AJ81" s="493">
        <f t="shared" ref="AJ81:AJ114" ca="1" si="22">ABS(MIN(-0.75*(K81+T81)+T81,0))</f>
        <v>0.40793286235894882</v>
      </c>
      <c r="AK81" s="493">
        <f t="shared" ref="AK81:AK114" ca="1" si="23">IF($AF$9,MAX(AI81-AJ81,0),AI81)</f>
        <v>0.87886391127568109</v>
      </c>
      <c r="AL81" s="498">
        <f t="shared" ref="AL81:AL114" ca="1" si="24">IF($AF$9,0,AJ81)</f>
        <v>0</v>
      </c>
    </row>
    <row r="82" spans="1:38" customFormat="1" ht="1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>
        <f ca="1"/>
        <v>1.8742544266727701E-4</v>
      </c>
      <c r="J82" s="413">
        <f ca="1"/>
        <v>4.45959056123144E-4</v>
      </c>
      <c r="K82" s="413">
        <f ca="1"/>
        <v>0.42027500079631203</v>
      </c>
      <c r="L82" s="413">
        <f ca="1"/>
        <v>0.42027500079631203</v>
      </c>
      <c r="M82" s="413">
        <f ca="1"/>
        <v>-2.7249531203932302E-4</v>
      </c>
      <c r="N82" s="568" t="str">
        <f ca="1"/>
        <v>LAFARGE_MMR.EUR.SU</v>
      </c>
      <c r="O82" s="413">
        <f ca="1"/>
        <v>1.20272870392598</v>
      </c>
      <c r="P82" s="413">
        <f ca="1"/>
        <v>0.77008439530366501</v>
      </c>
      <c r="Q82" s="413">
        <f ca="1"/>
        <v>1.5618141482424299</v>
      </c>
      <c r="R82" s="452">
        <f ca="1"/>
        <v>1.5618141482424299</v>
      </c>
      <c r="S82" s="443"/>
      <c r="T82" s="422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3">
        <f ca="1"/>
        <v>2.2960039290071201E-2</v>
      </c>
      <c r="V82" s="423">
        <f ca="1"/>
        <v>4.3044434593736199E-2</v>
      </c>
      <c r="W82" s="424">
        <f ca="1"/>
        <v>5.3340320314980601E-3</v>
      </c>
      <c r="X82" s="425">
        <f ca="1"/>
        <v>4.3044434593736201</v>
      </c>
      <c r="Y82" s="426">
        <f t="shared" ca="1" si="13"/>
        <v>0.11841785389064301</v>
      </c>
      <c r="Z82" s="427">
        <f t="shared" ca="1" si="14"/>
        <v>-2.7188785779750754E-3</v>
      </c>
      <c r="AA82" s="426">
        <f t="shared" ca="1" si="15"/>
        <v>0.14009166693210401</v>
      </c>
      <c r="AB82" s="428">
        <f t="shared" ca="1" si="16"/>
        <v>5.0673304299231571E-3</v>
      </c>
      <c r="AC82" s="427">
        <f t="shared" ca="1" si="17"/>
        <v>-1.6082550884863388E-4</v>
      </c>
      <c r="AD82" s="79"/>
      <c r="AE82" s="496">
        <f t="shared" ca="1" si="18"/>
        <v>1.2845929168910399</v>
      </c>
      <c r="AF82" s="493">
        <f t="shared" ca="1" si="19"/>
        <v>1.2561108411240562</v>
      </c>
      <c r="AG82" s="493">
        <f t="shared" ca="1" si="20"/>
        <v>2.8482075766983694E-2</v>
      </c>
      <c r="AH82" s="498">
        <f t="shared" ca="1" si="21"/>
        <v>0</v>
      </c>
      <c r="AI82" s="497">
        <f t="shared" ref="AI82:AI114" ca="1" si="25">O82</f>
        <v>1.2845929168910399</v>
      </c>
      <c r="AJ82" s="493">
        <f t="shared" ca="1" si="22"/>
        <v>0.44030501163457497</v>
      </c>
      <c r="AK82" s="493">
        <f t="shared" ca="1" si="23"/>
        <v>0.84428790525646491</v>
      </c>
      <c r="AL82" s="498">
        <f t="shared" ca="1" si="24"/>
        <v>0</v>
      </c>
    </row>
    <row r="83" spans="1:38" customFormat="1" ht="1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>
        <f ca="1"/>
        <v>1.4335879582916299E-4</v>
      </c>
      <c r="J83" s="413">
        <f ca="1"/>
        <v>4.5485394237621397E-4</v>
      </c>
      <c r="K83" s="413">
        <f ca="1"/>
        <v>0.315175449684439</v>
      </c>
      <c r="L83" s="413">
        <f ca="1"/>
        <v>0.315175449684439</v>
      </c>
      <c r="M83" s="413">
        <f ca="1"/>
        <v>-1.4224068995134499E-4</v>
      </c>
      <c r="N83" s="568" t="str">
        <f ca="1"/>
        <v>LINDE_MMR.EUR.SU</v>
      </c>
      <c r="O83" s="413">
        <f ca="1"/>
        <v>1.20529256299327</v>
      </c>
      <c r="P83" s="413">
        <f ca="1"/>
        <v>0.78108648380665602</v>
      </c>
      <c r="Q83" s="413">
        <f ca="1"/>
        <v>1.5430974520506699</v>
      </c>
      <c r="R83" s="452">
        <f ca="1"/>
        <v>1.5430974520506699</v>
      </c>
      <c r="S83" s="443"/>
      <c r="T83" s="422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3">
        <f ca="1"/>
        <v>1.22420122106753E-2</v>
      </c>
      <c r="V83" s="423">
        <f ca="1"/>
        <v>4.3328496017331297E-2</v>
      </c>
      <c r="W83" s="424">
        <f ca="1"/>
        <v>2.8253951408279999E-3</v>
      </c>
      <c r="X83" s="425">
        <f ca="1"/>
        <v>4.3328496017331304</v>
      </c>
      <c r="Y83" s="426">
        <f t="shared" ca="1" si="13"/>
        <v>0.11841785389064301</v>
      </c>
      <c r="Z83" s="427">
        <f t="shared" ca="1" si="14"/>
        <v>-1.4496728132912179E-3</v>
      </c>
      <c r="AA83" s="426">
        <f t="shared" ca="1" si="15"/>
        <v>0.10505848322814633</v>
      </c>
      <c r="AB83" s="428">
        <f t="shared" ca="1" si="16"/>
        <v>2.6841253837866E-3</v>
      </c>
      <c r="AC83" s="427">
        <f t="shared" ca="1" si="17"/>
        <v>-6.4306361725699758E-5</v>
      </c>
      <c r="AD83" s="79"/>
      <c r="AE83" s="496">
        <f t="shared" ca="1" si="18"/>
        <v>1.2892041711305899</v>
      </c>
      <c r="AF83" s="493">
        <f t="shared" ca="1" si="19"/>
        <v>1.245666717581299</v>
      </c>
      <c r="AG83" s="493">
        <f t="shared" ca="1" si="20"/>
        <v>4.353745354929095E-2</v>
      </c>
      <c r="AH83" s="498">
        <f t="shared" ca="1" si="21"/>
        <v>0</v>
      </c>
      <c r="AI83" s="497">
        <f t="shared" ca="1" si="25"/>
        <v>1.2892041711305899</v>
      </c>
      <c r="AJ83" s="493">
        <f t="shared" ca="1" si="22"/>
        <v>0.35617535631171399</v>
      </c>
      <c r="AK83" s="493">
        <f t="shared" ca="1" si="23"/>
        <v>0.9330288148188759</v>
      </c>
      <c r="AL83" s="498">
        <f t="shared" ca="1" si="24"/>
        <v>0</v>
      </c>
    </row>
    <row r="84" spans="1:38" customFormat="1" ht="1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>
        <f ca="1"/>
        <v>1.7505066706613499E-4</v>
      </c>
      <c r="J84" s="413">
        <f ca="1"/>
        <v>4.4891307984471201E-4</v>
      </c>
      <c r="K84" s="413">
        <f ca="1"/>
        <v>0.38994334298900002</v>
      </c>
      <c r="L84" s="413">
        <f ca="1"/>
        <v>0.38994334298900002</v>
      </c>
      <c r="M84" s="413">
        <f ca="1"/>
        <v>-2.3107264856669899E-4</v>
      </c>
      <c r="N84" s="568" t="str">
        <f ca="1"/>
        <v>LUFTHANSA_MMR.EUR.SU</v>
      </c>
      <c r="O84" s="413">
        <f ca="1"/>
        <v>1.2036720943749699</v>
      </c>
      <c r="P84" s="413">
        <f ca="1"/>
        <v>0.77373114636248597</v>
      </c>
      <c r="Q84" s="413">
        <f ca="1"/>
        <v>1.55567227716468</v>
      </c>
      <c r="R84" s="452">
        <f ca="1"/>
        <v>1.55567227716468</v>
      </c>
      <c r="S84" s="443"/>
      <c r="T84" s="422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3">
        <f ca="1"/>
        <v>1.9401584479906801E-2</v>
      </c>
      <c r="V84" s="423">
        <f ca="1"/>
        <v>4.3132730842392497E-2</v>
      </c>
      <c r="W84" s="424">
        <f ca="1"/>
        <v>4.4981117821638597E-3</v>
      </c>
      <c r="X84" s="425">
        <f ca="1"/>
        <v>4.3132730842392499</v>
      </c>
      <c r="Y84" s="426">
        <f t="shared" ca="1" si="13"/>
        <v>0.11841785389064301</v>
      </c>
      <c r="Z84" s="427">
        <f t="shared" ca="1" si="14"/>
        <v>-2.2974939961885729E-3</v>
      </c>
      <c r="AA84" s="426">
        <f t="shared" ca="1" si="15"/>
        <v>0.12998111432966666</v>
      </c>
      <c r="AB84" s="428">
        <f t="shared" ca="1" si="16"/>
        <v>4.2732061930556668E-3</v>
      </c>
      <c r="AC84" s="427">
        <f t="shared" ca="1" si="17"/>
        <v>-1.2609197852297266E-4</v>
      </c>
      <c r="AD84" s="79"/>
      <c r="AE84" s="496">
        <f t="shared" ca="1" si="18"/>
        <v>1.2862445414867101</v>
      </c>
      <c r="AF84" s="493">
        <f t="shared" ca="1" si="19"/>
        <v>1.2527268579554163</v>
      </c>
      <c r="AG84" s="493">
        <f t="shared" ca="1" si="20"/>
        <v>3.3517683531293807E-2</v>
      </c>
      <c r="AH84" s="498">
        <f t="shared" ca="1" si="21"/>
        <v>0</v>
      </c>
      <c r="AI84" s="497">
        <f t="shared" ca="1" si="25"/>
        <v>1.2862445414867101</v>
      </c>
      <c r="AJ84" s="493">
        <f t="shared" ca="1" si="22"/>
        <v>0.41699894481447414</v>
      </c>
      <c r="AK84" s="493">
        <f t="shared" ca="1" si="23"/>
        <v>0.86924559667223589</v>
      </c>
      <c r="AL84" s="498">
        <f t="shared" ca="1" si="24"/>
        <v>0</v>
      </c>
    </row>
    <row r="85" spans="1:38" customFormat="1" ht="1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>
        <f ca="1"/>
        <v>1.4615896141092501E-4</v>
      </c>
      <c r="J85" s="413">
        <f ca="1"/>
        <v>4.5449461129097899E-4</v>
      </c>
      <c r="K85" s="413">
        <f ca="1"/>
        <v>0.32158568612235999</v>
      </c>
      <c r="L85" s="413">
        <f ca="1"/>
        <v>0.32158568612235999</v>
      </c>
      <c r="M85" s="413">
        <f ca="1"/>
        <v>-1.48313008669932E-4</v>
      </c>
      <c r="N85" s="568" t="str">
        <f ca="1"/>
        <v>LVMH_MMR.EUR.SU</v>
      </c>
      <c r="O85" s="413">
        <f ca="1"/>
        <v>1.20518976960339</v>
      </c>
      <c r="P85" s="413">
        <f ca="1"/>
        <v>0.78062010490893396</v>
      </c>
      <c r="Q85" s="413">
        <f ca="1"/>
        <v>1.54388768880605</v>
      </c>
      <c r="R85" s="452">
        <f ca="1"/>
        <v>1.54388768880605</v>
      </c>
      <c r="S85" s="443"/>
      <c r="T85" s="422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3">
        <f ca="1"/>
        <v>1.2689875081875201E-2</v>
      </c>
      <c r="V85" s="423">
        <f ca="1"/>
        <v>4.3309979990809197E-2</v>
      </c>
      <c r="W85" s="424">
        <f ca="1"/>
        <v>2.9300117627780301E-3</v>
      </c>
      <c r="X85" s="425">
        <f ca="1"/>
        <v>4.3309979990809202</v>
      </c>
      <c r="Y85" s="426">
        <f t="shared" ca="1" si="13"/>
        <v>0.11841785389064301</v>
      </c>
      <c r="Z85" s="427">
        <f t="shared" ca="1" si="14"/>
        <v>-1.5027077733360099E-3</v>
      </c>
      <c r="AA85" s="426">
        <f t="shared" ca="1" si="15"/>
        <v>0.10719522870745334</v>
      </c>
      <c r="AB85" s="428">
        <f t="shared" ca="1" si="16"/>
        <v>2.7835111746391285E-3</v>
      </c>
      <c r="AC85" s="427">
        <f t="shared" ca="1" si="17"/>
        <v>-6.8014703083531366E-5</v>
      </c>
      <c r="AD85" s="79"/>
      <c r="AE85" s="496">
        <f t="shared" ca="1" si="18"/>
        <v>1.2890174283464699</v>
      </c>
      <c r="AF85" s="493">
        <f t="shared" ca="1" si="19"/>
        <v>1.2461102814536336</v>
      </c>
      <c r="AG85" s="493">
        <f t="shared" ca="1" si="20"/>
        <v>4.2907146892836368E-2</v>
      </c>
      <c r="AH85" s="498">
        <f t="shared" ca="1" si="21"/>
        <v>0</v>
      </c>
      <c r="AI85" s="497">
        <f t="shared" ca="1" si="25"/>
        <v>1.2890174283464699</v>
      </c>
      <c r="AJ85" s="493">
        <f t="shared" ca="1" si="22"/>
        <v>0.36134922382175577</v>
      </c>
      <c r="AK85" s="493">
        <f t="shared" ca="1" si="23"/>
        <v>0.92766820452471421</v>
      </c>
      <c r="AL85" s="498">
        <f t="shared" ca="1" si="24"/>
        <v>0</v>
      </c>
    </row>
    <row r="86" spans="1:38" customFormat="1" ht="1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>
        <f ca="1"/>
        <v>1.70010921573893E-4</v>
      </c>
      <c r="J86" s="413">
        <f ca="1"/>
        <v>4.50031113569573E-4</v>
      </c>
      <c r="K86" s="413">
        <f ca="1"/>
        <v>0.377775928036162</v>
      </c>
      <c r="L86" s="413">
        <f ca="1"/>
        <v>0.377775928036162</v>
      </c>
      <c r="M86" s="413">
        <f ca="1"/>
        <v>-2.14902201652234E-4</v>
      </c>
      <c r="N86" s="568" t="str">
        <f ca="1"/>
        <v>MARKSANDSPENCERPLC_MMR.EUR.SU</v>
      </c>
      <c r="O86" s="413">
        <f ca="1"/>
        <v>1.20400171127452</v>
      </c>
      <c r="P86" s="413">
        <f ca="1"/>
        <v>0.77510606947395699</v>
      </c>
      <c r="Q86" s="413">
        <f ca="1"/>
        <v>1.5533379993936101</v>
      </c>
      <c r="R86" s="452">
        <f ca="1"/>
        <v>1.5533379993936101</v>
      </c>
      <c r="S86" s="443"/>
      <c r="T86" s="422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3">
        <f ca="1"/>
        <v>1.8065715120709001E-2</v>
      </c>
      <c r="V86" s="423">
        <f ca="1"/>
        <v>4.3171784594666397E-2</v>
      </c>
      <c r="W86" s="424">
        <f ca="1"/>
        <v>4.1846116138874899E-3</v>
      </c>
      <c r="X86" s="425">
        <f ca="1"/>
        <v>4.31717845946664</v>
      </c>
      <c r="Y86" s="426">
        <f t="shared" ca="1" si="13"/>
        <v>0.11841785389064301</v>
      </c>
      <c r="Z86" s="427">
        <f t="shared" ca="1" si="14"/>
        <v>-2.139303213594099E-3</v>
      </c>
      <c r="AA86" s="426">
        <f t="shared" ca="1" si="15"/>
        <v>0.12592530934538734</v>
      </c>
      <c r="AB86" s="428">
        <f t="shared" ca="1" si="16"/>
        <v>3.975381033193115E-3</v>
      </c>
      <c r="AC86" s="427">
        <f t="shared" ca="1" si="17"/>
        <v>-1.1374653825604635E-4</v>
      </c>
      <c r="AD86" s="79"/>
      <c r="AE86" s="496">
        <f t="shared" ca="1" si="18"/>
        <v>1.2868359942434699</v>
      </c>
      <c r="AF86" s="493">
        <f t="shared" ca="1" si="19"/>
        <v>1.2514312564322794</v>
      </c>
      <c r="AG86" s="493">
        <f t="shared" ca="1" si="20"/>
        <v>3.5404737811190579E-2</v>
      </c>
      <c r="AH86" s="498">
        <f t="shared" ca="1" si="21"/>
        <v>0</v>
      </c>
      <c r="AI86" s="497">
        <f t="shared" ca="1" si="25"/>
        <v>1.2868359942434699</v>
      </c>
      <c r="AJ86" s="493">
        <f t="shared" ca="1" si="22"/>
        <v>0.40734205774406357</v>
      </c>
      <c r="AK86" s="493">
        <f t="shared" ca="1" si="23"/>
        <v>0.87949393649940633</v>
      </c>
      <c r="AL86" s="498">
        <f t="shared" ca="1" si="24"/>
        <v>0</v>
      </c>
    </row>
    <row r="87" spans="1:38" customFormat="1" ht="1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>
        <f ca="1"/>
        <v>1.52977432067436E-4</v>
      </c>
      <c r="J87" s="413">
        <f ca="1"/>
        <v>4.5338102996244202E-4</v>
      </c>
      <c r="K87" s="413">
        <f ca="1"/>
        <v>0.337414717329723</v>
      </c>
      <c r="L87" s="413">
        <f ca="1"/>
        <v>0.337414717329723</v>
      </c>
      <c r="M87" s="413">
        <f ca="1"/>
        <v>-1.6585925690542E-4</v>
      </c>
      <c r="N87" s="568" t="str">
        <f ca="1"/>
        <v>METRO_MMR.EUR.SU</v>
      </c>
      <c r="O87" s="413">
        <f ca="1"/>
        <v>1.2049023857562899</v>
      </c>
      <c r="P87" s="413">
        <f ca="1"/>
        <v>0.77922810263064102</v>
      </c>
      <c r="Q87" s="413">
        <f ca="1"/>
        <v>1.54627686256257</v>
      </c>
      <c r="R87" s="452">
        <f ca="1"/>
        <v>1.54627686256257</v>
      </c>
      <c r="S87" s="443"/>
      <c r="T87" s="422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3">
        <f ca="1"/>
        <v>1.40326328117017E-2</v>
      </c>
      <c r="V87" s="423">
        <f ca="1"/>
        <v>4.32607354423424E-2</v>
      </c>
      <c r="W87" s="424">
        <f ca="1"/>
        <v>3.2437342241683101E-3</v>
      </c>
      <c r="X87" s="425">
        <f ca="1"/>
        <v>4.32607354423424</v>
      </c>
      <c r="Y87" s="426">
        <f t="shared" ca="1" si="13"/>
        <v>0.11841785389064301</v>
      </c>
      <c r="Z87" s="427">
        <f t="shared" ca="1" si="14"/>
        <v>-1.6617142619971355E-3</v>
      </c>
      <c r="AA87" s="426">
        <f t="shared" ca="1" si="15"/>
        <v>0.11247157244324101</v>
      </c>
      <c r="AB87" s="428">
        <f t="shared" ca="1" si="16"/>
        <v>3.0815475129598946E-3</v>
      </c>
      <c r="AC87" s="427">
        <f t="shared" ca="1" si="17"/>
        <v>-7.8913613892535406E-5</v>
      </c>
      <c r="AD87" s="79"/>
      <c r="AE87" s="496">
        <f t="shared" ca="1" si="18"/>
        <v>1.2884812016109399</v>
      </c>
      <c r="AF87" s="493">
        <f t="shared" ca="1" si="19"/>
        <v>1.2474585267981002</v>
      </c>
      <c r="AG87" s="493">
        <f t="shared" ca="1" si="20"/>
        <v>4.1022674812839721E-2</v>
      </c>
      <c r="AH87" s="498">
        <f t="shared" ca="1" si="21"/>
        <v>0</v>
      </c>
      <c r="AI87" s="497">
        <f t="shared" ca="1" si="25"/>
        <v>1.2884812016109399</v>
      </c>
      <c r="AJ87" s="493">
        <f t="shared" ca="1" si="22"/>
        <v>0.37457276353594143</v>
      </c>
      <c r="AK87" s="493">
        <f t="shared" ca="1" si="23"/>
        <v>0.91390843807499844</v>
      </c>
      <c r="AL87" s="498">
        <f t="shared" ca="1" si="24"/>
        <v>0</v>
      </c>
    </row>
    <row r="88" spans="1:38" customFormat="1" ht="1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>
        <f ca="1"/>
        <v>1.69995635526044E-4</v>
      </c>
      <c r="J88" s="413">
        <f ca="1"/>
        <v>4.50030789510718E-4</v>
      </c>
      <c r="K88" s="413">
        <f ca="1"/>
        <v>0.37774223339444502</v>
      </c>
      <c r="L88" s="413">
        <f ca="1"/>
        <v>0.37774223339444502</v>
      </c>
      <c r="M88" s="413">
        <f ca="1"/>
        <v>-2.1485650207480001E-4</v>
      </c>
      <c r="N88" s="568" t="str">
        <f ca="1"/>
        <v>MICHELIN_MMR.EUR.SU</v>
      </c>
      <c r="O88" s="413">
        <f ca="1"/>
        <v>1.20400156044706</v>
      </c>
      <c r="P88" s="413">
        <f ca="1"/>
        <v>0.77510643998082895</v>
      </c>
      <c r="Q88" s="413">
        <f ca="1"/>
        <v>1.55333706229668</v>
      </c>
      <c r="R88" s="452">
        <f ca="1"/>
        <v>1.55333706229668</v>
      </c>
      <c r="S88" s="443"/>
      <c r="T88" s="422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3">
        <f ca="1"/>
        <v>1.8065957063548001E-2</v>
      </c>
      <c r="V88" s="423">
        <f ca="1"/>
        <v>4.3172397044376698E-2</v>
      </c>
      <c r="W88" s="424">
        <f ca="1"/>
        <v>4.1846082914919203E-3</v>
      </c>
      <c r="X88" s="425">
        <f ca="1"/>
        <v>4.3172397044376698</v>
      </c>
      <c r="Y88" s="426">
        <f t="shared" ca="1" si="13"/>
        <v>0.11841785389064301</v>
      </c>
      <c r="Z88" s="427">
        <f t="shared" ca="1" si="14"/>
        <v>-2.1393318639458571E-3</v>
      </c>
      <c r="AA88" s="426">
        <f t="shared" ca="1" si="15"/>
        <v>0.12591407779814834</v>
      </c>
      <c r="AB88" s="428">
        <f t="shared" ca="1" si="16"/>
        <v>3.9753778769173239E-3</v>
      </c>
      <c r="AC88" s="427">
        <f t="shared" ca="1" si="17"/>
        <v>-1.137379161598797E-4</v>
      </c>
      <c r="AD88" s="79"/>
      <c r="AE88" s="496">
        <f t="shared" ca="1" si="18"/>
        <v>1.2868365360396501</v>
      </c>
      <c r="AF88" s="493">
        <f t="shared" ca="1" si="19"/>
        <v>1.2514312781122823</v>
      </c>
      <c r="AG88" s="493">
        <f t="shared" ca="1" si="20"/>
        <v>3.5405257927367817E-2</v>
      </c>
      <c r="AH88" s="498">
        <f t="shared" ca="1" si="21"/>
        <v>0</v>
      </c>
      <c r="AI88" s="497">
        <f t="shared" ca="1" si="25"/>
        <v>1.2868365360396501</v>
      </c>
      <c r="AJ88" s="493">
        <f t="shared" ca="1" si="22"/>
        <v>0.40730941624643308</v>
      </c>
      <c r="AK88" s="493">
        <f t="shared" ca="1" si="23"/>
        <v>0.87952711979321707</v>
      </c>
      <c r="AL88" s="498">
        <f t="shared" ca="1" si="24"/>
        <v>0</v>
      </c>
    </row>
    <row r="89" spans="1:38" customFormat="1" ht="1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>
        <f ca="1"/>
        <v>1.66408840893984E-4</v>
      </c>
      <c r="J89" s="413">
        <f ca="1"/>
        <v>4.5123993841415599E-4</v>
      </c>
      <c r="K89" s="413">
        <f ca="1"/>
        <v>0.36878127738163802</v>
      </c>
      <c r="L89" s="413">
        <f ca="1"/>
        <v>0.36878127738163802</v>
      </c>
      <c r="M89" s="413">
        <f ca="1"/>
        <v>-2.0167821347376601E-4</v>
      </c>
      <c r="N89" s="568" t="str">
        <f ca="1"/>
        <v>MONTEDEIPASCHI_MMR.EUR.SU</v>
      </c>
      <c r="O89" s="413">
        <f ca="1"/>
        <v>1.20416805480699</v>
      </c>
      <c r="P89" s="413">
        <f ca="1"/>
        <v>0.77642234932305998</v>
      </c>
      <c r="Q89" s="413">
        <f ca="1"/>
        <v>1.55091884701267</v>
      </c>
      <c r="R89" s="452">
        <f ca="1"/>
        <v>1.55091884701267</v>
      </c>
      <c r="S89" s="443"/>
      <c r="T89" s="422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3">
        <f ca="1"/>
        <v>1.6690088517574302E-2</v>
      </c>
      <c r="V89" s="423">
        <f ca="1"/>
        <v>4.3112437840633802E-2</v>
      </c>
      <c r="W89" s="424">
        <f ca="1"/>
        <v>3.8712931472976802E-3</v>
      </c>
      <c r="X89" s="425">
        <f ca="1"/>
        <v>4.3112437840633797</v>
      </c>
      <c r="Y89" s="426">
        <f t="shared" ca="1" si="13"/>
        <v>0.11841785389064301</v>
      </c>
      <c r="Z89" s="427">
        <f t="shared" ca="1" si="14"/>
        <v>-1.97640446349601E-3</v>
      </c>
      <c r="AA89" s="426">
        <f t="shared" ca="1" si="15"/>
        <v>0.12292709246054601</v>
      </c>
      <c r="AB89" s="428">
        <f t="shared" ca="1" si="16"/>
        <v>3.6777284899327961E-3</v>
      </c>
      <c r="AC89" s="427">
        <f t="shared" ca="1" si="17"/>
        <v>-1.025832027187276E-4</v>
      </c>
      <c r="AD89" s="79"/>
      <c r="AE89" s="496">
        <f t="shared" ca="1" si="18"/>
        <v>1.2872031852333901</v>
      </c>
      <c r="AF89" s="493">
        <f t="shared" ca="1" si="19"/>
        <v>1.2500040930110123</v>
      </c>
      <c r="AG89" s="493">
        <f t="shared" ca="1" si="20"/>
        <v>3.7199092222377717E-2</v>
      </c>
      <c r="AH89" s="498">
        <f t="shared" ca="1" si="21"/>
        <v>0</v>
      </c>
      <c r="AI89" s="497">
        <f t="shared" ca="1" si="25"/>
        <v>1.2872031852333901</v>
      </c>
      <c r="AJ89" s="493">
        <f t="shared" ca="1" si="22"/>
        <v>0.39923509349139613</v>
      </c>
      <c r="AK89" s="493">
        <f t="shared" ca="1" si="23"/>
        <v>0.88796809174199387</v>
      </c>
      <c r="AL89" s="498">
        <f t="shared" ca="1" si="24"/>
        <v>0</v>
      </c>
    </row>
    <row r="90" spans="1:38" customFormat="1" ht="1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>
        <f ca="1"/>
        <v>1.50063542140754E-4</v>
      </c>
      <c r="J90" s="413">
        <f ca="1"/>
        <v>4.5418142988508598E-4</v>
      </c>
      <c r="K90" s="413">
        <f ca="1"/>
        <v>0.330404398477327</v>
      </c>
      <c r="L90" s="413">
        <f ca="1"/>
        <v>0.330404398477327</v>
      </c>
      <c r="M90" s="413">
        <f ca="1"/>
        <v>-1.5643668534961401E-4</v>
      </c>
      <c r="N90" s="568" t="str">
        <f ca="1"/>
        <v>MUNICHRE_MMR.EUR.SU</v>
      </c>
      <c r="O90" s="413">
        <f ca="1"/>
        <v>1.20500385913041</v>
      </c>
      <c r="P90" s="413">
        <f ca="1"/>
        <v>0.78011431592552105</v>
      </c>
      <c r="Q90" s="413">
        <f ca="1"/>
        <v>1.54465036024984</v>
      </c>
      <c r="R90" s="452">
        <f ca="1"/>
        <v>1.54465036024984</v>
      </c>
      <c r="S90" s="443"/>
      <c r="T90" s="422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3">
        <f ca="1"/>
        <v>1.3120651961912399E-2</v>
      </c>
      <c r="V90" s="423">
        <f ca="1"/>
        <v>4.32349678874333E-2</v>
      </c>
      <c r="W90" s="424">
        <f ca="1"/>
        <v>3.0347315154884299E-3</v>
      </c>
      <c r="X90" s="425">
        <f ca="1"/>
        <v>4.3234967887433298</v>
      </c>
      <c r="Y90" s="426">
        <f t="shared" ca="1" si="13"/>
        <v>0.11841785389064301</v>
      </c>
      <c r="Z90" s="427">
        <f t="shared" ca="1" si="14"/>
        <v>-1.5537194469757217E-3</v>
      </c>
      <c r="AA90" s="426">
        <f t="shared" ca="1" si="15"/>
        <v>0.11013479949244233</v>
      </c>
      <c r="AB90" s="428">
        <f t="shared" ca="1" si="16"/>
        <v>2.8829949397140083E-3</v>
      </c>
      <c r="AC90" s="427">
        <f t="shared" ca="1" si="17"/>
        <v>-7.2252018651767182E-5</v>
      </c>
      <c r="AD90" s="79"/>
      <c r="AE90" s="496">
        <f t="shared" ca="1" si="18"/>
        <v>1.28871256220629</v>
      </c>
      <c r="AF90" s="493">
        <f t="shared" ca="1" si="19"/>
        <v>1.2464936920725651</v>
      </c>
      <c r="AG90" s="493">
        <f t="shared" ca="1" si="20"/>
        <v>4.2218870133724939E-2</v>
      </c>
      <c r="AH90" s="498">
        <f t="shared" ca="1" si="21"/>
        <v>0</v>
      </c>
      <c r="AI90" s="497">
        <f t="shared" ca="1" si="25"/>
        <v>1.28871256220629</v>
      </c>
      <c r="AJ90" s="493">
        <f t="shared" ca="1" si="22"/>
        <v>0.36790686655310251</v>
      </c>
      <c r="AK90" s="493">
        <f t="shared" ca="1" si="23"/>
        <v>0.92080569565318759</v>
      </c>
      <c r="AL90" s="498">
        <f t="shared" ca="1" si="24"/>
        <v>0</v>
      </c>
    </row>
    <row r="91" spans="1:38" customFormat="1" ht="1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>
        <f ca="1"/>
        <v>1.5693336987829799E-4</v>
      </c>
      <c r="J91" s="413">
        <f ca="1"/>
        <v>4.5263393998871298E-4</v>
      </c>
      <c r="K91" s="413">
        <f ca="1"/>
        <v>0.34671145049841201</v>
      </c>
      <c r="L91" s="413">
        <f ca="1"/>
        <v>0.34671145049841201</v>
      </c>
      <c r="M91" s="413">
        <f ca="1"/>
        <v>-1.76553637901833E-4</v>
      </c>
      <c r="N91" s="568" t="str">
        <f ca="1"/>
        <v>NATIONALGRIDTRANSCOPLC_MMR.EUR.SU</v>
      </c>
      <c r="O91" s="413">
        <f ca="1"/>
        <v>1.20471908167528</v>
      </c>
      <c r="P91" s="413">
        <f ca="1"/>
        <v>0.77831656483610301</v>
      </c>
      <c r="Q91" s="413">
        <f ca="1"/>
        <v>1.54785229571591</v>
      </c>
      <c r="R91" s="452">
        <f ca="1"/>
        <v>1.54785229571591</v>
      </c>
      <c r="S91" s="443"/>
      <c r="T91" s="422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3">
        <f ca="1"/>
        <v>1.49336453296488E-2</v>
      </c>
      <c r="V91" s="423">
        <f ca="1"/>
        <v>4.3250210165751701E-2</v>
      </c>
      <c r="W91" s="424">
        <f ca="1"/>
        <v>3.4528491936610798E-3</v>
      </c>
      <c r="X91" s="425">
        <f ca="1"/>
        <v>4.3250210165751701</v>
      </c>
      <c r="Y91" s="426">
        <f t="shared" ca="1" si="13"/>
        <v>0.11841785389064301</v>
      </c>
      <c r="Z91" s="427">
        <f t="shared" ca="1" si="14"/>
        <v>-1.7684102307010351E-3</v>
      </c>
      <c r="AA91" s="426">
        <f t="shared" ca="1" si="15"/>
        <v>0.11557048349947067</v>
      </c>
      <c r="AB91" s="428">
        <f t="shared" ca="1" si="16"/>
        <v>3.2802067339780258E-3</v>
      </c>
      <c r="AC91" s="427">
        <f t="shared" ca="1" si="17"/>
        <v>-8.6294430557856184E-5</v>
      </c>
      <c r="AD91" s="79"/>
      <c r="AE91" s="496">
        <f t="shared" ca="1" si="18"/>
        <v>1.2881418971549501</v>
      </c>
      <c r="AF91" s="493">
        <f t="shared" ca="1" si="19"/>
        <v>1.2483561055116583</v>
      </c>
      <c r="AG91" s="493">
        <f t="shared" ca="1" si="20"/>
        <v>3.9785791643291768E-2</v>
      </c>
      <c r="AH91" s="498">
        <f t="shared" ca="1" si="21"/>
        <v>0</v>
      </c>
      <c r="AI91" s="497">
        <f t="shared" ca="1" si="25"/>
        <v>1.2881418971549501</v>
      </c>
      <c r="AJ91" s="493">
        <f t="shared" ca="1" si="22"/>
        <v>0.3822292521395847</v>
      </c>
      <c r="AK91" s="493">
        <f t="shared" ca="1" si="23"/>
        <v>0.90591264501536539</v>
      </c>
      <c r="AL91" s="498">
        <f t="shared" ca="1" si="24"/>
        <v>0</v>
      </c>
    </row>
    <row r="92" spans="1:38" customFormat="1" ht="1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>
        <f ca="1"/>
        <v>1.9973162352770999E-4</v>
      </c>
      <c r="J92" s="413">
        <f ca="1"/>
        <v>4.4266715158206103E-4</v>
      </c>
      <c r="K92" s="413">
        <f ca="1"/>
        <v>0.45120046250073698</v>
      </c>
      <c r="L92" s="413">
        <f ca="1"/>
        <v>0.45120046250073698</v>
      </c>
      <c r="M92" s="413">
        <f ca="1"/>
        <v>-3.1705987155437101E-4</v>
      </c>
      <c r="N92" s="568" t="str">
        <f ca="1"/>
        <v>NEXTPLC_MMR.EUR.SU</v>
      </c>
      <c r="O92" s="413">
        <f ca="1"/>
        <v>1.2015458911313199</v>
      </c>
      <c r="P92" s="413">
        <f ca="1"/>
        <v>0.76599582435062796</v>
      </c>
      <c r="Q92" s="413">
        <f ca="1"/>
        <v>1.5686063199494999</v>
      </c>
      <c r="R92" s="452">
        <f ca="1"/>
        <v>1.5686063199494999</v>
      </c>
      <c r="S92" s="443"/>
      <c r="T92" s="422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3">
        <f ca="1"/>
        <v>2.6936104605729001E-2</v>
      </c>
      <c r="V92" s="423">
        <f ca="1"/>
        <v>4.2931928956357203E-2</v>
      </c>
      <c r="W92" s="424">
        <f ca="1"/>
        <v>6.2741426394120597E-3</v>
      </c>
      <c r="X92" s="425">
        <f ca="1"/>
        <v>4.2931928956357197</v>
      </c>
      <c r="Y92" s="426">
        <f t="shared" ca="1" si="13"/>
        <v>0.11841785389064301</v>
      </c>
      <c r="Z92" s="427">
        <f t="shared" ca="1" si="14"/>
        <v>-3.1897156995842925E-3</v>
      </c>
      <c r="AA92" s="426">
        <f t="shared" ca="1" si="15"/>
        <v>0.15040015416691233</v>
      </c>
      <c r="AB92" s="428">
        <f t="shared" ca="1" si="16"/>
        <v>5.9604355074414561E-3</v>
      </c>
      <c r="AC92" s="427">
        <f t="shared" ca="1" si="17"/>
        <v>-2.0255971426788632E-4</v>
      </c>
      <c r="AD92" s="79"/>
      <c r="AE92" s="496">
        <f t="shared" ca="1" si="18"/>
        <v>1.28258488392416</v>
      </c>
      <c r="AF92" s="493">
        <f t="shared" ca="1" si="19"/>
        <v>1.2598004009044119</v>
      </c>
      <c r="AG92" s="493">
        <f t="shared" ca="1" si="20"/>
        <v>2.2784483019748114E-2</v>
      </c>
      <c r="AH92" s="498">
        <f t="shared" ca="1" si="21"/>
        <v>0</v>
      </c>
      <c r="AI92" s="497">
        <f t="shared" ca="1" si="25"/>
        <v>1.28258488392416</v>
      </c>
      <c r="AJ92" s="493">
        <f t="shared" ca="1" si="22"/>
        <v>0.46318320297556903</v>
      </c>
      <c r="AK92" s="493">
        <f t="shared" ca="1" si="23"/>
        <v>0.819401680948591</v>
      </c>
      <c r="AL92" s="498">
        <f t="shared" ca="1" si="24"/>
        <v>0</v>
      </c>
    </row>
    <row r="93" spans="1:38" customFormat="1" ht="1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>
        <f ca="1"/>
        <v>1.58555295287632E-4</v>
      </c>
      <c r="J93" s="413">
        <f ca="1"/>
        <v>4.5224724669240302E-4</v>
      </c>
      <c r="K93" s="413">
        <f ca="1"/>
        <v>0.35059427436486701</v>
      </c>
      <c r="L93" s="413">
        <f ca="1"/>
        <v>0.35059427436486701</v>
      </c>
      <c r="M93" s="413">
        <f ca="1"/>
        <v>-1.81849487373343E-4</v>
      </c>
      <c r="N93" s="568" t="str">
        <f ca="1"/>
        <v>PEARSON_MMR.EUR.SU</v>
      </c>
      <c r="O93" s="413">
        <f ca="1"/>
        <v>1.20463766009266</v>
      </c>
      <c r="P93" s="413">
        <f ca="1"/>
        <v>0.77786130839088996</v>
      </c>
      <c r="Q93" s="413">
        <f ca="1"/>
        <v>1.54865352871788</v>
      </c>
      <c r="R93" s="452">
        <f ca="1"/>
        <v>1.54865352871788</v>
      </c>
      <c r="S93" s="443"/>
      <c r="T93" s="422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3">
        <f ca="1"/>
        <v>1.5383873012096601E-2</v>
      </c>
      <c r="V93" s="423">
        <f ca="1"/>
        <v>4.3245181402986201E-2</v>
      </c>
      <c r="W93" s="424">
        <f ca="1"/>
        <v>3.5573611933176698E-3</v>
      </c>
      <c r="X93" s="425">
        <f ca="1"/>
        <v>4.3245181402986201</v>
      </c>
      <c r="Y93" s="426">
        <f t="shared" ca="1" si="13"/>
        <v>0.11841785389064301</v>
      </c>
      <c r="Z93" s="427">
        <f t="shared" ca="1" si="14"/>
        <v>-1.8217252266186624E-3</v>
      </c>
      <c r="AA93" s="426">
        <f t="shared" ca="1" si="15"/>
        <v>0.11686475812162234</v>
      </c>
      <c r="AB93" s="428">
        <f t="shared" ca="1" si="16"/>
        <v>3.3794931336517862E-3</v>
      </c>
      <c r="AC93" s="427">
        <f t="shared" ca="1" si="17"/>
        <v>-8.9891629926621279E-5</v>
      </c>
      <c r="AD93" s="79"/>
      <c r="AE93" s="496">
        <f t="shared" ca="1" si="18"/>
        <v>1.28798206845621</v>
      </c>
      <c r="AF93" s="493">
        <f t="shared" ca="1" si="19"/>
        <v>1.2488146656905199</v>
      </c>
      <c r="AG93" s="493">
        <f t="shared" ca="1" si="20"/>
        <v>3.9167402765690085E-2</v>
      </c>
      <c r="AH93" s="498">
        <f t="shared" ca="1" si="21"/>
        <v>0</v>
      </c>
      <c r="AI93" s="497">
        <f t="shared" ca="1" si="25"/>
        <v>1.28798206845621</v>
      </c>
      <c r="AJ93" s="493">
        <f t="shared" ca="1" si="22"/>
        <v>0.38564556361180446</v>
      </c>
      <c r="AK93" s="493">
        <f t="shared" ca="1" si="23"/>
        <v>0.90233650484440553</v>
      </c>
      <c r="AL93" s="498">
        <f t="shared" ca="1" si="24"/>
        <v>0</v>
      </c>
    </row>
    <row r="94" spans="1:38" customFormat="1" ht="1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>
        <f ca="1"/>
        <v>1.64473842239609E-4</v>
      </c>
      <c r="J94" s="413">
        <f ca="1"/>
        <v>4.51140636441152E-4</v>
      </c>
      <c r="K94" s="413">
        <f ca="1"/>
        <v>0.36457332581934998</v>
      </c>
      <c r="L94" s="413">
        <f ca="1"/>
        <v>0.36457332581934998</v>
      </c>
      <c r="M94" s="413">
        <f ca="1"/>
        <v>-1.98346858465825E-4</v>
      </c>
      <c r="N94" s="568" t="str">
        <f ca="1"/>
        <v>PEUGEOT_MMR.EUR.SU</v>
      </c>
      <c r="O94" s="413">
        <f ca="1"/>
        <v>1.2043240640739601</v>
      </c>
      <c r="P94" s="413">
        <f ca="1"/>
        <v>0.77648413394719296</v>
      </c>
      <c r="Q94" s="413">
        <f ca="1"/>
        <v>1.55099635835684</v>
      </c>
      <c r="R94" s="452">
        <f ca="1"/>
        <v>1.55099635835684</v>
      </c>
      <c r="S94" s="443"/>
      <c r="T94" s="422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3">
        <f ca="1"/>
        <v>1.67270894595321E-2</v>
      </c>
      <c r="V94" s="423">
        <f ca="1"/>
        <v>4.3211223406724897E-2</v>
      </c>
      <c r="W94" s="424">
        <f ca="1"/>
        <v>3.8710057574831099E-3</v>
      </c>
      <c r="X94" s="425">
        <f ca="1"/>
        <v>4.3211223406724901</v>
      </c>
      <c r="Y94" s="426">
        <f t="shared" ca="1" si="13"/>
        <v>0.11841785389064301</v>
      </c>
      <c r="Z94" s="427">
        <f t="shared" ca="1" si="14"/>
        <v>-1.9807860356345873E-3</v>
      </c>
      <c r="AA94" s="426">
        <f t="shared" ca="1" si="15"/>
        <v>0.12152444193978333</v>
      </c>
      <c r="AB94" s="428">
        <f t="shared" ca="1" si="16"/>
        <v>3.6774554696089542E-3</v>
      </c>
      <c r="AC94" s="427">
        <f t="shared" ca="1" si="17"/>
        <v>-1.0163751059232365E-4</v>
      </c>
      <c r="AD94" s="79"/>
      <c r="AE94" s="496">
        <f t="shared" ca="1" si="18"/>
        <v>1.2874177732083001</v>
      </c>
      <c r="AF94" s="493">
        <f t="shared" ca="1" si="19"/>
        <v>1.2501278711575983</v>
      </c>
      <c r="AG94" s="493">
        <f t="shared" ca="1" si="20"/>
        <v>3.7289902050701818E-2</v>
      </c>
      <c r="AH94" s="498">
        <f t="shared" ca="1" si="21"/>
        <v>0</v>
      </c>
      <c r="AI94" s="497">
        <f t="shared" ca="1" si="25"/>
        <v>1.2874177732083001</v>
      </c>
      <c r="AJ94" s="493">
        <f t="shared" ca="1" si="22"/>
        <v>0.39681020057315797</v>
      </c>
      <c r="AK94" s="493">
        <f t="shared" ca="1" si="23"/>
        <v>0.89060757263514212</v>
      </c>
      <c r="AL94" s="498">
        <f t="shared" ca="1" si="24"/>
        <v>0</v>
      </c>
    </row>
    <row r="95" spans="1:38" customFormat="1" ht="1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>
        <f ca="1"/>
        <v>1.4368160546922599E-4</v>
      </c>
      <c r="J95" s="413">
        <f ca="1"/>
        <v>4.5486360478197999E-4</v>
      </c>
      <c r="K95" s="413">
        <f ca="1"/>
        <v>0.31587843907206797</v>
      </c>
      <c r="L95" s="413">
        <f ca="1"/>
        <v>0.31587843907206797</v>
      </c>
      <c r="M95" s="413">
        <f ca="1"/>
        <v>-1.4237912690702199E-4</v>
      </c>
      <c r="N95" s="568" t="str">
        <f ca="1"/>
        <v>PHILIPSELEC_MMR.EUR.SU</v>
      </c>
      <c r="O95" s="413">
        <f ca="1"/>
        <v>1.2052839619779701</v>
      </c>
      <c r="P95" s="413">
        <f ca="1"/>
        <v>0.78108508721994996</v>
      </c>
      <c r="Q95" s="413">
        <f ca="1"/>
        <v>1.5430891994978899</v>
      </c>
      <c r="R95" s="452">
        <f ca="1"/>
        <v>1.5430891994978899</v>
      </c>
      <c r="S95" s="443"/>
      <c r="T95" s="422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3">
        <f ca="1"/>
        <v>1.22416207050332E-2</v>
      </c>
      <c r="V95" s="423">
        <f ca="1"/>
        <v>4.33267079249832E-2</v>
      </c>
      <c r="W95" s="424">
        <f ca="1"/>
        <v>2.8254213835559802E-3</v>
      </c>
      <c r="X95" s="425">
        <f ca="1"/>
        <v>4.3326707924983197</v>
      </c>
      <c r="Y95" s="426">
        <f t="shared" ca="1" si="13"/>
        <v>0.11841785389064301</v>
      </c>
      <c r="Z95" s="427">
        <f t="shared" ca="1" si="14"/>
        <v>-1.4496264520332902E-3</v>
      </c>
      <c r="AA95" s="426">
        <f t="shared" ca="1" si="15"/>
        <v>0.10529281302402266</v>
      </c>
      <c r="AB95" s="428">
        <f t="shared" ca="1" si="16"/>
        <v>2.6841503143781812E-3</v>
      </c>
      <c r="AC95" s="427">
        <f t="shared" ca="1" si="17"/>
        <v>-6.4447734000303193E-5</v>
      </c>
      <c r="AD95" s="79"/>
      <c r="AE95" s="496">
        <f t="shared" ca="1" si="18"/>
        <v>1.28919367364316</v>
      </c>
      <c r="AF95" s="493">
        <f t="shared" ca="1" si="19"/>
        <v>1.2456585020858275</v>
      </c>
      <c r="AG95" s="493">
        <f t="shared" ca="1" si="20"/>
        <v>4.3535171557332442E-2</v>
      </c>
      <c r="AH95" s="498">
        <f t="shared" ca="1" si="21"/>
        <v>0</v>
      </c>
      <c r="AI95" s="497">
        <f t="shared" ca="1" si="25"/>
        <v>1.28919367364316</v>
      </c>
      <c r="AJ95" s="493">
        <f t="shared" ca="1" si="22"/>
        <v>0.35657384863379199</v>
      </c>
      <c r="AK95" s="493">
        <f t="shared" ca="1" si="23"/>
        <v>0.93261982500936802</v>
      </c>
      <c r="AL95" s="498">
        <f t="shared" ca="1" si="24"/>
        <v>0</v>
      </c>
    </row>
    <row r="96" spans="1:38" customFormat="1" ht="1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>
        <f ca="1"/>
        <v>2.0948417114223801E-4</v>
      </c>
      <c r="J96" s="413">
        <f ca="1"/>
        <v>4.3976702081689203E-4</v>
      </c>
      <c r="K96" s="413">
        <f ca="1"/>
        <v>0.47635261678583701</v>
      </c>
      <c r="L96" s="413">
        <f ca="1"/>
        <v>0.47635261678583701</v>
      </c>
      <c r="M96" s="413">
        <f ca="1"/>
        <v>-3.5486393399075699E-4</v>
      </c>
      <c r="N96" s="568" t="str">
        <f ca="1"/>
        <v>PINAULTPRINTEMPS_MMR.EUR.SU</v>
      </c>
      <c r="O96" s="413">
        <f ca="1"/>
        <v>1.20040173053155</v>
      </c>
      <c r="P96" s="413">
        <f ca="1"/>
        <v>0.76237694543009904</v>
      </c>
      <c r="Q96" s="413">
        <f ca="1"/>
        <v>1.57455145742155</v>
      </c>
      <c r="R96" s="452">
        <f ca="1"/>
        <v>1.57455145742155</v>
      </c>
      <c r="S96" s="443"/>
      <c r="T96" s="422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3">
        <f ca="1"/>
        <v>3.04436225407443E-2</v>
      </c>
      <c r="V96" s="423">
        <f ca="1"/>
        <v>4.2820567970843798E-2</v>
      </c>
      <c r="W96" s="424">
        <f ca="1"/>
        <v>7.1095793408142401E-3</v>
      </c>
      <c r="X96" s="425">
        <f ca="1"/>
        <v>4.2820567970843797</v>
      </c>
      <c r="Y96" s="426">
        <f t="shared" ca="1" si="13"/>
        <v>0.11841785389064301</v>
      </c>
      <c r="Z96" s="427">
        <f t="shared" ca="1" si="14"/>
        <v>-3.6050684459317446E-3</v>
      </c>
      <c r="AA96" s="426">
        <f t="shared" ca="1" si="15"/>
        <v>0.158784205595279</v>
      </c>
      <c r="AB96" s="428">
        <f t="shared" ca="1" si="16"/>
        <v>6.7541003737735276E-3</v>
      </c>
      <c r="AC96" s="427">
        <f t="shared" ca="1" si="17"/>
        <v>-2.4169832102873099E-4</v>
      </c>
      <c r="AD96" s="79"/>
      <c r="AE96" s="496">
        <f t="shared" ca="1" si="18"/>
        <v>1.28068645757731</v>
      </c>
      <c r="AF96" s="493">
        <f t="shared" ca="1" si="19"/>
        <v>1.262989159650495</v>
      </c>
      <c r="AG96" s="493">
        <f t="shared" ca="1" si="20"/>
        <v>1.769729792681507E-2</v>
      </c>
      <c r="AH96" s="498">
        <f t="shared" ca="1" si="21"/>
        <v>0</v>
      </c>
      <c r="AI96" s="497">
        <f t="shared" ca="1" si="25"/>
        <v>1.28068645757731</v>
      </c>
      <c r="AJ96" s="493">
        <f t="shared" ca="1" si="22"/>
        <v>0.48120532551357958</v>
      </c>
      <c r="AK96" s="493">
        <f t="shared" ca="1" si="23"/>
        <v>0.7994811320637305</v>
      </c>
      <c r="AL96" s="498">
        <f t="shared" ca="1" si="24"/>
        <v>0</v>
      </c>
    </row>
    <row r="97" spans="1:38" customFormat="1" ht="1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>
        <f ca="1"/>
        <v>1.8274276510894599E-4</v>
      </c>
      <c r="J97" s="413">
        <f ca="1"/>
        <v>4.4705246318171599E-4</v>
      </c>
      <c r="K97" s="413">
        <f ca="1"/>
        <v>0.40877252707288098</v>
      </c>
      <c r="L97" s="413">
        <f ca="1"/>
        <v>0.40877252707288098</v>
      </c>
      <c r="M97" s="413">
        <f ca="1"/>
        <v>-2.5691092201325302E-4</v>
      </c>
      <c r="N97" s="568" t="str">
        <f ca="1"/>
        <v>PORTUGALTELECOM_MMR.EUR.SU</v>
      </c>
      <c r="O97" s="413">
        <f ca="1"/>
        <v>1.2031089464596301</v>
      </c>
      <c r="P97" s="413">
        <f ca="1"/>
        <v>0.77145449302880498</v>
      </c>
      <c r="Q97" s="413">
        <f ca="1"/>
        <v>1.5595332677836999</v>
      </c>
      <c r="R97" s="452">
        <f ca="1"/>
        <v>1.5595332677836999</v>
      </c>
      <c r="S97" s="443"/>
      <c r="T97" s="422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3">
        <f ca="1"/>
        <v>2.16316425617229E-2</v>
      </c>
      <c r="V97" s="423">
        <f ca="1"/>
        <v>4.30861355905282E-2</v>
      </c>
      <c r="W97" s="424">
        <f ca="1"/>
        <v>5.0205576028680299E-3</v>
      </c>
      <c r="X97" s="425">
        <f ca="1"/>
        <v>4.3086135590528203</v>
      </c>
      <c r="Y97" s="426">
        <f t="shared" ca="1" si="13"/>
        <v>0.11841785389064301</v>
      </c>
      <c r="Z97" s="427">
        <f t="shared" ca="1" si="14"/>
        <v>-2.5615726882887192E-3</v>
      </c>
      <c r="AA97" s="426">
        <f t="shared" ca="1" si="15"/>
        <v>0.13625750902429365</v>
      </c>
      <c r="AB97" s="428">
        <f t="shared" ca="1" si="16"/>
        <v>4.7695297227246282E-3</v>
      </c>
      <c r="AC97" s="427">
        <f t="shared" ca="1" si="17"/>
        <v>-1.4737368657821289E-4</v>
      </c>
      <c r="AD97" s="79"/>
      <c r="AE97" s="496">
        <f t="shared" ca="1" si="18"/>
        <v>1.285245817753</v>
      </c>
      <c r="AF97" s="493">
        <f t="shared" ca="1" si="19"/>
        <v>1.2548661824169138</v>
      </c>
      <c r="AG97" s="493">
        <f t="shared" ca="1" si="20"/>
        <v>3.0379635336086119E-2</v>
      </c>
      <c r="AH97" s="498">
        <f t="shared" ca="1" si="21"/>
        <v>0</v>
      </c>
      <c r="AI97" s="497">
        <f t="shared" ca="1" si="25"/>
        <v>1.285245817753</v>
      </c>
      <c r="AJ97" s="493">
        <f t="shared" ca="1" si="22"/>
        <v>0.43167814832629836</v>
      </c>
      <c r="AK97" s="493">
        <f t="shared" ca="1" si="23"/>
        <v>0.85356766942670159</v>
      </c>
      <c r="AL97" s="498">
        <f t="shared" ca="1" si="24"/>
        <v>0</v>
      </c>
    </row>
    <row r="98" spans="1:38" customFormat="1" ht="1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>
        <f ca="1"/>
        <v>1.5034384838164E-4</v>
      </c>
      <c r="J98" s="413">
        <f ca="1"/>
        <v>4.5374103370755901E-4</v>
      </c>
      <c r="K98" s="413">
        <f ca="1"/>
        <v>0.33134285244860201</v>
      </c>
      <c r="L98" s="413">
        <f ca="1"/>
        <v>0.33134285244860201</v>
      </c>
      <c r="M98" s="413">
        <f ca="1"/>
        <v>-1.59426145554176E-4</v>
      </c>
      <c r="N98" s="568" t="str">
        <f ca="1"/>
        <v>REEDELSEVIER_MMR.EUR.SU</v>
      </c>
      <c r="O98" s="413">
        <f ca="1"/>
        <v>1.2050175845189499</v>
      </c>
      <c r="P98" s="413">
        <f ca="1"/>
        <v>0.77970186402363395</v>
      </c>
      <c r="Q98" s="413">
        <f ca="1"/>
        <v>1.54548506309897</v>
      </c>
      <c r="R98" s="452">
        <f ca="1"/>
        <v>1.54548506309897</v>
      </c>
      <c r="S98" s="443"/>
      <c r="T98" s="422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3">
        <f ca="1"/>
        <v>1.3589897252989799E-2</v>
      </c>
      <c r="V98" s="423">
        <f ca="1"/>
        <v>4.3291761276623701E-2</v>
      </c>
      <c r="W98" s="424">
        <f ca="1"/>
        <v>3.1391416870645899E-3</v>
      </c>
      <c r="X98" s="425">
        <f ca="1"/>
        <v>4.3291761276623699</v>
      </c>
      <c r="Y98" s="426">
        <f t="shared" ca="1" si="13"/>
        <v>0.11841785389064301</v>
      </c>
      <c r="Z98" s="427">
        <f t="shared" ca="1" si="14"/>
        <v>-1.6092864672933968E-3</v>
      </c>
      <c r="AA98" s="426">
        <f t="shared" ca="1" si="15"/>
        <v>0.11044761748286734</v>
      </c>
      <c r="AB98" s="428">
        <f t="shared" ca="1" si="16"/>
        <v>2.9821846027113601E-3</v>
      </c>
      <c r="AC98" s="427">
        <f t="shared" ca="1" si="17"/>
        <v>-7.50485886714845E-5</v>
      </c>
      <c r="AD98" s="79"/>
      <c r="AE98" s="496">
        <f t="shared" ca="1" si="18"/>
        <v>1.2886890174189001</v>
      </c>
      <c r="AF98" s="493">
        <f t="shared" ca="1" si="19"/>
        <v>1.2470233272659634</v>
      </c>
      <c r="AG98" s="493">
        <f t="shared" ca="1" si="20"/>
        <v>4.1665690152936641E-2</v>
      </c>
      <c r="AH98" s="498">
        <f t="shared" ca="1" si="21"/>
        <v>0</v>
      </c>
      <c r="AI98" s="497">
        <f t="shared" ca="1" si="25"/>
        <v>1.2886890174189001</v>
      </c>
      <c r="AJ98" s="493">
        <f t="shared" ca="1" si="22"/>
        <v>0.3696812482347317</v>
      </c>
      <c r="AK98" s="493">
        <f t="shared" ca="1" si="23"/>
        <v>0.91900776918416838</v>
      </c>
      <c r="AL98" s="498">
        <f t="shared" ca="1" si="24"/>
        <v>0</v>
      </c>
    </row>
    <row r="99" spans="1:38" customFormat="1" ht="1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>
        <f ca="1"/>
        <v>1.6454030504180499E-4</v>
      </c>
      <c r="J99" s="413">
        <f ca="1"/>
        <v>4.5114223466046101E-4</v>
      </c>
      <c r="K99" s="413">
        <f ca="1"/>
        <v>0.36471935545037498</v>
      </c>
      <c r="L99" s="413">
        <f ca="1"/>
        <v>0.36471935545037498</v>
      </c>
      <c r="M99" s="413">
        <f ca="1"/>
        <v>-1.9849625020240601E-4</v>
      </c>
      <c r="N99" s="568" t="str">
        <f ca="1"/>
        <v>RENAULT_MMR.EUR.SU</v>
      </c>
      <c r="O99" s="413">
        <f ca="1"/>
        <v>1.2043225334919401</v>
      </c>
      <c r="P99" s="413">
        <f ca="1"/>
        <v>0.77648233114221998</v>
      </c>
      <c r="Q99" s="413">
        <f ca="1"/>
        <v>1.55099798822255</v>
      </c>
      <c r="R99" s="452">
        <f ca="1"/>
        <v>1.55099798822255</v>
      </c>
      <c r="S99" s="443"/>
      <c r="T99" s="422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3">
        <f ca="1"/>
        <v>1.6726050479383501E-2</v>
      </c>
      <c r="V99" s="423">
        <f ca="1"/>
        <v>4.3208381621603197E-2</v>
      </c>
      <c r="W99" s="424">
        <f ca="1"/>
        <v>3.8710198928211801E-3</v>
      </c>
      <c r="X99" s="425">
        <f ca="1"/>
        <v>4.32083816216032</v>
      </c>
      <c r="Y99" s="426">
        <f t="shared" ca="1" si="13"/>
        <v>0.11841785389064301</v>
      </c>
      <c r="Z99" s="427">
        <f t="shared" ca="1" si="14"/>
        <v>-1.9806630018351554E-3</v>
      </c>
      <c r="AA99" s="426">
        <f t="shared" ca="1" si="15"/>
        <v>0.12157311848345832</v>
      </c>
      <c r="AB99" s="428">
        <f t="shared" ca="1" si="16"/>
        <v>3.6774688981801211E-3</v>
      </c>
      <c r="AC99" s="427">
        <f t="shared" ca="1" si="17"/>
        <v>-1.0167190583451979E-4</v>
      </c>
      <c r="AD99" s="79"/>
      <c r="AE99" s="496">
        <f t="shared" ca="1" si="18"/>
        <v>1.28741411967715</v>
      </c>
      <c r="AF99" s="493">
        <f t="shared" ca="1" si="19"/>
        <v>1.250126778654175</v>
      </c>
      <c r="AG99" s="493">
        <f t="shared" ca="1" si="20"/>
        <v>3.728734102297504E-2</v>
      </c>
      <c r="AH99" s="498">
        <f t="shared" ca="1" si="21"/>
        <v>0</v>
      </c>
      <c r="AI99" s="497">
        <f t="shared" ca="1" si="25"/>
        <v>1.28741411967715</v>
      </c>
      <c r="AJ99" s="493">
        <f t="shared" ca="1" si="22"/>
        <v>0.39693047267529014</v>
      </c>
      <c r="AK99" s="493">
        <f t="shared" ca="1" si="23"/>
        <v>0.89048364700185989</v>
      </c>
      <c r="AL99" s="498">
        <f t="shared" ca="1" si="24"/>
        <v>0</v>
      </c>
    </row>
    <row r="100" spans="1:38" customFormat="1" ht="1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>
        <f ca="1"/>
        <v>1.83787287377291E-4</v>
      </c>
      <c r="J100" s="413">
        <f ca="1"/>
        <v>4.4711353359968398E-4</v>
      </c>
      <c r="K100" s="413">
        <f ca="1"/>
        <v>0.41105283908011198</v>
      </c>
      <c r="L100" s="413">
        <f ca="1"/>
        <v>0.41105283908011198</v>
      </c>
      <c r="M100" s="413">
        <f ca="1"/>
        <v>-2.5866931956979299E-4</v>
      </c>
      <c r="N100" s="568" t="str">
        <f ca="1"/>
        <v>REPSOL_MMR.EUR.SU</v>
      </c>
      <c r="O100" s="413">
        <f ca="1"/>
        <v>1.2030250316900399</v>
      </c>
      <c r="P100" s="413">
        <f ca="1"/>
        <v>0.77142667547984101</v>
      </c>
      <c r="Q100" s="413">
        <f ca="1"/>
        <v>1.5594807256849601</v>
      </c>
      <c r="R100" s="452">
        <f ca="1"/>
        <v>1.5594807256849601</v>
      </c>
      <c r="S100" s="443"/>
      <c r="T100" s="422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3">
        <f ca="1"/>
        <v>2.1605399377482602E-2</v>
      </c>
      <c r="V100" s="423">
        <f ca="1"/>
        <v>4.3032074857324E-2</v>
      </c>
      <c r="W100" s="424">
        <f ca="1"/>
        <v>5.0207663583773003E-3</v>
      </c>
      <c r="X100" s="425">
        <f ca="1"/>
        <v>4.3032074857323996</v>
      </c>
      <c r="Y100" s="426">
        <f t="shared" ca="1" si="13"/>
        <v>0.11841785389064301</v>
      </c>
      <c r="Z100" s="427">
        <f t="shared" ca="1" si="14"/>
        <v>-2.5584650267317238E-3</v>
      </c>
      <c r="AA100" s="426">
        <f t="shared" ca="1" si="15"/>
        <v>0.13701761302670398</v>
      </c>
      <c r="AB100" s="428">
        <f t="shared" ca="1" si="16"/>
        <v>4.7697280404584352E-3</v>
      </c>
      <c r="AC100" s="427">
        <f t="shared" ca="1" si="17"/>
        <v>-1.4801601255956518E-4</v>
      </c>
      <c r="AD100" s="79"/>
      <c r="AE100" s="496">
        <f t="shared" ca="1" si="18"/>
        <v>1.2851314515534999</v>
      </c>
      <c r="AF100" s="493">
        <f t="shared" ca="1" si="19"/>
        <v>1.2547930953010178</v>
      </c>
      <c r="AG100" s="493">
        <f t="shared" ca="1" si="20"/>
        <v>3.0338356252482157E-2</v>
      </c>
      <c r="AH100" s="498">
        <f t="shared" ca="1" si="21"/>
        <v>0</v>
      </c>
      <c r="AI100" s="497">
        <f t="shared" ca="1" si="25"/>
        <v>1.2851314515534999</v>
      </c>
      <c r="AJ100" s="493">
        <f t="shared" ca="1" si="22"/>
        <v>0.43298388993035702</v>
      </c>
      <c r="AK100" s="493">
        <f t="shared" ca="1" si="23"/>
        <v>0.85214756162314287</v>
      </c>
      <c r="AL100" s="498">
        <f t="shared" ca="1" si="24"/>
        <v>0</v>
      </c>
    </row>
    <row r="101" spans="1:38" customFormat="1" ht="1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>
        <f ca="1"/>
        <v>1.28277332520743E-4</v>
      </c>
      <c r="J101" s="413">
        <f ca="1"/>
        <v>4.5710550640208701E-4</v>
      </c>
      <c r="K101" s="413">
        <f ca="1"/>
        <v>0.28062959365863699</v>
      </c>
      <c r="L101" s="413">
        <f ca="1"/>
        <v>0.28062959365863699</v>
      </c>
      <c r="M101" s="413">
        <f ca="1"/>
        <v>-1.0774546100642601E-4</v>
      </c>
      <c r="N101" s="568" t="str">
        <f ca="1"/>
        <v>REUTERS_MMR.EUR.SU</v>
      </c>
      <c r="O101" s="413">
        <f ca="1"/>
        <v>1.2057781849660001</v>
      </c>
      <c r="P101" s="413">
        <f ca="1"/>
        <v>0.78386147135141504</v>
      </c>
      <c r="Q101" s="413">
        <f ca="1"/>
        <v>1.53825418015148</v>
      </c>
      <c r="R101" s="452">
        <f ca="1"/>
        <v>1.53825418015148</v>
      </c>
      <c r="S101" s="443"/>
      <c r="T101" s="422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3">
        <f ca="1"/>
        <v>9.53867002002186E-3</v>
      </c>
      <c r="V101" s="423">
        <f ca="1"/>
        <v>4.3400141371436697E-2</v>
      </c>
      <c r="W101" s="424">
        <f ca="1"/>
        <v>2.1978430757600299E-3</v>
      </c>
      <c r="X101" s="425">
        <f ca="1"/>
        <v>4.3400141371436698</v>
      </c>
      <c r="Y101" s="426">
        <f t="shared" ca="1" si="13"/>
        <v>0.11841785389064301</v>
      </c>
      <c r="Z101" s="427">
        <f t="shared" ca="1" si="14"/>
        <v>-1.1295488327420049E-3</v>
      </c>
      <c r="AA101" s="426">
        <f t="shared" ca="1" si="15"/>
        <v>9.3543197886212334E-2</v>
      </c>
      <c r="AB101" s="428">
        <f t="shared" ca="1" si="16"/>
        <v>2.0879509219720281E-3</v>
      </c>
      <c r="AC101" s="427">
        <f t="shared" ca="1" si="17"/>
        <v>-4.4613884862709372E-5</v>
      </c>
      <c r="AD101" s="79"/>
      <c r="AE101" s="496">
        <f t="shared" ca="1" si="18"/>
        <v>1.2901445684286601</v>
      </c>
      <c r="AF101" s="493">
        <f t="shared" ca="1" si="19"/>
        <v>1.2428779033248811</v>
      </c>
      <c r="AG101" s="493">
        <f t="shared" ca="1" si="20"/>
        <v>4.7266665103778971E-2</v>
      </c>
      <c r="AH101" s="498">
        <f t="shared" ca="1" si="21"/>
        <v>0</v>
      </c>
      <c r="AI101" s="497">
        <f t="shared" ca="1" si="25"/>
        <v>1.2901445684286601</v>
      </c>
      <c r="AJ101" s="493">
        <f t="shared" ca="1" si="22"/>
        <v>0.32610574816677995</v>
      </c>
      <c r="AK101" s="493">
        <f t="shared" ca="1" si="23"/>
        <v>0.96403882026188015</v>
      </c>
      <c r="AL101" s="498">
        <f t="shared" ca="1" si="24"/>
        <v>0</v>
      </c>
    </row>
    <row r="102" spans="1:38" customFormat="1" ht="1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>
        <f ca="1"/>
        <v>1.75304477988348E-4</v>
      </c>
      <c r="J102" s="413">
        <f ca="1"/>
        <v>4.4940952689581198E-4</v>
      </c>
      <c r="K102" s="413">
        <f ca="1"/>
        <v>0.39007735149546402</v>
      </c>
      <c r="L102" s="413">
        <f ca="1"/>
        <v>0.39007735149546402</v>
      </c>
      <c r="M102" s="413">
        <f ca="1"/>
        <v>-2.29051412744319E-4</v>
      </c>
      <c r="N102" s="568" t="str">
        <f ca="1"/>
        <v>ROYALBANKSCOTLAND_MMR.EUR.SU</v>
      </c>
      <c r="O102" s="413">
        <f ca="1"/>
        <v>1.20359562750738</v>
      </c>
      <c r="P102" s="413">
        <f ca="1"/>
        <v>0.77412590446711604</v>
      </c>
      <c r="Q102" s="413">
        <f ca="1"/>
        <v>1.5547801986240199</v>
      </c>
      <c r="R102" s="452">
        <f ca="1"/>
        <v>1.5547801986240199</v>
      </c>
      <c r="S102" s="443"/>
      <c r="T102" s="422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3">
        <f ca="1"/>
        <v>1.8910084899185501E-2</v>
      </c>
      <c r="V102" s="423">
        <f ca="1"/>
        <v>4.3035989366301597E-2</v>
      </c>
      <c r="W102" s="424">
        <f ca="1"/>
        <v>4.3940165377010301E-3</v>
      </c>
      <c r="X102" s="425">
        <f ca="1"/>
        <v>4.3035989366301601</v>
      </c>
      <c r="Y102" s="426">
        <f t="shared" ca="1" si="13"/>
        <v>0.11841785389064301</v>
      </c>
      <c r="Z102" s="427">
        <f t="shared" ca="1" si="14"/>
        <v>-2.2392916706514021E-3</v>
      </c>
      <c r="AA102" s="426">
        <f t="shared" ca="1" si="15"/>
        <v>0.13002578383182134</v>
      </c>
      <c r="AB102" s="428">
        <f t="shared" ca="1" si="16"/>
        <v>4.1743157108159786E-3</v>
      </c>
      <c r="AC102" s="427">
        <f t="shared" ca="1" si="17"/>
        <v>-1.2293993056714409E-4</v>
      </c>
      <c r="AD102" s="79"/>
      <c r="AE102" s="496">
        <f t="shared" ca="1" si="18"/>
        <v>1.28619295012533</v>
      </c>
      <c r="AF102" s="493">
        <f t="shared" ca="1" si="19"/>
        <v>1.2521397732652015</v>
      </c>
      <c r="AG102" s="493">
        <f t="shared" ca="1" si="20"/>
        <v>3.4053176860128431E-2</v>
      </c>
      <c r="AH102" s="498">
        <f t="shared" ca="1" si="21"/>
        <v>0</v>
      </c>
      <c r="AI102" s="497">
        <f t="shared" ca="1" si="25"/>
        <v>1.28619295012533</v>
      </c>
      <c r="AJ102" s="493">
        <f t="shared" ca="1" si="22"/>
        <v>0.41606672122029859</v>
      </c>
      <c r="AK102" s="493">
        <f t="shared" ca="1" si="23"/>
        <v>0.87012622890503133</v>
      </c>
      <c r="AL102" s="498">
        <f t="shared" ca="1" si="24"/>
        <v>0</v>
      </c>
    </row>
    <row r="103" spans="1:38" customFormat="1" ht="1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>
        <f ca="1"/>
        <v>1.2915956913224299E-4</v>
      </c>
      <c r="J103" s="413">
        <f ca="1"/>
        <v>4.5712364287226999E-4</v>
      </c>
      <c r="K103" s="413">
        <f ca="1"/>
        <v>0.28254843333127</v>
      </c>
      <c r="L103" s="413">
        <f ca="1"/>
        <v>0.28254843333127</v>
      </c>
      <c r="M103" s="413">
        <f ca="1"/>
        <v>-1.08627673102535E-4</v>
      </c>
      <c r="N103" s="568" t="str">
        <f ca="1"/>
        <v>RWE_MMR.EUR.SU</v>
      </c>
      <c r="O103" s="413">
        <f ca="1"/>
        <v>1.2057532290722499</v>
      </c>
      <c r="P103" s="413">
        <f ca="1"/>
        <v>0.78384728245375901</v>
      </c>
      <c r="Q103" s="413">
        <f ca="1"/>
        <v>1.53825018732955</v>
      </c>
      <c r="R103" s="452">
        <f ca="1"/>
        <v>1.53825018732955</v>
      </c>
      <c r="S103" s="443"/>
      <c r="T103" s="422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3">
        <f ca="1"/>
        <v>9.5348704049636E-3</v>
      </c>
      <c r="V103" s="423">
        <f ca="1"/>
        <v>4.33821528587231E-2</v>
      </c>
      <c r="W103" s="424">
        <f ca="1"/>
        <v>2.1978785691006502E-3</v>
      </c>
      <c r="X103" s="425">
        <f ca="1"/>
        <v>4.3382152858723098</v>
      </c>
      <c r="Y103" s="426">
        <f t="shared" ca="1" si="13"/>
        <v>0.11841785389064301</v>
      </c>
      <c r="Z103" s="427">
        <f t="shared" ca="1" si="14"/>
        <v>-1.1290988904811958E-3</v>
      </c>
      <c r="AA103" s="426">
        <f t="shared" ca="1" si="15"/>
        <v>9.4182811110423328E-2</v>
      </c>
      <c r="AB103" s="428">
        <f t="shared" ca="1" si="16"/>
        <v>2.0879846406456175E-3</v>
      </c>
      <c r="AC103" s="427">
        <f t="shared" ca="1" si="17"/>
        <v>-4.4901044915652702E-5</v>
      </c>
      <c r="AD103" s="79"/>
      <c r="AE103" s="496">
        <f t="shared" ca="1" si="18"/>
        <v>1.29010749532532</v>
      </c>
      <c r="AF103" s="493">
        <f t="shared" ca="1" si="19"/>
        <v>1.2428612287035874</v>
      </c>
      <c r="AG103" s="493">
        <f t="shared" ca="1" si="20"/>
        <v>4.7246266621732591E-2</v>
      </c>
      <c r="AH103" s="498">
        <f t="shared" ca="1" si="21"/>
        <v>0</v>
      </c>
      <c r="AI103" s="497">
        <f t="shared" ca="1" si="25"/>
        <v>1.29010749532532</v>
      </c>
      <c r="AJ103" s="493">
        <f t="shared" ca="1" si="22"/>
        <v>0.32736787301038467</v>
      </c>
      <c r="AK103" s="493">
        <f t="shared" ca="1" si="23"/>
        <v>0.96273962231493537</v>
      </c>
      <c r="AL103" s="498">
        <f t="shared" ca="1" si="24"/>
        <v>0</v>
      </c>
    </row>
    <row r="104" spans="1:38" customFormat="1" ht="1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>
        <f ca="1"/>
        <v>1.9020420238618E-4</v>
      </c>
      <c r="J104" s="413">
        <f ca="1"/>
        <v>4.4521844082429497E-4</v>
      </c>
      <c r="K104" s="413">
        <f ca="1"/>
        <v>0.42721546311969599</v>
      </c>
      <c r="L104" s="413">
        <f ca="1"/>
        <v>0.42721546311969599</v>
      </c>
      <c r="M104" s="413">
        <f ca="1"/>
        <v>-2.82516206227457E-4</v>
      </c>
      <c r="N104" s="568" t="str">
        <f ca="1"/>
        <v>SAFEWAYPLC_MMR.EUR.SU</v>
      </c>
      <c r="O104" s="413">
        <f ca="1"/>
        <v>1.2024847382878601</v>
      </c>
      <c r="P104" s="413">
        <f ca="1"/>
        <v>0.76917596103091301</v>
      </c>
      <c r="Q104" s="413">
        <f ca="1"/>
        <v>1.56334154889109</v>
      </c>
      <c r="R104" s="452">
        <f ca="1"/>
        <v>1.56334154889109</v>
      </c>
      <c r="S104" s="443"/>
      <c r="T104" s="422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3">
        <f ca="1"/>
        <v>2.38479883048834E-2</v>
      </c>
      <c r="V104" s="423">
        <f ca="1"/>
        <v>4.3023949335796598E-2</v>
      </c>
      <c r="W104" s="424">
        <f ca="1"/>
        <v>5.5429565795442901E-3</v>
      </c>
      <c r="X104" s="425">
        <f ca="1"/>
        <v>4.3023949335796603</v>
      </c>
      <c r="Y104" s="426">
        <f t="shared" ca="1" si="13"/>
        <v>0.11841785389064301</v>
      </c>
      <c r="Z104" s="427">
        <f t="shared" ca="1" si="14"/>
        <v>-2.8240275946734453E-3</v>
      </c>
      <c r="AA104" s="426">
        <f t="shared" ca="1" si="15"/>
        <v>0.14240515437323201</v>
      </c>
      <c r="AB104" s="428">
        <f t="shared" ca="1" si="16"/>
        <v>5.2658087505670749E-3</v>
      </c>
      <c r="AC104" s="427">
        <f t="shared" ca="1" si="17"/>
        <v>-1.6980382280239797E-4</v>
      </c>
      <c r="AD104" s="79"/>
      <c r="AE104" s="496">
        <f t="shared" ca="1" si="18"/>
        <v>1.2841691512676601</v>
      </c>
      <c r="AF104" s="493">
        <f t="shared" ca="1" si="19"/>
        <v>1.2569481295523057</v>
      </c>
      <c r="AG104" s="493">
        <f t="shared" ca="1" si="20"/>
        <v>2.7221021715354343E-2</v>
      </c>
      <c r="AH104" s="498">
        <f t="shared" ca="1" si="21"/>
        <v>0</v>
      </c>
      <c r="AI104" s="497">
        <f t="shared" ca="1" si="25"/>
        <v>1.2841691512676601</v>
      </c>
      <c r="AJ104" s="493">
        <f t="shared" ca="1" si="22"/>
        <v>0.44557434983852423</v>
      </c>
      <c r="AK104" s="493">
        <f t="shared" ca="1" si="23"/>
        <v>0.83859480142913578</v>
      </c>
      <c r="AL104" s="498">
        <f t="shared" ca="1" si="24"/>
        <v>0</v>
      </c>
    </row>
    <row r="105" spans="1:38" customFormat="1" ht="1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>
        <f ca="1"/>
        <v>1.2554753570615001E-4</v>
      </c>
      <c r="J105" s="413">
        <f ca="1"/>
        <v>4.5748299960066298E-4</v>
      </c>
      <c r="K105" s="413">
        <f ca="1"/>
        <v>0.27443104075067398</v>
      </c>
      <c r="L105" s="413">
        <f ca="1"/>
        <v>0.27443104075067398</v>
      </c>
      <c r="M105" s="413">
        <f ca="1"/>
        <v>-1.01968019290344E-4</v>
      </c>
      <c r="N105" s="568" t="str">
        <f ca="1"/>
        <v>SANOFIAVENTIS_MMR.EUR.SU</v>
      </c>
      <c r="O105" s="413">
        <f ca="1"/>
        <v>1.2058505960191499</v>
      </c>
      <c r="P105" s="413">
        <f ca="1"/>
        <v>0.78432499312804405</v>
      </c>
      <c r="Q105" s="413">
        <f ca="1"/>
        <v>1.5374374227320999</v>
      </c>
      <c r="R105" s="452">
        <f ca="1"/>
        <v>1.5374374227320999</v>
      </c>
      <c r="S105" s="443"/>
      <c r="T105" s="422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3">
        <f ca="1"/>
        <v>9.0871959053918806E-3</v>
      </c>
      <c r="V105" s="423">
        <f ca="1"/>
        <v>4.3412189033435501E-2</v>
      </c>
      <c r="W105" s="424">
        <f ca="1"/>
        <v>2.0932360490720798E-3</v>
      </c>
      <c r="X105" s="425">
        <f ca="1"/>
        <v>4.3412189033435498</v>
      </c>
      <c r="Y105" s="426">
        <f t="shared" ca="1" si="13"/>
        <v>0.11841785389064301</v>
      </c>
      <c r="Z105" s="427">
        <f t="shared" ca="1" si="14"/>
        <v>-1.0760862370003449E-3</v>
      </c>
      <c r="AA105" s="426">
        <f t="shared" ca="1" si="15"/>
        <v>9.147701358355799E-2</v>
      </c>
      <c r="AB105" s="428">
        <f t="shared" ca="1" si="16"/>
        <v>1.9885742466184755E-3</v>
      </c>
      <c r="AC105" s="427">
        <f t="shared" ca="1" si="17"/>
        <v>-4.1563477163699376E-5</v>
      </c>
      <c r="AD105" s="79"/>
      <c r="AE105" s="496">
        <f t="shared" ca="1" si="18"/>
        <v>1.29028932598405</v>
      </c>
      <c r="AF105" s="493">
        <f t="shared" ca="1" si="19"/>
        <v>1.2424026908814485</v>
      </c>
      <c r="AG105" s="493">
        <f t="shared" ca="1" si="20"/>
        <v>4.7886635102601494E-2</v>
      </c>
      <c r="AH105" s="498">
        <f t="shared" ca="1" si="21"/>
        <v>0</v>
      </c>
      <c r="AI105" s="497">
        <f t="shared" ca="1" si="25"/>
        <v>1.29028932598405</v>
      </c>
      <c r="AJ105" s="493">
        <f t="shared" ca="1" si="22"/>
        <v>0.32051837531570437</v>
      </c>
      <c r="AK105" s="493">
        <f t="shared" ca="1" si="23"/>
        <v>0.96977095066834562</v>
      </c>
      <c r="AL105" s="498">
        <f t="shared" ca="1" si="24"/>
        <v>0</v>
      </c>
    </row>
    <row r="106" spans="1:38" customFormat="1" ht="1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>
        <f ca="1"/>
        <v>1.25803954502123E-4</v>
      </c>
      <c r="J106" s="413">
        <f ca="1"/>
        <v>4.5748637367964702E-4</v>
      </c>
      <c r="K106" s="413">
        <f ca="1"/>
        <v>0.27498951168809399</v>
      </c>
      <c r="L106" s="413">
        <f ca="1"/>
        <v>0.27498951168809399</v>
      </c>
      <c r="M106" s="413">
        <f ca="1"/>
        <v>-1.02282590012703E-4</v>
      </c>
      <c r="N106" s="568" t="str">
        <f ca="1"/>
        <v>SIEMENS_MMR.EUR.SU</v>
      </c>
      <c r="O106" s="413">
        <f ca="1"/>
        <v>1.20584383353631</v>
      </c>
      <c r="P106" s="413">
        <f ca="1"/>
        <v>0.78431941143794803</v>
      </c>
      <c r="Q106" s="413">
        <f ca="1"/>
        <v>1.53743974196119</v>
      </c>
      <c r="R106" s="452">
        <f ca="1"/>
        <v>1.53743974196119</v>
      </c>
      <c r="S106" s="443"/>
      <c r="T106" s="422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3">
        <f ca="1"/>
        <v>9.0857416219375896E-3</v>
      </c>
      <c r="V106" s="423">
        <f ca="1"/>
        <v>4.3405153059885702E-2</v>
      </c>
      <c r="W106" s="424">
        <f ca="1"/>
        <v>2.0932403139788699E-3</v>
      </c>
      <c r="X106" s="425">
        <f ca="1"/>
        <v>4.3405153059885704</v>
      </c>
      <c r="Y106" s="426">
        <f t="shared" ca="1" si="13"/>
        <v>0.11841785389064301</v>
      </c>
      <c r="Z106" s="427">
        <f t="shared" ca="1" si="14"/>
        <v>-1.0759140238747412E-3</v>
      </c>
      <c r="AA106" s="426">
        <f t="shared" ca="1" si="15"/>
        <v>9.1663170562698001E-2</v>
      </c>
      <c r="AB106" s="428">
        <f t="shared" ca="1" si="16"/>
        <v>1.9885782982799263E-3</v>
      </c>
      <c r="AC106" s="427">
        <f t="shared" ca="1" si="17"/>
        <v>-4.1641394199013597E-5</v>
      </c>
      <c r="AD106" s="79"/>
      <c r="AE106" s="496">
        <f t="shared" ca="1" si="18"/>
        <v>1.29027849380448</v>
      </c>
      <c r="AF106" s="493">
        <f t="shared" ca="1" si="19"/>
        <v>1.242399717880027</v>
      </c>
      <c r="AG106" s="493">
        <f t="shared" ca="1" si="20"/>
        <v>4.7878775924452999E-2</v>
      </c>
      <c r="AH106" s="498">
        <f t="shared" ca="1" si="21"/>
        <v>0</v>
      </c>
      <c r="AI106" s="497">
        <f t="shared" ca="1" si="25"/>
        <v>1.29027849380448</v>
      </c>
      <c r="AJ106" s="493">
        <f t="shared" ca="1" si="22"/>
        <v>0.32092683928716331</v>
      </c>
      <c r="AK106" s="493">
        <f t="shared" ca="1" si="23"/>
        <v>0.96935165451731664</v>
      </c>
      <c r="AL106" s="498">
        <f t="shared" ca="1" si="24"/>
        <v>0</v>
      </c>
    </row>
    <row r="107" spans="1:38" customFormat="1" ht="1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>
        <f ca="1"/>
        <v>1.48814143269215E-4</v>
      </c>
      <c r="J107" s="413">
        <f ca="1"/>
        <v>4.54133583628526E-4</v>
      </c>
      <c r="K107" s="413">
        <f ca="1"/>
        <v>0.32768803857268303</v>
      </c>
      <c r="L107" s="413">
        <f ca="1"/>
        <v>0.32768803857268303</v>
      </c>
      <c r="M107" s="413">
        <f ca="1"/>
        <v>-1.54618433235454E-4</v>
      </c>
      <c r="N107" s="568" t="str">
        <f ca="1"/>
        <v>SODEXHOALLIANCE_MMR.EUR.SU</v>
      </c>
      <c r="O107" s="413">
        <f ca="1"/>
        <v>1.20508085735398</v>
      </c>
      <c r="P107" s="413">
        <f ca="1"/>
        <v>0.78014850943413605</v>
      </c>
      <c r="Q107" s="413">
        <f ca="1"/>
        <v>1.5446813558973</v>
      </c>
      <c r="R107" s="452">
        <f ca="1"/>
        <v>1.5446813558973</v>
      </c>
      <c r="S107" s="443"/>
      <c r="T107" s="422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3">
        <f ca="1"/>
        <v>1.31348330171918E-2</v>
      </c>
      <c r="V107" s="423">
        <f ca="1"/>
        <v>4.3283342451327499E-2</v>
      </c>
      <c r="W107" s="424">
        <f ca="1"/>
        <v>3.0346161533070198E-3</v>
      </c>
      <c r="X107" s="425">
        <f ca="1"/>
        <v>4.3283342451327496</v>
      </c>
      <c r="Y107" s="426">
        <f t="shared" ca="1" si="13"/>
        <v>0.11841785389064301</v>
      </c>
      <c r="Z107" s="427">
        <f t="shared" ca="1" si="14"/>
        <v>-1.5553987371078107E-3</v>
      </c>
      <c r="AA107" s="426">
        <f t="shared" ca="1" si="15"/>
        <v>0.10922934619089435</v>
      </c>
      <c r="AB107" s="428">
        <f t="shared" ca="1" si="16"/>
        <v>2.8828853456416689E-3</v>
      </c>
      <c r="AC107" s="427">
        <f t="shared" ca="1" si="17"/>
        <v>-7.1735461139721518E-5</v>
      </c>
      <c r="AD107" s="79"/>
      <c r="AE107" s="496">
        <f t="shared" ca="1" si="18"/>
        <v>1.28881969548718</v>
      </c>
      <c r="AF107" s="493">
        <f t="shared" ca="1" si="19"/>
        <v>1.2465509304054689</v>
      </c>
      <c r="AG107" s="493">
        <f t="shared" ca="1" si="20"/>
        <v>4.2268765081711068E-2</v>
      </c>
      <c r="AH107" s="498">
        <f t="shared" ca="1" si="21"/>
        <v>0</v>
      </c>
      <c r="AI107" s="497">
        <f t="shared" ca="1" si="25"/>
        <v>1.28881969548718</v>
      </c>
      <c r="AJ107" s="493">
        <f t="shared" ca="1" si="22"/>
        <v>0.3663277414083187</v>
      </c>
      <c r="AK107" s="493">
        <f t="shared" ca="1" si="23"/>
        <v>0.92249195407886131</v>
      </c>
      <c r="AL107" s="498">
        <f t="shared" ca="1" si="24"/>
        <v>0</v>
      </c>
    </row>
    <row r="108" spans="1:38" customFormat="1" ht="1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>
        <f ca="1"/>
        <v>1.28277332520743E-4</v>
      </c>
      <c r="J108" s="413">
        <f ca="1"/>
        <v>4.5710550640208701E-4</v>
      </c>
      <c r="K108" s="413">
        <f ca="1"/>
        <v>0.28062959365863699</v>
      </c>
      <c r="L108" s="413">
        <f ca="1"/>
        <v>0.28062959365863699</v>
      </c>
      <c r="M108" s="413">
        <f ca="1"/>
        <v>-1.0774546100642601E-4</v>
      </c>
      <c r="N108" s="568" t="str">
        <f ca="1"/>
        <v>SOLVAY_MMR.EUR.SU</v>
      </c>
      <c r="O108" s="413">
        <f ca="1"/>
        <v>1.2057781849660001</v>
      </c>
      <c r="P108" s="413">
        <f ca="1"/>
        <v>0.78386147135141504</v>
      </c>
      <c r="Q108" s="413">
        <f ca="1"/>
        <v>1.53825418015148</v>
      </c>
      <c r="R108" s="452">
        <f ca="1"/>
        <v>1.53825418015148</v>
      </c>
      <c r="S108" s="443"/>
      <c r="T108" s="422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3">
        <f ca="1"/>
        <v>9.53867002002186E-3</v>
      </c>
      <c r="V108" s="423">
        <f ca="1"/>
        <v>4.3400141371436697E-2</v>
      </c>
      <c r="W108" s="424">
        <f ca="1"/>
        <v>2.1978430757600299E-3</v>
      </c>
      <c r="X108" s="425">
        <f ca="1"/>
        <v>4.3400141371436698</v>
      </c>
      <c r="Y108" s="426">
        <f t="shared" ca="1" si="13"/>
        <v>0.11841785389064301</v>
      </c>
      <c r="Z108" s="427">
        <f t="shared" ca="1" si="14"/>
        <v>-1.1295488327420049E-3</v>
      </c>
      <c r="AA108" s="426">
        <f t="shared" ca="1" si="15"/>
        <v>9.3543197886212334E-2</v>
      </c>
      <c r="AB108" s="428">
        <f t="shared" ca="1" si="16"/>
        <v>2.0879509219720281E-3</v>
      </c>
      <c r="AC108" s="427">
        <f t="shared" ca="1" si="17"/>
        <v>-4.4613884862709372E-5</v>
      </c>
      <c r="AD108" s="79"/>
      <c r="AE108" s="496">
        <f t="shared" ca="1" si="18"/>
        <v>1.2901445684286601</v>
      </c>
      <c r="AF108" s="493">
        <f t="shared" ca="1" si="19"/>
        <v>1.2428779033248811</v>
      </c>
      <c r="AG108" s="493">
        <f t="shared" ca="1" si="20"/>
        <v>4.7266665103778971E-2</v>
      </c>
      <c r="AH108" s="498">
        <f t="shared" ca="1" si="21"/>
        <v>0</v>
      </c>
      <c r="AI108" s="497">
        <f t="shared" ca="1" si="25"/>
        <v>1.2901445684286601</v>
      </c>
      <c r="AJ108" s="493">
        <f t="shared" ca="1" si="22"/>
        <v>0.32610574816677995</v>
      </c>
      <c r="AK108" s="493">
        <f t="shared" ca="1" si="23"/>
        <v>0.96403882026188015</v>
      </c>
      <c r="AL108" s="498">
        <f t="shared" ca="1" si="24"/>
        <v>0</v>
      </c>
    </row>
    <row r="109" spans="1:38" customFormat="1" ht="1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>
        <f ca="1"/>
        <v>1.7466517303112999E-4</v>
      </c>
      <c r="J109" s="413">
        <f ca="1"/>
        <v>4.4889864594495398E-4</v>
      </c>
      <c r="K109" s="413">
        <f ca="1"/>
        <v>0.38909712606383801</v>
      </c>
      <c r="L109" s="413">
        <f ca="1"/>
        <v>0.38909712606383801</v>
      </c>
      <c r="M109" s="413">
        <f ca="1"/>
        <v>-2.3033405372050499E-4</v>
      </c>
      <c r="N109" s="568" t="str">
        <f ca="1"/>
        <v>STGOBAIN_MMR.EUR.SU</v>
      </c>
      <c r="O109" s="413">
        <f ca="1"/>
        <v>1.20369665755924</v>
      </c>
      <c r="P109" s="413">
        <f ca="1"/>
        <v>0.773742927512163</v>
      </c>
      <c r="Q109" s="413">
        <f ca="1"/>
        <v>1.5556803361415099</v>
      </c>
      <c r="R109" s="452">
        <f ca="1"/>
        <v>1.5556803361415099</v>
      </c>
      <c r="S109" s="443"/>
      <c r="T109" s="422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3">
        <f ca="1"/>
        <v>1.9411026966311799E-2</v>
      </c>
      <c r="V109" s="423">
        <f ca="1"/>
        <v>4.3153954478474497E-2</v>
      </c>
      <c r="W109" s="424">
        <f ca="1"/>
        <v>4.49808764941673E-3</v>
      </c>
      <c r="X109" s="425">
        <f ca="1"/>
        <v>4.3153954478474503</v>
      </c>
      <c r="Y109" s="426">
        <f t="shared" ca="1" si="13"/>
        <v>0.11841785389064301</v>
      </c>
      <c r="Z109" s="427">
        <f t="shared" ca="1" si="14"/>
        <v>-2.2986121551640416E-3</v>
      </c>
      <c r="AA109" s="426">
        <f t="shared" ca="1" si="15"/>
        <v>0.12969904202127933</v>
      </c>
      <c r="AB109" s="428">
        <f t="shared" ca="1" si="16"/>
        <v>4.2731832669458932E-3</v>
      </c>
      <c r="AC109" s="427">
        <f t="shared" ca="1" si="17"/>
        <v>-1.2587958010899317E-4</v>
      </c>
      <c r="AD109" s="79"/>
      <c r="AE109" s="496">
        <f t="shared" ca="1" si="18"/>
        <v>1.2862809459314299</v>
      </c>
      <c r="AF109" s="493">
        <f t="shared" ca="1" si="19"/>
        <v>1.2527461066758232</v>
      </c>
      <c r="AG109" s="493">
        <f t="shared" ca="1" si="20"/>
        <v>3.3534839255606741E-2</v>
      </c>
      <c r="AH109" s="498">
        <f t="shared" ca="1" si="21"/>
        <v>0</v>
      </c>
      <c r="AI109" s="497">
        <f t="shared" ca="1" si="25"/>
        <v>1.2862809459314299</v>
      </c>
      <c r="AJ109" s="493">
        <f t="shared" ca="1" si="22"/>
        <v>0.41645071246551524</v>
      </c>
      <c r="AK109" s="493">
        <f t="shared" ca="1" si="23"/>
        <v>0.8698302334659147</v>
      </c>
      <c r="AL109" s="498">
        <f t="shared" ca="1" si="24"/>
        <v>0</v>
      </c>
    </row>
    <row r="110" spans="1:38" customFormat="1" ht="1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>
        <f ca="1"/>
        <v>1.4106451905659999E-4</v>
      </c>
      <c r="J110" s="413">
        <f ca="1"/>
        <v>4.5523177849750198E-4</v>
      </c>
      <c r="K110" s="413">
        <f ca="1"/>
        <v>0.30987405914891297</v>
      </c>
      <c r="L110" s="413">
        <f ca="1"/>
        <v>0.30987405914891297</v>
      </c>
      <c r="M110" s="413">
        <f ca="1"/>
        <v>-1.36490520262478E-4</v>
      </c>
      <c r="N110" s="568" t="str">
        <f ca="1"/>
        <v>STMICRO_MMR.EUR.SU</v>
      </c>
      <c r="O110" s="413">
        <f ca="1"/>
        <v>1.20537806623549</v>
      </c>
      <c r="P110" s="413">
        <f ca="1"/>
        <v>0.78154973844332498</v>
      </c>
      <c r="Q110" s="413">
        <f ca="1"/>
        <v>1.5422922009241999</v>
      </c>
      <c r="R110" s="452">
        <f ca="1"/>
        <v>1.5422922009241999</v>
      </c>
      <c r="S110" s="443"/>
      <c r="T110" s="422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3">
        <f ca="1"/>
        <v>1.1792758682262001E-2</v>
      </c>
      <c r="V110" s="423">
        <f ca="1"/>
        <v>4.3342497125587E-2</v>
      </c>
      <c r="W110" s="424">
        <f ca="1"/>
        <v>2.7208304699408302E-3</v>
      </c>
      <c r="X110" s="425">
        <f ca="1"/>
        <v>4.3342497125586998</v>
      </c>
      <c r="Y110" s="426">
        <f t="shared" ca="1" si="13"/>
        <v>0.11841785389064301</v>
      </c>
      <c r="Z110" s="427">
        <f t="shared" ca="1" si="14"/>
        <v>-1.3964731746037126E-3</v>
      </c>
      <c r="AA110" s="426">
        <f t="shared" ca="1" si="15"/>
        <v>0.10329135304963766</v>
      </c>
      <c r="AB110" s="428">
        <f t="shared" ca="1" si="16"/>
        <v>2.5847889464437885E-3</v>
      </c>
      <c r="AC110" s="427">
        <f t="shared" ca="1" si="17"/>
        <v>-6.0904500023935246E-5</v>
      </c>
      <c r="AD110" s="79"/>
      <c r="AE110" s="496">
        <f t="shared" ca="1" si="18"/>
        <v>1.28936817455735</v>
      </c>
      <c r="AF110" s="493">
        <f t="shared" ca="1" si="19"/>
        <v>1.2452061660381062</v>
      </c>
      <c r="AG110" s="493">
        <f t="shared" ca="1" si="20"/>
        <v>4.4162008519243789E-2</v>
      </c>
      <c r="AH110" s="498">
        <f t="shared" ca="1" si="21"/>
        <v>0</v>
      </c>
      <c r="AI110" s="497">
        <f t="shared" ca="1" si="25"/>
        <v>1.28936817455735</v>
      </c>
      <c r="AJ110" s="493">
        <f t="shared" ca="1" si="22"/>
        <v>0.35161045025016102</v>
      </c>
      <c r="AK110" s="493">
        <f t="shared" ca="1" si="23"/>
        <v>0.93775772430718896</v>
      </c>
      <c r="AL110" s="498">
        <f t="shared" ca="1" si="24"/>
        <v>0</v>
      </c>
    </row>
    <row r="111" spans="1:38" customFormat="1" ht="1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>
        <f ca="1"/>
        <v>1.8399718104236099E-4</v>
      </c>
      <c r="J111" s="413">
        <f ca="1"/>
        <v>4.4667226034695098E-4</v>
      </c>
      <c r="K111" s="413">
        <f ca="1"/>
        <v>0.41192882875565601</v>
      </c>
      <c r="L111" s="413">
        <f ca="1"/>
        <v>0.41192882875565601</v>
      </c>
      <c r="M111" s="413">
        <f ca="1"/>
        <v>-2.6146810543601398E-4</v>
      </c>
      <c r="N111" s="568" t="str">
        <f ca="1"/>
        <v>SUEDZUCKERAG_MMR.EUR.SU</v>
      </c>
      <c r="O111" s="413">
        <f ca="1"/>
        <v>1.2030075950038199</v>
      </c>
      <c r="P111" s="413">
        <f ca="1"/>
        <v>0.77100745489997102</v>
      </c>
      <c r="Q111" s="413">
        <f ca="1"/>
        <v>1.5603060480911899</v>
      </c>
      <c r="R111" s="452">
        <f ca="1"/>
        <v>1.5603060480911899</v>
      </c>
      <c r="S111" s="443"/>
      <c r="T111" s="422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3">
        <f ca="1"/>
        <v>2.2084963003683601E-2</v>
      </c>
      <c r="V111" s="423">
        <f ca="1"/>
        <v>4.3092417903654603E-2</v>
      </c>
      <c r="W111" s="424">
        <f ca="1"/>
        <v>5.1250229339789696E-3</v>
      </c>
      <c r="X111" s="425">
        <f ca="1"/>
        <v>4.3092417903654603</v>
      </c>
      <c r="Y111" s="426">
        <f t="shared" ca="1" si="13"/>
        <v>0.11841785389064301</v>
      </c>
      <c r="Z111" s="427">
        <f t="shared" ca="1" si="14"/>
        <v>-2.6152539221504585E-3</v>
      </c>
      <c r="AA111" s="426">
        <f t="shared" ca="1" si="15"/>
        <v>0.13730960958521868</v>
      </c>
      <c r="AB111" s="428">
        <f t="shared" ca="1" si="16"/>
        <v>4.8687717872800207E-3</v>
      </c>
      <c r="AC111" s="427">
        <f t="shared" ca="1" si="17"/>
        <v>-1.5162388238698976E-4</v>
      </c>
      <c r="AD111" s="79"/>
      <c r="AE111" s="496">
        <f t="shared" ca="1" si="18"/>
        <v>1.28506486157973</v>
      </c>
      <c r="AF111" s="493">
        <f t="shared" ca="1" si="19"/>
        <v>1.2553028717400052</v>
      </c>
      <c r="AG111" s="493">
        <f t="shared" ca="1" si="20"/>
        <v>2.9761989839724778E-2</v>
      </c>
      <c r="AH111" s="498">
        <f t="shared" ca="1" si="21"/>
        <v>0</v>
      </c>
      <c r="AI111" s="497">
        <f t="shared" ca="1" si="25"/>
        <v>1.28506486157973</v>
      </c>
      <c r="AJ111" s="493">
        <f t="shared" ca="1" si="22"/>
        <v>0.43414080905699171</v>
      </c>
      <c r="AK111" s="493">
        <f t="shared" ca="1" si="23"/>
        <v>0.85092405252273828</v>
      </c>
      <c r="AL111" s="498">
        <f t="shared" ca="1" si="24"/>
        <v>0</v>
      </c>
    </row>
    <row r="112" spans="1:38" customFormat="1" ht="1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>
        <f ca="1"/>
        <v>1.3959979036157701E-4</v>
      </c>
      <c r="J112" s="413">
        <f ca="1"/>
        <v>4.5562906519938402E-4</v>
      </c>
      <c r="K112" s="413">
        <f ca="1"/>
        <v>0.306389124452559</v>
      </c>
      <c r="L112" s="413">
        <f ca="1"/>
        <v>0.306389124452559</v>
      </c>
      <c r="M112" s="413">
        <f ca="1"/>
        <v>-1.3180494943203501E-4</v>
      </c>
      <c r="N112" s="568" t="str">
        <f ca="1"/>
        <v>SUEZLYONNAISE_MMR.EUR.SU</v>
      </c>
      <c r="O112" s="413">
        <f ca="1"/>
        <v>1.2054292040491399</v>
      </c>
      <c r="P112" s="413">
        <f ca="1"/>
        <v>0.78199439629704204</v>
      </c>
      <c r="Q112" s="413">
        <f ca="1"/>
        <v>1.54148061643047</v>
      </c>
      <c r="R112" s="452">
        <f ca="1"/>
        <v>1.54148061643047</v>
      </c>
      <c r="S112" s="443"/>
      <c r="T112" s="422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3">
        <f ca="1"/>
        <v>1.13366636512533E-2</v>
      </c>
      <c r="V112" s="423">
        <f ca="1"/>
        <v>4.3331059948294899E-2</v>
      </c>
      <c r="W112" s="424">
        <f ca="1"/>
        <v>2.6162904080308299E-3</v>
      </c>
      <c r="X112" s="425">
        <f ca="1"/>
        <v>4.3331059948294897</v>
      </c>
      <c r="Y112" s="426">
        <f t="shared" ca="1" si="13"/>
        <v>0.11841785389064301</v>
      </c>
      <c r="Z112" s="427">
        <f t="shared" ca="1" si="14"/>
        <v>-1.3424633798614744E-3</v>
      </c>
      <c r="AA112" s="426">
        <f t="shared" ca="1" si="15"/>
        <v>0.102129708150853</v>
      </c>
      <c r="AB112" s="428">
        <f t="shared" ca="1" si="16"/>
        <v>2.4854758876292882E-3</v>
      </c>
      <c r="AC112" s="427">
        <f t="shared" ca="1" si="17"/>
        <v>-5.7890507505344135E-5</v>
      </c>
      <c r="AD112" s="79"/>
      <c r="AE112" s="496">
        <f t="shared" ca="1" si="18"/>
        <v>1.28948141335538</v>
      </c>
      <c r="AF112" s="493">
        <f t="shared" ca="1" si="19"/>
        <v>1.2447223717714428</v>
      </c>
      <c r="AG112" s="493">
        <f t="shared" ca="1" si="20"/>
        <v>4.4759041583937176E-2</v>
      </c>
      <c r="AH112" s="498">
        <f t="shared" ca="1" si="21"/>
        <v>0</v>
      </c>
      <c r="AI112" s="497">
        <f t="shared" ca="1" si="25"/>
        <v>1.28948141335538</v>
      </c>
      <c r="AJ112" s="493">
        <f t="shared" ca="1" si="22"/>
        <v>0.34815241832216215</v>
      </c>
      <c r="AK112" s="493">
        <f t="shared" ca="1" si="23"/>
        <v>0.94132899503321787</v>
      </c>
      <c r="AL112" s="498">
        <f t="shared" ca="1" si="24"/>
        <v>0</v>
      </c>
    </row>
    <row r="113" spans="1:38" customFormat="1" ht="1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>
        <f ca="1"/>
        <v>1.72588263110795E-4</v>
      </c>
      <c r="J113" s="413">
        <f ca="1"/>
        <v>4.4925565199162E-4</v>
      </c>
      <c r="K113" s="413">
        <f ca="1"/>
        <v>0.38416492334750701</v>
      </c>
      <c r="L113" s="413">
        <f ca="1"/>
        <v>0.38416492334750701</v>
      </c>
      <c r="M113" s="413">
        <f ca="1"/>
        <v>-2.2432133443859399E-4</v>
      </c>
      <c r="N113" s="568" t="str">
        <f ca="1"/>
        <v>SVENSKACELLULOSAAB_MMR.EUR.SU</v>
      </c>
      <c r="O113" s="413">
        <f ca="1"/>
        <v>1.2038294386816399</v>
      </c>
      <c r="P113" s="413">
        <f ca="1"/>
        <v>0.77421079281516503</v>
      </c>
      <c r="Q113" s="413">
        <f ca="1"/>
        <v>1.5549117241110899</v>
      </c>
      <c r="R113" s="452">
        <f ca="1"/>
        <v>1.5549117241110899</v>
      </c>
      <c r="S113" s="443"/>
      <c r="T113" s="422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3">
        <f ca="1"/>
        <v>1.89730691407618E-2</v>
      </c>
      <c r="V113" s="423">
        <f ca="1"/>
        <v>4.31838619559268E-2</v>
      </c>
      <c r="W113" s="424">
        <f ca="1"/>
        <v>4.3935554351590004E-3</v>
      </c>
      <c r="X113" s="425">
        <f ca="1"/>
        <v>4.3183861955926801</v>
      </c>
      <c r="Y113" s="426">
        <f t="shared" ca="1" si="13"/>
        <v>0.11841785389064301</v>
      </c>
      <c r="Z113" s="427">
        <f t="shared" ca="1" si="14"/>
        <v>-2.2467501293678004E-3</v>
      </c>
      <c r="AA113" s="426">
        <f t="shared" ca="1" si="15"/>
        <v>0.128054974449169</v>
      </c>
      <c r="AB113" s="428">
        <f t="shared" ca="1" si="16"/>
        <v>4.1738776634010506E-3</v>
      </c>
      <c r="AC113" s="427">
        <f t="shared" ca="1" si="17"/>
        <v>-1.2147979420212844E-4</v>
      </c>
      <c r="AD113" s="79"/>
      <c r="AE113" s="496">
        <f t="shared" ca="1" si="18"/>
        <v>1.2865111586436999</v>
      </c>
      <c r="AF113" s="493">
        <f t="shared" ca="1" si="19"/>
        <v>1.2523326234348686</v>
      </c>
      <c r="AG113" s="493">
        <f t="shared" ca="1" si="20"/>
        <v>3.4178535208831295E-2</v>
      </c>
      <c r="AH113" s="498">
        <f t="shared" ca="1" si="21"/>
        <v>0</v>
      </c>
      <c r="AI113" s="497">
        <f t="shared" ca="1" si="25"/>
        <v>1.2865111586436999</v>
      </c>
      <c r="AJ113" s="493">
        <f t="shared" ca="1" si="22"/>
        <v>0.4126907763531612</v>
      </c>
      <c r="AK113" s="493">
        <f t="shared" ca="1" si="23"/>
        <v>0.87382038229053871</v>
      </c>
      <c r="AL113" s="498">
        <f t="shared" ca="1" si="24"/>
        <v>0</v>
      </c>
    </row>
    <row r="114" spans="1:38" customFormat="1" ht="15.75" thickBot="1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>
        <f ca="1"/>
        <v>1.5860428374987501E-4</v>
      </c>
      <c r="J114" s="413">
        <f ca="1"/>
        <v>4.5271143359201598E-4</v>
      </c>
      <c r="K114" s="413">
        <f ca="1"/>
        <v>0.35034300435365101</v>
      </c>
      <c r="L114" s="413">
        <f ca="1"/>
        <v>0.35034300435365101</v>
      </c>
      <c r="M114" s="413">
        <f ca="1"/>
        <v>-1.7922600773516699E-4</v>
      </c>
      <c r="N114" s="568" t="str">
        <f ca="1"/>
        <v>SWISSRE_MMR.EUR.SU</v>
      </c>
      <c r="O114" s="413">
        <f ca="1"/>
        <v>1.2045959723945301</v>
      </c>
      <c r="P114" s="413">
        <f ca="1"/>
        <v>0.77826584300305401</v>
      </c>
      <c r="Q114" s="413">
        <f ca="1"/>
        <v>1.54779498962259</v>
      </c>
      <c r="R114" s="452">
        <f ca="1"/>
        <v>1.54779498962259</v>
      </c>
      <c r="S114" s="443"/>
      <c r="T114" s="422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3">
        <f ca="1"/>
        <v>1.49082273882715E-2</v>
      </c>
      <c r="V114" s="423">
        <f ca="1"/>
        <v>4.3174070391325703E-2</v>
      </c>
      <c r="W114" s="424">
        <f ca="1"/>
        <v>3.4530511608344399E-3</v>
      </c>
      <c r="X114" s="425">
        <f ca="1"/>
        <v>4.3174070391325703</v>
      </c>
      <c r="Y114" s="426">
        <f t="shared" ca="1" si="13"/>
        <v>0.11841785389064301</v>
      </c>
      <c r="Z114" s="427">
        <f t="shared" ca="1" si="14"/>
        <v>-1.7654002926328174E-3</v>
      </c>
      <c r="AA114" s="426">
        <f t="shared" ca="1" si="15"/>
        <v>0.116781001451217</v>
      </c>
      <c r="AB114" s="428">
        <f t="shared" ca="1" si="16"/>
        <v>3.2803986027927176E-3</v>
      </c>
      <c r="AC114" s="427">
        <f t="shared" ca="1" si="17"/>
        <v>-8.7049886213240554E-5</v>
      </c>
      <c r="AD114" s="79"/>
      <c r="AE114" s="499">
        <f t="shared" ca="1" si="18"/>
        <v>1.2879727989929699</v>
      </c>
      <c r="AF114" s="505">
        <f t="shared" ca="1" si="19"/>
        <v>1.2482613659740911</v>
      </c>
      <c r="AG114" s="505">
        <f t="shared" ca="1" si="20"/>
        <v>3.9711433018878806E-2</v>
      </c>
      <c r="AH114" s="501">
        <f t="shared" ca="1" si="21"/>
        <v>0</v>
      </c>
      <c r="AI114" s="505">
        <f t="shared" ca="1" si="25"/>
        <v>1.2879727989929699</v>
      </c>
      <c r="AJ114" s="505">
        <f t="shared" ca="1" si="22"/>
        <v>0.38431968891578899</v>
      </c>
      <c r="AK114" s="505">
        <f t="shared" ca="1" si="23"/>
        <v>0.90365311007718097</v>
      </c>
      <c r="AL114" s="501">
        <f t="shared" ca="1" si="24"/>
        <v>0</v>
      </c>
    </row>
    <row r="115" spans="1:38" customFormat="1" ht="15.75" thickBot="1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568"/>
      <c r="O115" s="413"/>
      <c r="P115" s="413"/>
      <c r="Q115" s="413"/>
      <c r="R115" s="452"/>
      <c r="S115" s="443"/>
      <c r="T115" s="42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ca="1" si="13"/>
        <v/>
      </c>
      <c r="Z115" s="427" t="str">
        <f t="shared" ca="1" si="14"/>
        <v/>
      </c>
      <c r="AA115" s="426" t="str">
        <f t="shared" ca="1" si="15"/>
        <v/>
      </c>
      <c r="AB115" s="428" t="str">
        <f t="shared" ca="1" si="16"/>
        <v/>
      </c>
      <c r="AC115" s="427" t="str">
        <f t="shared" ca="1" si="17"/>
        <v/>
      </c>
      <c r="AD115" s="79"/>
      <c r="AH115" s="493"/>
    </row>
    <row r="116" spans="1:38" customFormat="1" ht="15.75" thickBot="1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568"/>
      <c r="O116" s="413"/>
      <c r="P116" s="413"/>
      <c r="Q116" s="413"/>
      <c r="R116" s="452"/>
      <c r="S116" s="443"/>
      <c r="T116" s="42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ca="1" si="13"/>
        <v/>
      </c>
      <c r="Z116" s="427" t="str">
        <f t="shared" ca="1" si="14"/>
        <v/>
      </c>
      <c r="AA116" s="426" t="str">
        <f t="shared" ca="1" si="15"/>
        <v/>
      </c>
      <c r="AB116" s="428" t="str">
        <f t="shared" ca="1" si="16"/>
        <v/>
      </c>
      <c r="AC116" s="427" t="str">
        <f t="shared" ca="1" si="17"/>
        <v/>
      </c>
      <c r="AD116" s="79"/>
      <c r="AE116" s="485" t="s">
        <v>619</v>
      </c>
      <c r="AF116" s="140" t="b">
        <v>1</v>
      </c>
      <c r="AG116" t="s">
        <v>620</v>
      </c>
    </row>
    <row r="117" spans="1:38" customFormat="1" ht="1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568"/>
      <c r="O117" s="413"/>
      <c r="P117" s="413"/>
      <c r="Q117" s="413"/>
      <c r="R117" s="452"/>
      <c r="S117" s="443"/>
      <c r="T117" s="42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ca="1" si="13"/>
        <v/>
      </c>
      <c r="Z117" s="427" t="str">
        <f t="shared" ca="1" si="14"/>
        <v/>
      </c>
      <c r="AA117" s="426" t="str">
        <f t="shared" ca="1" si="15"/>
        <v/>
      </c>
      <c r="AB117" s="428" t="str">
        <f t="shared" ca="1" si="16"/>
        <v/>
      </c>
      <c r="AC117" s="427" t="str">
        <f t="shared" ca="1" si="17"/>
        <v/>
      </c>
      <c r="AD117" s="79"/>
      <c r="AE117" s="485" t="s">
        <v>612</v>
      </c>
      <c r="AF117" s="484"/>
      <c r="AG117" s="504"/>
      <c r="AH117" s="227"/>
      <c r="AI117" s="485" t="s">
        <v>613</v>
      </c>
      <c r="AJ117" s="489"/>
    </row>
    <row r="118" spans="1:38" customFormat="1" ht="1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568"/>
      <c r="O118" s="413"/>
      <c r="P118" s="413"/>
      <c r="Q118" s="413"/>
      <c r="R118" s="452"/>
      <c r="S118" s="443"/>
      <c r="T118" s="42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ca="1" si="13"/>
        <v/>
      </c>
      <c r="Z118" s="427" t="str">
        <f t="shared" ca="1" si="14"/>
        <v/>
      </c>
      <c r="AA118" s="426" t="str">
        <f t="shared" ca="1" si="15"/>
        <v/>
      </c>
      <c r="AB118" s="428" t="str">
        <f t="shared" ca="1" si="16"/>
        <v/>
      </c>
      <c r="AC118" s="427" t="str">
        <f t="shared" ca="1" si="17"/>
        <v/>
      </c>
      <c r="AD118" s="79"/>
      <c r="AE118" s="486" t="s">
        <v>615</v>
      </c>
      <c r="AF118" s="497">
        <f ca="1">IF(AF120="Hedged",0,MAX(MAX(AF119,0)+0.5*MIN(AF119,0),0))</f>
        <v>0</v>
      </c>
      <c r="AG118" s="504"/>
      <c r="AH118" s="227"/>
      <c r="AI118" s="486" t="s">
        <v>615</v>
      </c>
      <c r="AJ118" s="502">
        <f ca="1">IF(AJ120="Hedged",0,MAX(MAX(AJ119,0)+0.5*MIN(AJ119,0),0))</f>
        <v>11.288775770887815</v>
      </c>
    </row>
    <row r="119" spans="1:38" customFormat="1" ht="1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568"/>
      <c r="O119" s="413"/>
      <c r="P119" s="413"/>
      <c r="Q119" s="413"/>
      <c r="R119" s="452"/>
      <c r="S119" s="443"/>
      <c r="T119" s="42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ca="1" si="13"/>
        <v/>
      </c>
      <c r="Z119" s="427" t="str">
        <f t="shared" ca="1" si="14"/>
        <v/>
      </c>
      <c r="AA119" s="426" t="str">
        <f t="shared" ca="1" si="15"/>
        <v/>
      </c>
      <c r="AB119" s="428" t="str">
        <f t="shared" ca="1" si="16"/>
        <v/>
      </c>
      <c r="AC119" s="427" t="str">
        <f t="shared" ca="1" si="17"/>
        <v/>
      </c>
      <c r="AD119" s="79"/>
      <c r="AE119" s="486" t="s">
        <v>614</v>
      </c>
      <c r="AF119" s="497">
        <f ca="1">IF(AF120="Hedged",0,15%*SUM(AG122:AG221)-AF120*15%*ABS(SUM(AH122:AH221)))</f>
        <v>0</v>
      </c>
      <c r="AG119" s="504"/>
      <c r="AH119" s="227"/>
      <c r="AI119" s="486" t="s">
        <v>614</v>
      </c>
      <c r="AJ119" s="503">
        <f ca="1">IF(AJ120="Hedged",0,15%*SUM(AK122:AK221)-AJ120*15%*ABS(SUM(AL122:AL221)))</f>
        <v>11.288775770887815</v>
      </c>
    </row>
    <row r="120" spans="1:38" customFormat="1" ht="15.75" thickBot="1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568"/>
      <c r="O120" s="413"/>
      <c r="P120" s="413"/>
      <c r="Q120" s="413"/>
      <c r="R120" s="452"/>
      <c r="S120" s="443"/>
      <c r="T120" s="42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ca="1" si="13"/>
        <v/>
      </c>
      <c r="Z120" s="427" t="str">
        <f t="shared" ca="1" si="14"/>
        <v/>
      </c>
      <c r="AA120" s="426" t="str">
        <f t="shared" ca="1" si="15"/>
        <v/>
      </c>
      <c r="AB120" s="428" t="str">
        <f t="shared" ca="1" si="16"/>
        <v/>
      </c>
      <c r="AC120" s="427" t="str">
        <f t="shared" ca="1" si="17"/>
        <v/>
      </c>
      <c r="AD120" s="79"/>
      <c r="AE120" s="486" t="s">
        <v>611</v>
      </c>
      <c r="AF120" s="513" t="str">
        <f ca="1">IF((SUM(AG122:AG221)-SUM(AH122:AH221))=0, "Hedged",SUM(AG122:AG221)/(SUM(AG122:AG221)+ABS(SUM(AH122:AH221))))</f>
        <v>Hedged</v>
      </c>
      <c r="AG120" s="510"/>
      <c r="AH120" s="511"/>
      <c r="AI120" s="486" t="s">
        <v>611</v>
      </c>
      <c r="AJ120" s="509">
        <f ca="1">IF((SUM(AK122:AK221)-SUM(AL122:AL221))=0,"Hedged",SUM(AK122:AK221)/(SUM(AK122:AK221)+ABS(SUM(AL122:AL221))))</f>
        <v>1</v>
      </c>
    </row>
    <row r="121" spans="1:38" customFormat="1" ht="15.75" thickBot="1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568"/>
      <c r="O121" s="413"/>
      <c r="P121" s="413"/>
      <c r="Q121" s="413"/>
      <c r="R121" s="452"/>
      <c r="S121" s="443"/>
      <c r="T121" s="42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ca="1" si="13"/>
        <v/>
      </c>
      <c r="Z121" s="427" t="str">
        <f t="shared" ca="1" si="14"/>
        <v/>
      </c>
      <c r="AA121" s="426" t="str">
        <f t="shared" ca="1" si="15"/>
        <v/>
      </c>
      <c r="AB121" s="428" t="str">
        <f t="shared" ca="1" si="16"/>
        <v/>
      </c>
      <c r="AC121" s="427" t="str">
        <f t="shared" ca="1" si="17"/>
        <v/>
      </c>
      <c r="AD121" s="79"/>
      <c r="AE121" s="487" t="s">
        <v>609</v>
      </c>
      <c r="AF121" s="483" t="s">
        <v>610</v>
      </c>
      <c r="AG121" s="483" t="s">
        <v>617</v>
      </c>
      <c r="AH121" s="488" t="s">
        <v>618</v>
      </c>
      <c r="AI121" s="483" t="s">
        <v>609</v>
      </c>
      <c r="AJ121" s="488" t="s">
        <v>610</v>
      </c>
      <c r="AK121" s="506" t="s">
        <v>617</v>
      </c>
      <c r="AL121" s="507" t="s">
        <v>618</v>
      </c>
    </row>
    <row r="122" spans="1:38" customFormat="1" ht="1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568"/>
      <c r="O122" s="413"/>
      <c r="P122" s="413"/>
      <c r="Q122" s="413"/>
      <c r="R122" s="452"/>
      <c r="S122" s="443"/>
      <c r="T122" s="42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ca="1" si="13"/>
        <v/>
      </c>
      <c r="Z122" s="427" t="str">
        <f t="shared" ca="1" si="14"/>
        <v/>
      </c>
      <c r="AA122" s="426" t="str">
        <f t="shared" ca="1" si="15"/>
        <v/>
      </c>
      <c r="AB122" s="428" t="str">
        <f t="shared" ca="1" si="16"/>
        <v/>
      </c>
      <c r="AC122" s="427" t="str">
        <f t="shared" ca="1" si="17"/>
        <v/>
      </c>
      <c r="AD122" s="79"/>
      <c r="AE122" s="492">
        <f ca="1">O15</f>
        <v>1.2866781069064801</v>
      </c>
      <c r="AF122" s="493">
        <f ca="1">ABS(Q15-T15)</f>
        <v>1.68515897083958</v>
      </c>
      <c r="AG122" s="493">
        <f ca="1">IF($AF$116,MAX(O122-ABS(AF122),0),AE122)</f>
        <v>0</v>
      </c>
      <c r="AH122" s="495">
        <f ca="1">IF($AF$116,0,AF122)</f>
        <v>0</v>
      </c>
      <c r="AI122" s="494">
        <f ca="1">O15</f>
        <v>1.2866781069064801</v>
      </c>
      <c r="AJ122" s="508">
        <f ca="1">ABS(K15-T15)</f>
        <v>0.56216026274245701</v>
      </c>
      <c r="AK122" s="508">
        <f ca="1">IF($AF$116,MAX(AI122-ABS(AJ122),0),AI122)</f>
        <v>0.72451784416402309</v>
      </c>
      <c r="AL122" s="495">
        <f ca="1">IF($AF$116,0,AJ122)</f>
        <v>0</v>
      </c>
    </row>
    <row r="123" spans="1:38" customFormat="1" ht="1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568"/>
      <c r="O123" s="413"/>
      <c r="P123" s="413"/>
      <c r="Q123" s="413"/>
      <c r="R123" s="452"/>
      <c r="S123" s="443"/>
      <c r="T123" s="42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ca="1" si="13"/>
        <v/>
      </c>
      <c r="Z123" s="427" t="str">
        <f t="shared" ca="1" si="14"/>
        <v/>
      </c>
      <c r="AA123" s="426" t="str">
        <f t="shared" ca="1" si="15"/>
        <v/>
      </c>
      <c r="AB123" s="428" t="str">
        <f t="shared" ca="1" si="16"/>
        <v/>
      </c>
      <c r="AC123" s="427" t="str">
        <f t="shared" ca="1" si="17"/>
        <v/>
      </c>
      <c r="AD123" s="79"/>
      <c r="AE123" s="496">
        <f ca="1">O16</f>
        <v>1.28759914290469</v>
      </c>
      <c r="AF123" s="493">
        <f ca="1">ABS(Q16-T16)</f>
        <v>1.6842095416205618</v>
      </c>
      <c r="AG123" s="493">
        <f t="shared" ref="AG123:AG186" ca="1" si="26">IF($AF$116,MAX(O123-ABS(AF123),0),AE123)</f>
        <v>0</v>
      </c>
      <c r="AH123" s="498">
        <f ca="1">IF($AF$116,0,AF123)</f>
        <v>0</v>
      </c>
      <c r="AI123" s="497">
        <f ca="1">O16</f>
        <v>1.28759914290469</v>
      </c>
      <c r="AJ123" s="493">
        <f ca="1">ABS(K16-T16)</f>
        <v>0.54246883265293688</v>
      </c>
      <c r="AK123" s="493">
        <f ca="1">IF($AF$116,MAX(AI123-ABS(AJ123),0),AI123)</f>
        <v>0.74513031025175314</v>
      </c>
      <c r="AL123" s="498">
        <f ca="1">IF($AF$116,0,AJ123)</f>
        <v>0</v>
      </c>
    </row>
    <row r="124" spans="1:38" customFormat="1" ht="1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568"/>
      <c r="O124" s="413"/>
      <c r="P124" s="413"/>
      <c r="Q124" s="413"/>
      <c r="R124" s="452"/>
      <c r="S124" s="443"/>
      <c r="T124" s="42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ca="1" si="13"/>
        <v/>
      </c>
      <c r="Z124" s="427" t="str">
        <f t="shared" ca="1" si="14"/>
        <v/>
      </c>
      <c r="AA124" s="426" t="str">
        <f t="shared" ca="1" si="15"/>
        <v/>
      </c>
      <c r="AB124" s="428" t="str">
        <f t="shared" ca="1" si="16"/>
        <v/>
      </c>
      <c r="AC124" s="427" t="str">
        <f t="shared" ca="1" si="17"/>
        <v/>
      </c>
      <c r="AD124" s="79"/>
      <c r="AE124" s="496">
        <f t="shared" ref="AE124:AE187" ca="1" si="27">O17</f>
        <v>1.28683127346758</v>
      </c>
      <c r="AF124" s="493">
        <f t="shared" ref="AF124:AF187" ca="1" si="28">ABS(Q17-T17)</f>
        <v>1.6853108407374857</v>
      </c>
      <c r="AG124" s="493">
        <f t="shared" ca="1" si="26"/>
        <v>0</v>
      </c>
      <c r="AH124" s="498">
        <f t="shared" ref="AH124:AH187" ca="1" si="29">IF($AF$116,0,AF124)</f>
        <v>0</v>
      </c>
      <c r="AI124" s="497">
        <f t="shared" ref="AI124:AI187" ca="1" si="30">O17</f>
        <v>1.28683127346758</v>
      </c>
      <c r="AJ124" s="493">
        <f t="shared" ref="AJ124:AJ187" ca="1" si="31">ABS(K17-T17)</f>
        <v>0.55996697063217793</v>
      </c>
      <c r="AK124" s="493">
        <f t="shared" ref="AK124:AK187" ca="1" si="32">IF($AF$116,MAX(AI124-ABS(AJ124),0),AI124)</f>
        <v>0.72686430283540204</v>
      </c>
      <c r="AL124" s="498">
        <f t="shared" ref="AL124:AL187" ca="1" si="33">IF($AF$116,0,AJ124)</f>
        <v>0</v>
      </c>
    </row>
    <row r="125" spans="1:38" customFormat="1" ht="1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568"/>
      <c r="O125" s="413"/>
      <c r="P125" s="413"/>
      <c r="Q125" s="413"/>
      <c r="R125" s="452"/>
      <c r="S125" s="443"/>
      <c r="T125" s="42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ca="1" si="13"/>
        <v/>
      </c>
      <c r="Z125" s="427" t="str">
        <f t="shared" ca="1" si="14"/>
        <v/>
      </c>
      <c r="AA125" s="426" t="str">
        <f t="shared" ca="1" si="15"/>
        <v/>
      </c>
      <c r="AB125" s="428" t="str">
        <f t="shared" ca="1" si="16"/>
        <v/>
      </c>
      <c r="AC125" s="427" t="str">
        <f t="shared" ca="1" si="17"/>
        <v/>
      </c>
      <c r="AD125" s="79"/>
      <c r="AE125" s="496">
        <f t="shared" ca="1" si="27"/>
        <v>1.2870920353183699</v>
      </c>
      <c r="AF125" s="493">
        <f t="shared" ca="1" si="28"/>
        <v>1.6846405881756734</v>
      </c>
      <c r="AG125" s="493">
        <f t="shared" ca="1" si="26"/>
        <v>0</v>
      </c>
      <c r="AH125" s="498">
        <f t="shared" ca="1" si="29"/>
        <v>0</v>
      </c>
      <c r="AI125" s="497">
        <f t="shared" ca="1" si="30"/>
        <v>1.2870920353183699</v>
      </c>
      <c r="AJ125" s="493">
        <f t="shared" ca="1" si="31"/>
        <v>0.55348004091720637</v>
      </c>
      <c r="AK125" s="493">
        <f t="shared" ca="1" si="32"/>
        <v>0.73361199440116354</v>
      </c>
      <c r="AL125" s="498">
        <f t="shared" ca="1" si="33"/>
        <v>0</v>
      </c>
    </row>
    <row r="126" spans="1:38" customFormat="1" ht="1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568"/>
      <c r="O126" s="413"/>
      <c r="P126" s="413"/>
      <c r="Q126" s="413"/>
      <c r="R126" s="452"/>
      <c r="S126" s="443"/>
      <c r="T126" s="42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ca="1" si="13"/>
        <v/>
      </c>
      <c r="Z126" s="427" t="str">
        <f t="shared" ca="1" si="14"/>
        <v/>
      </c>
      <c r="AA126" s="426" t="str">
        <f t="shared" ca="1" si="15"/>
        <v/>
      </c>
      <c r="AB126" s="428" t="str">
        <f t="shared" ca="1" si="16"/>
        <v/>
      </c>
      <c r="AC126" s="427" t="str">
        <f t="shared" ca="1" si="17"/>
        <v/>
      </c>
      <c r="AD126" s="79"/>
      <c r="AE126" s="496">
        <f t="shared" ca="1" si="27"/>
        <v>1.28952934262533</v>
      </c>
      <c r="AF126" s="493">
        <f t="shared" ca="1" si="28"/>
        <v>1.6810001133383494</v>
      </c>
      <c r="AG126" s="493">
        <f t="shared" ca="1" si="26"/>
        <v>0</v>
      </c>
      <c r="AH126" s="498">
        <f t="shared" ca="1" si="29"/>
        <v>0</v>
      </c>
      <c r="AI126" s="497">
        <f t="shared" ca="1" si="30"/>
        <v>1.28952934262533</v>
      </c>
      <c r="AJ126" s="493">
        <f t="shared" ca="1" si="31"/>
        <v>0.48378586613178454</v>
      </c>
      <c r="AK126" s="493">
        <f t="shared" ca="1" si="32"/>
        <v>0.8057434764935455</v>
      </c>
      <c r="AL126" s="498">
        <f t="shared" ca="1" si="33"/>
        <v>0</v>
      </c>
    </row>
    <row r="127" spans="1:38" customFormat="1" ht="1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568"/>
      <c r="O127" s="413"/>
      <c r="P127" s="413"/>
      <c r="Q127" s="413"/>
      <c r="R127" s="452"/>
      <c r="S127" s="443"/>
      <c r="T127" s="42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ca="1" si="13"/>
        <v/>
      </c>
      <c r="Z127" s="427" t="str">
        <f t="shared" ca="1" si="14"/>
        <v/>
      </c>
      <c r="AA127" s="426" t="str">
        <f t="shared" ca="1" si="15"/>
        <v/>
      </c>
      <c r="AB127" s="428" t="str">
        <f t="shared" ca="1" si="16"/>
        <v/>
      </c>
      <c r="AC127" s="427" t="str">
        <f t="shared" ca="1" si="17"/>
        <v/>
      </c>
      <c r="AD127" s="79"/>
      <c r="AE127" s="496">
        <f t="shared" ca="1" si="27"/>
        <v>1.28819191035466</v>
      </c>
      <c r="AF127" s="493">
        <f t="shared" ca="1" si="28"/>
        <v>1.6829446624802507</v>
      </c>
      <c r="AG127" s="493">
        <f t="shared" ca="1" si="26"/>
        <v>0</v>
      </c>
      <c r="AH127" s="498">
        <f t="shared" ca="1" si="29"/>
        <v>0</v>
      </c>
      <c r="AI127" s="497">
        <f t="shared" ca="1" si="30"/>
        <v>1.28819191035466</v>
      </c>
      <c r="AJ127" s="493">
        <f t="shared" ca="1" si="31"/>
        <v>0.52598007050151951</v>
      </c>
      <c r="AK127" s="493">
        <f t="shared" ca="1" si="32"/>
        <v>0.76221183985314045</v>
      </c>
      <c r="AL127" s="498">
        <f t="shared" ca="1" si="33"/>
        <v>0</v>
      </c>
    </row>
    <row r="128" spans="1:38" customFormat="1" ht="1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568"/>
      <c r="O128" s="413"/>
      <c r="P128" s="413"/>
      <c r="Q128" s="413"/>
      <c r="R128" s="452"/>
      <c r="S128" s="443"/>
      <c r="T128" s="42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ca="1" si="13"/>
        <v/>
      </c>
      <c r="Z128" s="427" t="str">
        <f t="shared" ca="1" si="14"/>
        <v/>
      </c>
      <c r="AA128" s="426" t="str">
        <f t="shared" ca="1" si="15"/>
        <v/>
      </c>
      <c r="AB128" s="428" t="str">
        <f t="shared" ca="1" si="16"/>
        <v/>
      </c>
      <c r="AC128" s="427" t="str">
        <f t="shared" ca="1" si="17"/>
        <v/>
      </c>
      <c r="AD128" s="79"/>
      <c r="AE128" s="496">
        <f t="shared" ca="1" si="27"/>
        <v>1.283319643794</v>
      </c>
      <c r="AF128" s="493">
        <f t="shared" ca="1" si="28"/>
        <v>1.689735622211004</v>
      </c>
      <c r="AG128" s="493">
        <f t="shared" ca="1" si="26"/>
        <v>0</v>
      </c>
      <c r="AH128" s="498">
        <f t="shared" ca="1" si="29"/>
        <v>0</v>
      </c>
      <c r="AI128" s="497">
        <f t="shared" ca="1" si="30"/>
        <v>1.283319643794</v>
      </c>
      <c r="AJ128" s="493">
        <f t="shared" ca="1" si="31"/>
        <v>0.61877942631742899</v>
      </c>
      <c r="AK128" s="493">
        <f t="shared" ca="1" si="32"/>
        <v>0.66454021747657099</v>
      </c>
      <c r="AL128" s="498">
        <f t="shared" ca="1" si="33"/>
        <v>0</v>
      </c>
    </row>
    <row r="129" spans="1:38" customFormat="1" ht="1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568"/>
      <c r="O129" s="413"/>
      <c r="P129" s="413"/>
      <c r="Q129" s="413"/>
      <c r="R129" s="452"/>
      <c r="S129" s="443"/>
      <c r="T129" s="42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ca="1" si="13"/>
        <v/>
      </c>
      <c r="Z129" s="427" t="str">
        <f t="shared" ca="1" si="14"/>
        <v/>
      </c>
      <c r="AA129" s="426" t="str">
        <f t="shared" ca="1" si="15"/>
        <v/>
      </c>
      <c r="AB129" s="428" t="str">
        <f t="shared" ca="1" si="16"/>
        <v/>
      </c>
      <c r="AC129" s="427" t="str">
        <f t="shared" ca="1" si="17"/>
        <v/>
      </c>
      <c r="AD129" s="79"/>
      <c r="AE129" s="496">
        <f t="shared" ca="1" si="27"/>
        <v>1.28435811270684</v>
      </c>
      <c r="AF129" s="493">
        <f t="shared" ca="1" si="28"/>
        <v>1.6884341480967797</v>
      </c>
      <c r="AG129" s="493">
        <f t="shared" ca="1" si="26"/>
        <v>0</v>
      </c>
      <c r="AH129" s="498">
        <f t="shared" ca="1" si="29"/>
        <v>0</v>
      </c>
      <c r="AI129" s="497">
        <f t="shared" ca="1" si="30"/>
        <v>1.28435811270684</v>
      </c>
      <c r="AJ129" s="493">
        <f t="shared" ca="1" si="31"/>
        <v>0.60401885118386167</v>
      </c>
      <c r="AK129" s="493">
        <f t="shared" ca="1" si="32"/>
        <v>0.6803392615229783</v>
      </c>
      <c r="AL129" s="498">
        <f t="shared" ca="1" si="33"/>
        <v>0</v>
      </c>
    </row>
    <row r="130" spans="1:38" customFormat="1" ht="1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568"/>
      <c r="O130" s="413"/>
      <c r="P130" s="413"/>
      <c r="Q130" s="413"/>
      <c r="R130" s="452"/>
      <c r="S130" s="443"/>
      <c r="T130" s="42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ca="1" si="13"/>
        <v/>
      </c>
      <c r="Z130" s="427" t="str">
        <f t="shared" ca="1" si="14"/>
        <v/>
      </c>
      <c r="AA130" s="426" t="str">
        <f t="shared" ca="1" si="15"/>
        <v/>
      </c>
      <c r="AB130" s="428" t="str">
        <f t="shared" ca="1" si="16"/>
        <v/>
      </c>
      <c r="AC130" s="427" t="str">
        <f t="shared" ca="1" si="17"/>
        <v/>
      </c>
      <c r="AD130" s="79"/>
      <c r="AE130" s="496">
        <f t="shared" ca="1" si="27"/>
        <v>1.2898168626045701</v>
      </c>
      <c r="AF130" s="493">
        <f t="shared" ca="1" si="28"/>
        <v>1.6803593290659329</v>
      </c>
      <c r="AG130" s="493">
        <f t="shared" ca="1" si="26"/>
        <v>0</v>
      </c>
      <c r="AH130" s="498">
        <f t="shared" ca="1" si="29"/>
        <v>0</v>
      </c>
      <c r="AI130" s="497">
        <f t="shared" ca="1" si="30"/>
        <v>1.2898168626045701</v>
      </c>
      <c r="AJ130" s="493">
        <f t="shared" ca="1" si="31"/>
        <v>0.47216851657689279</v>
      </c>
      <c r="AK130" s="493">
        <f t="shared" ca="1" si="32"/>
        <v>0.81764834602767733</v>
      </c>
      <c r="AL130" s="498">
        <f t="shared" ca="1" si="33"/>
        <v>0</v>
      </c>
    </row>
    <row r="131" spans="1:38" customFormat="1" ht="1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568"/>
      <c r="O131" s="413"/>
      <c r="P131" s="413"/>
      <c r="Q131" s="413"/>
      <c r="R131" s="452"/>
      <c r="S131" s="443"/>
      <c r="T131" s="42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ca="1" si="13"/>
        <v/>
      </c>
      <c r="Z131" s="427" t="str">
        <f t="shared" ca="1" si="14"/>
        <v/>
      </c>
      <c r="AA131" s="426" t="str">
        <f t="shared" ca="1" si="15"/>
        <v/>
      </c>
      <c r="AB131" s="428" t="str">
        <f t="shared" ca="1" si="16"/>
        <v/>
      </c>
      <c r="AC131" s="427" t="str">
        <f t="shared" ca="1" si="17"/>
        <v/>
      </c>
      <c r="AD131" s="79"/>
      <c r="AE131" s="496">
        <f t="shared" ca="1" si="27"/>
        <v>1.28840741361008</v>
      </c>
      <c r="AF131" s="493">
        <f t="shared" ca="1" si="28"/>
        <v>1.6826912794758526</v>
      </c>
      <c r="AG131" s="493">
        <f t="shared" ca="1" si="26"/>
        <v>0</v>
      </c>
      <c r="AH131" s="498">
        <f t="shared" ca="1" si="29"/>
        <v>0</v>
      </c>
      <c r="AI131" s="497">
        <f t="shared" ca="1" si="30"/>
        <v>1.28840741361008</v>
      </c>
      <c r="AJ131" s="493">
        <f t="shared" ca="1" si="31"/>
        <v>0.52034342784744458</v>
      </c>
      <c r="AK131" s="493">
        <f t="shared" ca="1" si="32"/>
        <v>0.76806398576263546</v>
      </c>
      <c r="AL131" s="498">
        <f t="shared" ca="1" si="33"/>
        <v>0</v>
      </c>
    </row>
    <row r="132" spans="1:38" customFormat="1" ht="1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568"/>
      <c r="O132" s="413"/>
      <c r="P132" s="413"/>
      <c r="Q132" s="413"/>
      <c r="R132" s="452"/>
      <c r="S132" s="443"/>
      <c r="T132" s="42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ca="1" si="13"/>
        <v/>
      </c>
      <c r="Z132" s="427" t="str">
        <f t="shared" ca="1" si="14"/>
        <v/>
      </c>
      <c r="AA132" s="426" t="str">
        <f t="shared" ca="1" si="15"/>
        <v/>
      </c>
      <c r="AB132" s="428" t="str">
        <f t="shared" ca="1" si="16"/>
        <v/>
      </c>
      <c r="AC132" s="427" t="str">
        <f t="shared" ca="1" si="17"/>
        <v/>
      </c>
      <c r="AD132" s="79"/>
      <c r="AE132" s="496">
        <f t="shared" ca="1" si="27"/>
        <v>1.2878365620041199</v>
      </c>
      <c r="AF132" s="493">
        <f t="shared" ca="1" si="28"/>
        <v>1.683521237904406</v>
      </c>
      <c r="AG132" s="493">
        <f t="shared" ca="1" si="26"/>
        <v>0</v>
      </c>
      <c r="AH132" s="498">
        <f t="shared" ca="1" si="29"/>
        <v>0</v>
      </c>
      <c r="AI132" s="497">
        <f t="shared" ca="1" si="30"/>
        <v>1.2878365620041199</v>
      </c>
      <c r="AJ132" s="493">
        <f t="shared" ca="1" si="31"/>
        <v>0.53556160273964093</v>
      </c>
      <c r="AK132" s="493">
        <f t="shared" ca="1" si="32"/>
        <v>0.75227495926447896</v>
      </c>
      <c r="AL132" s="498">
        <f t="shared" ca="1" si="33"/>
        <v>0</v>
      </c>
    </row>
    <row r="133" spans="1:38" customFormat="1" ht="1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568"/>
      <c r="O133" s="413"/>
      <c r="P133" s="413"/>
      <c r="Q133" s="413"/>
      <c r="R133" s="452"/>
      <c r="S133" s="443"/>
      <c r="T133" s="42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ca="1" si="13"/>
        <v/>
      </c>
      <c r="Z133" s="427" t="str">
        <f t="shared" ca="1" si="14"/>
        <v/>
      </c>
      <c r="AA133" s="426" t="str">
        <f t="shared" ca="1" si="15"/>
        <v/>
      </c>
      <c r="AB133" s="428" t="str">
        <f t="shared" ca="1" si="16"/>
        <v/>
      </c>
      <c r="AC133" s="427" t="str">
        <f t="shared" ca="1" si="17"/>
        <v/>
      </c>
      <c r="AD133" s="79"/>
      <c r="AE133" s="496">
        <f t="shared" ca="1" si="27"/>
        <v>1.2856453978011899</v>
      </c>
      <c r="AF133" s="493">
        <f t="shared" ca="1" si="28"/>
        <v>1.6864561660391082</v>
      </c>
      <c r="AG133" s="493">
        <f t="shared" ca="1" si="26"/>
        <v>0</v>
      </c>
      <c r="AH133" s="498">
        <f t="shared" ca="1" si="29"/>
        <v>0</v>
      </c>
      <c r="AI133" s="497">
        <f t="shared" ca="1" si="30"/>
        <v>1.2856453978011899</v>
      </c>
      <c r="AJ133" s="493">
        <f t="shared" ca="1" si="31"/>
        <v>0.5819158978052491</v>
      </c>
      <c r="AK133" s="493">
        <f t="shared" ca="1" si="32"/>
        <v>0.70372949999594081</v>
      </c>
      <c r="AL133" s="498">
        <f t="shared" ca="1" si="33"/>
        <v>0</v>
      </c>
    </row>
    <row r="134" spans="1:38" customFormat="1" ht="1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568"/>
      <c r="O134" s="413"/>
      <c r="P134" s="413"/>
      <c r="Q134" s="413"/>
      <c r="R134" s="452"/>
      <c r="S134" s="443"/>
      <c r="T134" s="42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ca="1" si="13"/>
        <v/>
      </c>
      <c r="Z134" s="427" t="str">
        <f t="shared" ca="1" si="14"/>
        <v/>
      </c>
      <c r="AA134" s="426" t="str">
        <f t="shared" ca="1" si="15"/>
        <v/>
      </c>
      <c r="AB134" s="428" t="str">
        <f t="shared" ca="1" si="16"/>
        <v/>
      </c>
      <c r="AC134" s="427" t="str">
        <f t="shared" ca="1" si="17"/>
        <v/>
      </c>
      <c r="AD134" s="79"/>
      <c r="AE134" s="496">
        <f t="shared" ca="1" si="27"/>
        <v>1.28659937790506</v>
      </c>
      <c r="AF134" s="493">
        <f t="shared" ca="1" si="28"/>
        <v>1.6850799338061744</v>
      </c>
      <c r="AG134" s="493">
        <f t="shared" ca="1" si="26"/>
        <v>0</v>
      </c>
      <c r="AH134" s="498">
        <f t="shared" ca="1" si="29"/>
        <v>0</v>
      </c>
      <c r="AI134" s="497">
        <f t="shared" ca="1" si="30"/>
        <v>1.28659937790506</v>
      </c>
      <c r="AJ134" s="493">
        <f t="shared" ca="1" si="31"/>
        <v>0.56281183783675237</v>
      </c>
      <c r="AK134" s="493">
        <f t="shared" ca="1" si="32"/>
        <v>0.72378754006830759</v>
      </c>
      <c r="AL134" s="498">
        <f t="shared" ca="1" si="33"/>
        <v>0</v>
      </c>
    </row>
    <row r="135" spans="1:38" customFormat="1" ht="1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568"/>
      <c r="O135" s="413"/>
      <c r="P135" s="413"/>
      <c r="Q135" s="413"/>
      <c r="R135" s="452"/>
      <c r="S135" s="443"/>
      <c r="T135" s="42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ca="1" si="13"/>
        <v/>
      </c>
      <c r="Z135" s="427" t="str">
        <f t="shared" ca="1" si="14"/>
        <v/>
      </c>
      <c r="AA135" s="426" t="str">
        <f t="shared" ca="1" si="15"/>
        <v/>
      </c>
      <c r="AB135" s="428" t="str">
        <f t="shared" ca="1" si="16"/>
        <v/>
      </c>
      <c r="AC135" s="427" t="str">
        <f t="shared" ca="1" si="17"/>
        <v/>
      </c>
      <c r="AD135" s="79"/>
      <c r="AE135" s="496">
        <f t="shared" ca="1" si="27"/>
        <v>1.29042466551756</v>
      </c>
      <c r="AF135" s="493">
        <f t="shared" ca="1" si="28"/>
        <v>1.6790884939736317</v>
      </c>
      <c r="AG135" s="493">
        <f t="shared" ca="1" si="26"/>
        <v>0</v>
      </c>
      <c r="AH135" s="498">
        <f t="shared" ca="1" si="29"/>
        <v>0</v>
      </c>
      <c r="AI135" s="497">
        <f t="shared" ca="1" si="30"/>
        <v>1.29042466551756</v>
      </c>
      <c r="AJ135" s="493">
        <f t="shared" ca="1" si="31"/>
        <v>0.44311095253924371</v>
      </c>
      <c r="AK135" s="493">
        <f t="shared" ca="1" si="32"/>
        <v>0.84731371297831626</v>
      </c>
      <c r="AL135" s="498">
        <f t="shared" ca="1" si="33"/>
        <v>0</v>
      </c>
    </row>
    <row r="136" spans="1:38" customFormat="1" ht="1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568"/>
      <c r="O136" s="413"/>
      <c r="P136" s="413"/>
      <c r="Q136" s="413"/>
      <c r="R136" s="452"/>
      <c r="S136" s="443"/>
      <c r="T136" s="42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ca="1" si="13"/>
        <v/>
      </c>
      <c r="Z136" s="427" t="str">
        <f t="shared" ca="1" si="14"/>
        <v/>
      </c>
      <c r="AA136" s="426" t="str">
        <f t="shared" ca="1" si="15"/>
        <v/>
      </c>
      <c r="AB136" s="428" t="str">
        <f t="shared" ca="1" si="16"/>
        <v/>
      </c>
      <c r="AC136" s="427" t="str">
        <f t="shared" ca="1" si="17"/>
        <v/>
      </c>
      <c r="AD136" s="79"/>
      <c r="AE136" s="496">
        <f t="shared" ca="1" si="27"/>
        <v>1.2881679976498199</v>
      </c>
      <c r="AF136" s="493">
        <f t="shared" ca="1" si="28"/>
        <v>1.6833769306838127</v>
      </c>
      <c r="AG136" s="493">
        <f t="shared" ca="1" si="26"/>
        <v>0</v>
      </c>
      <c r="AH136" s="498">
        <f t="shared" ca="1" si="29"/>
        <v>0</v>
      </c>
      <c r="AI136" s="497">
        <f t="shared" ca="1" si="30"/>
        <v>1.2881679976498199</v>
      </c>
      <c r="AJ136" s="493">
        <f t="shared" ca="1" si="31"/>
        <v>0.52779979957254353</v>
      </c>
      <c r="AK136" s="493">
        <f t="shared" ca="1" si="32"/>
        <v>0.7603681980772764</v>
      </c>
      <c r="AL136" s="498">
        <f t="shared" ca="1" si="33"/>
        <v>0</v>
      </c>
    </row>
    <row r="137" spans="1:38" customFormat="1" ht="1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568"/>
      <c r="O137" s="413"/>
      <c r="P137" s="413"/>
      <c r="Q137" s="413"/>
      <c r="R137" s="452"/>
      <c r="S137" s="443"/>
      <c r="T137" s="42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ca="1" si="13"/>
        <v/>
      </c>
      <c r="Z137" s="427" t="str">
        <f t="shared" ca="1" si="14"/>
        <v/>
      </c>
      <c r="AA137" s="426" t="str">
        <f t="shared" ca="1" si="15"/>
        <v/>
      </c>
      <c r="AB137" s="428" t="str">
        <f t="shared" ca="1" si="16"/>
        <v/>
      </c>
      <c r="AC137" s="427" t="str">
        <f t="shared" ca="1" si="17"/>
        <v/>
      </c>
      <c r="AD137" s="79"/>
      <c r="AE137" s="496">
        <f t="shared" ca="1" si="27"/>
        <v>1.2895277749145599</v>
      </c>
      <c r="AF137" s="493">
        <f t="shared" ca="1" si="28"/>
        <v>1.6809984374805558</v>
      </c>
      <c r="AG137" s="493">
        <f t="shared" ca="1" si="26"/>
        <v>0</v>
      </c>
      <c r="AH137" s="498">
        <f t="shared" ca="1" si="29"/>
        <v>0</v>
      </c>
      <c r="AI137" s="497">
        <f t="shared" ca="1" si="30"/>
        <v>1.2895277749145599</v>
      </c>
      <c r="AJ137" s="493">
        <f t="shared" ca="1" si="31"/>
        <v>0.48382117840148081</v>
      </c>
      <c r="AK137" s="493">
        <f t="shared" ca="1" si="32"/>
        <v>0.80570659651307919</v>
      </c>
      <c r="AL137" s="498">
        <f t="shared" ca="1" si="33"/>
        <v>0</v>
      </c>
    </row>
    <row r="138" spans="1:38" customFormat="1" ht="1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568"/>
      <c r="O138" s="413"/>
      <c r="P138" s="413"/>
      <c r="Q138" s="413"/>
      <c r="R138" s="452"/>
      <c r="S138" s="443"/>
      <c r="T138" s="42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ca="1" si="13"/>
        <v/>
      </c>
      <c r="Z138" s="427" t="str">
        <f t="shared" ca="1" si="14"/>
        <v/>
      </c>
      <c r="AA138" s="426" t="str">
        <f t="shared" ca="1" si="15"/>
        <v/>
      </c>
      <c r="AB138" s="428" t="str">
        <f t="shared" ca="1" si="16"/>
        <v/>
      </c>
      <c r="AC138" s="427" t="str">
        <f t="shared" ca="1" si="17"/>
        <v/>
      </c>
      <c r="AD138" s="79"/>
      <c r="AE138" s="496">
        <f t="shared" ca="1" si="27"/>
        <v>1.287942417844</v>
      </c>
      <c r="AF138" s="493">
        <f t="shared" ca="1" si="28"/>
        <v>1.6831662452320022</v>
      </c>
      <c r="AG138" s="493">
        <f t="shared" ca="1" si="26"/>
        <v>0</v>
      </c>
      <c r="AH138" s="498">
        <f t="shared" ca="1" si="29"/>
        <v>0</v>
      </c>
      <c r="AI138" s="497">
        <f t="shared" ca="1" si="30"/>
        <v>1.287942417844</v>
      </c>
      <c r="AJ138" s="493">
        <f t="shared" ca="1" si="31"/>
        <v>0.53178170998829433</v>
      </c>
      <c r="AK138" s="493">
        <f t="shared" ca="1" si="32"/>
        <v>0.75616070785570566</v>
      </c>
      <c r="AL138" s="498">
        <f t="shared" ca="1" si="33"/>
        <v>0</v>
      </c>
    </row>
    <row r="139" spans="1:38" customFormat="1" ht="1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568"/>
      <c r="O139" s="413"/>
      <c r="P139" s="413"/>
      <c r="Q139" s="413"/>
      <c r="R139" s="452"/>
      <c r="S139" s="443"/>
      <c r="T139" s="42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ca="1" si="13"/>
        <v/>
      </c>
      <c r="Z139" s="427" t="str">
        <f t="shared" ca="1" si="14"/>
        <v/>
      </c>
      <c r="AA139" s="426" t="str">
        <f t="shared" ca="1" si="15"/>
        <v/>
      </c>
      <c r="AB139" s="428" t="str">
        <f t="shared" ca="1" si="16"/>
        <v/>
      </c>
      <c r="AC139" s="427" t="str">
        <f t="shared" ca="1" si="17"/>
        <v/>
      </c>
      <c r="AD139" s="79"/>
      <c r="AE139" s="496">
        <f t="shared" ca="1" si="27"/>
        <v>1.2885159882899599</v>
      </c>
      <c r="AF139" s="493">
        <f t="shared" ca="1" si="28"/>
        <v>1.6827910805248734</v>
      </c>
      <c r="AG139" s="493">
        <f t="shared" ca="1" si="26"/>
        <v>0</v>
      </c>
      <c r="AH139" s="498">
        <f t="shared" ca="1" si="29"/>
        <v>0</v>
      </c>
      <c r="AI139" s="497">
        <f t="shared" ca="1" si="30"/>
        <v>1.2885159882899599</v>
      </c>
      <c r="AJ139" s="493">
        <f t="shared" ca="1" si="31"/>
        <v>0.51791609901253854</v>
      </c>
      <c r="AK139" s="493">
        <f t="shared" ca="1" si="32"/>
        <v>0.7705998892774214</v>
      </c>
      <c r="AL139" s="498">
        <f t="shared" ca="1" si="33"/>
        <v>0</v>
      </c>
    </row>
    <row r="140" spans="1:38" customFormat="1" ht="1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569"/>
      <c r="O140" s="404"/>
      <c r="P140" s="404"/>
      <c r="Q140" s="404"/>
      <c r="R140" s="453"/>
      <c r="S140" s="443"/>
      <c r="T140" s="42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ca="1" si="13"/>
        <v/>
      </c>
      <c r="Z140" s="427" t="str">
        <f t="shared" ca="1" si="14"/>
        <v/>
      </c>
      <c r="AA140" s="426" t="str">
        <f t="shared" ca="1" si="15"/>
        <v/>
      </c>
      <c r="AB140" s="428" t="str">
        <f t="shared" ca="1" si="16"/>
        <v/>
      </c>
      <c r="AC140" s="427" t="str">
        <f t="shared" ca="1" si="17"/>
        <v/>
      </c>
      <c r="AD140" s="79"/>
      <c r="AE140" s="496">
        <f t="shared" ca="1" si="27"/>
        <v>1.28935553786049</v>
      </c>
      <c r="AF140" s="493">
        <f t="shared" ca="1" si="28"/>
        <v>1.6812952410544593</v>
      </c>
      <c r="AG140" s="493">
        <f t="shared" ca="1" si="26"/>
        <v>0</v>
      </c>
      <c r="AH140" s="498">
        <f t="shared" ca="1" si="29"/>
        <v>0</v>
      </c>
      <c r="AI140" s="497">
        <f t="shared" ca="1" si="30"/>
        <v>1.28935553786049</v>
      </c>
      <c r="AJ140" s="493">
        <f t="shared" ca="1" si="31"/>
        <v>0.49035894511889933</v>
      </c>
      <c r="AK140" s="493">
        <f t="shared" ca="1" si="32"/>
        <v>0.79899659274159063</v>
      </c>
      <c r="AL140" s="498">
        <f t="shared" ca="1" si="33"/>
        <v>0</v>
      </c>
    </row>
    <row r="141" spans="1:38" customFormat="1" ht="1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569"/>
      <c r="O141" s="404"/>
      <c r="P141" s="404"/>
      <c r="Q141" s="404"/>
      <c r="R141" s="453"/>
      <c r="S141" s="443"/>
      <c r="T141" s="42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ca="1" si="13"/>
        <v/>
      </c>
      <c r="Z141" s="427" t="str">
        <f t="shared" ca="1" si="14"/>
        <v/>
      </c>
      <c r="AA141" s="426" t="str">
        <f t="shared" ca="1" si="15"/>
        <v/>
      </c>
      <c r="AB141" s="428" t="str">
        <f t="shared" ca="1" si="16"/>
        <v/>
      </c>
      <c r="AC141" s="427" t="str">
        <f t="shared" ca="1" si="17"/>
        <v/>
      </c>
      <c r="AD141" s="79"/>
      <c r="AE141" s="496">
        <f t="shared" ca="1" si="27"/>
        <v>1.2886283279324999</v>
      </c>
      <c r="AF141" s="493">
        <f t="shared" ca="1" si="28"/>
        <v>1.6824432794893736</v>
      </c>
      <c r="AG141" s="493">
        <f t="shared" ca="1" si="26"/>
        <v>0</v>
      </c>
      <c r="AH141" s="498">
        <f t="shared" ca="1" si="29"/>
        <v>0</v>
      </c>
      <c r="AI141" s="497">
        <f t="shared" ca="1" si="30"/>
        <v>1.2886283279324999</v>
      </c>
      <c r="AJ141" s="493">
        <f t="shared" ca="1" si="31"/>
        <v>0.51435634990875045</v>
      </c>
      <c r="AK141" s="493">
        <f t="shared" ca="1" si="32"/>
        <v>0.77427197802374947</v>
      </c>
      <c r="AL141" s="498">
        <f t="shared" ca="1" si="33"/>
        <v>0</v>
      </c>
    </row>
    <row r="142" spans="1:38" customFormat="1" ht="1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569"/>
      <c r="O142" s="404"/>
      <c r="P142" s="404"/>
      <c r="Q142" s="404"/>
      <c r="R142" s="453"/>
      <c r="S142" s="443"/>
      <c r="T142" s="42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ca="1" si="13"/>
        <v/>
      </c>
      <c r="Z142" s="427" t="str">
        <f t="shared" ca="1" si="14"/>
        <v/>
      </c>
      <c r="AA142" s="426" t="str">
        <f t="shared" ca="1" si="15"/>
        <v/>
      </c>
      <c r="AB142" s="428" t="str">
        <f t="shared" ca="1" si="16"/>
        <v/>
      </c>
      <c r="AC142" s="427" t="str">
        <f t="shared" ca="1" si="17"/>
        <v/>
      </c>
      <c r="AD142" s="79"/>
      <c r="AE142" s="496">
        <f t="shared" ca="1" si="27"/>
        <v>1.2869322517214301</v>
      </c>
      <c r="AF142" s="493">
        <f t="shared" ca="1" si="28"/>
        <v>1.6849480405640893</v>
      </c>
      <c r="AG142" s="493">
        <f t="shared" ca="1" si="26"/>
        <v>0</v>
      </c>
      <c r="AH142" s="498">
        <f t="shared" ca="1" si="29"/>
        <v>0</v>
      </c>
      <c r="AI142" s="497">
        <f t="shared" ca="1" si="30"/>
        <v>1.2869322517214301</v>
      </c>
      <c r="AJ142" s="493">
        <f t="shared" ca="1" si="31"/>
        <v>0.55736679390748944</v>
      </c>
      <c r="AK142" s="493">
        <f t="shared" ca="1" si="32"/>
        <v>0.72956545781394067</v>
      </c>
      <c r="AL142" s="498">
        <f t="shared" ca="1" si="33"/>
        <v>0</v>
      </c>
    </row>
    <row r="143" spans="1:38" customFormat="1" ht="1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569"/>
      <c r="O143" s="404"/>
      <c r="P143" s="404"/>
      <c r="Q143" s="404"/>
      <c r="R143" s="453"/>
      <c r="S143" s="443"/>
      <c r="T143" s="42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ca="1" si="13"/>
        <v/>
      </c>
      <c r="Z143" s="427" t="str">
        <f t="shared" ca="1" si="14"/>
        <v/>
      </c>
      <c r="AA143" s="426" t="str">
        <f t="shared" ca="1" si="15"/>
        <v/>
      </c>
      <c r="AB143" s="428" t="str">
        <f t="shared" ca="1" si="16"/>
        <v/>
      </c>
      <c r="AC143" s="427" t="str">
        <f t="shared" ca="1" si="17"/>
        <v/>
      </c>
      <c r="AD143" s="79"/>
      <c r="AE143" s="496">
        <f t="shared" ca="1" si="27"/>
        <v>1.28801299946896</v>
      </c>
      <c r="AF143" s="493">
        <f t="shared" ca="1" si="28"/>
        <v>1.6832350275800496</v>
      </c>
      <c r="AG143" s="493">
        <f t="shared" ca="1" si="26"/>
        <v>0</v>
      </c>
      <c r="AH143" s="498">
        <f t="shared" ca="1" si="29"/>
        <v>0</v>
      </c>
      <c r="AI143" s="497">
        <f t="shared" ca="1" si="30"/>
        <v>1.28801299946896</v>
      </c>
      <c r="AJ143" s="493">
        <f t="shared" ca="1" si="31"/>
        <v>0.5310201517590285</v>
      </c>
      <c r="AK143" s="493">
        <f t="shared" ca="1" si="32"/>
        <v>0.75699284770993147</v>
      </c>
      <c r="AL143" s="498">
        <f t="shared" ca="1" si="33"/>
        <v>0</v>
      </c>
    </row>
    <row r="144" spans="1:38" customFormat="1" ht="1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569"/>
      <c r="O144" s="404"/>
      <c r="P144" s="404"/>
      <c r="Q144" s="404"/>
      <c r="R144" s="453"/>
      <c r="S144" s="443"/>
      <c r="T144" s="42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ca="1" si="34">IF($U$12,IF(T144="","",$U$13*D168/$C$18),"")</f>
        <v/>
      </c>
      <c r="Z144" s="427" t="str">
        <f t="shared" ref="Z144:Z207" ca="1" si="35">IF($U$12,IF(Y144="","",Y144*($Z$10-W144)*X144),"")</f>
        <v/>
      </c>
      <c r="AA144" s="426" t="str">
        <f t="shared" ref="AA144:AA207" ca="1" si="36">IF($U$12,IF(OR(T144="",L144=""),"",L144/($C$20-$C$19)),"")</f>
        <v/>
      </c>
      <c r="AB144" s="428" t="str">
        <f t="shared" ref="AB144:AB207" ca="1" si="37">IF($U$12,IF(W144="","",W144*$AC$10),"")</f>
        <v/>
      </c>
      <c r="AC144" s="427" t="str">
        <f t="shared" ref="AC144:AC207" ca="1" si="38">IF($U$12,IF(AA144="","",AA144*(AB144-W144)*X144),"")</f>
        <v/>
      </c>
      <c r="AD144" s="79"/>
      <c r="AE144" s="496">
        <f t="shared" ca="1" si="27"/>
        <v>1.28759969960067</v>
      </c>
      <c r="AF144" s="493">
        <f t="shared" ca="1" si="28"/>
        <v>1.6842124927605837</v>
      </c>
      <c r="AG144" s="493">
        <f t="shared" ca="1" si="26"/>
        <v>0</v>
      </c>
      <c r="AH144" s="498">
        <f t="shared" ca="1" si="29"/>
        <v>0</v>
      </c>
      <c r="AI144" s="497">
        <f t="shared" ca="1" si="30"/>
        <v>1.28759969960067</v>
      </c>
      <c r="AJ144" s="493">
        <f t="shared" ca="1" si="31"/>
        <v>0.54248490162220064</v>
      </c>
      <c r="AK144" s="493">
        <f t="shared" ca="1" si="32"/>
        <v>0.74511479797846936</v>
      </c>
      <c r="AL144" s="498">
        <f t="shared" ca="1" si="33"/>
        <v>0</v>
      </c>
    </row>
    <row r="145" spans="1:38" customFormat="1" ht="1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569"/>
      <c r="O145" s="404"/>
      <c r="P145" s="404"/>
      <c r="Q145" s="404"/>
      <c r="R145" s="453"/>
      <c r="S145" s="443"/>
      <c r="T145" s="42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ca="1" si="34"/>
        <v/>
      </c>
      <c r="Z145" s="427" t="str">
        <f t="shared" ca="1" si="35"/>
        <v/>
      </c>
      <c r="AA145" s="426" t="str">
        <f t="shared" ca="1" si="36"/>
        <v/>
      </c>
      <c r="AB145" s="428" t="str">
        <f t="shared" ca="1" si="37"/>
        <v/>
      </c>
      <c r="AC145" s="427" t="str">
        <f t="shared" ca="1" si="38"/>
        <v/>
      </c>
      <c r="AD145" s="79"/>
      <c r="AE145" s="496">
        <f t="shared" ca="1" si="27"/>
        <v>1.2855047946417399</v>
      </c>
      <c r="AF145" s="493">
        <f t="shared" ca="1" si="28"/>
        <v>1.6867817477675127</v>
      </c>
      <c r="AG145" s="493">
        <f t="shared" ca="1" si="26"/>
        <v>0</v>
      </c>
      <c r="AH145" s="498">
        <f t="shared" ca="1" si="29"/>
        <v>0</v>
      </c>
      <c r="AI145" s="497">
        <f t="shared" ca="1" si="30"/>
        <v>1.2855047946417399</v>
      </c>
      <c r="AJ145" s="493">
        <f t="shared" ca="1" si="31"/>
        <v>0.58494747995730567</v>
      </c>
      <c r="AK145" s="493">
        <f t="shared" ca="1" si="32"/>
        <v>0.70055731468443427</v>
      </c>
      <c r="AL145" s="498">
        <f t="shared" ca="1" si="33"/>
        <v>0</v>
      </c>
    </row>
    <row r="146" spans="1:38" customFormat="1" ht="1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569"/>
      <c r="O146" s="404"/>
      <c r="P146" s="404"/>
      <c r="Q146" s="404"/>
      <c r="R146" s="453"/>
      <c r="S146" s="443"/>
      <c r="T146" s="42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ca="1" si="34"/>
        <v/>
      </c>
      <c r="Z146" s="427" t="str">
        <f t="shared" ca="1" si="35"/>
        <v/>
      </c>
      <c r="AA146" s="426" t="str">
        <f t="shared" ca="1" si="36"/>
        <v/>
      </c>
      <c r="AB146" s="428" t="str">
        <f t="shared" ca="1" si="37"/>
        <v/>
      </c>
      <c r="AC146" s="427" t="str">
        <f t="shared" ca="1" si="38"/>
        <v/>
      </c>
      <c r="AD146" s="79"/>
      <c r="AE146" s="496">
        <f t="shared" ca="1" si="27"/>
        <v>1.2898105262217701</v>
      </c>
      <c r="AF146" s="493">
        <f t="shared" ca="1" si="28"/>
        <v>1.6803528433653343</v>
      </c>
      <c r="AG146" s="493">
        <f t="shared" ca="1" si="26"/>
        <v>0</v>
      </c>
      <c r="AH146" s="498">
        <f t="shared" ca="1" si="29"/>
        <v>0</v>
      </c>
      <c r="AI146" s="497">
        <f t="shared" ca="1" si="30"/>
        <v>1.2898105262217701</v>
      </c>
      <c r="AJ146" s="493">
        <f t="shared" ca="1" si="31"/>
        <v>0.4724086432520852</v>
      </c>
      <c r="AK146" s="493">
        <f t="shared" ca="1" si="32"/>
        <v>0.81740188296968486</v>
      </c>
      <c r="AL146" s="498">
        <f t="shared" ca="1" si="33"/>
        <v>0</v>
      </c>
    </row>
    <row r="147" spans="1:38" customFormat="1" ht="1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569"/>
      <c r="O147" s="404"/>
      <c r="P147" s="404"/>
      <c r="Q147" s="404"/>
      <c r="R147" s="453"/>
      <c r="S147" s="443"/>
      <c r="T147" s="42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ca="1" si="34"/>
        <v/>
      </c>
      <c r="Z147" s="427" t="str">
        <f t="shared" ca="1" si="35"/>
        <v/>
      </c>
      <c r="AA147" s="426" t="str">
        <f t="shared" ca="1" si="36"/>
        <v/>
      </c>
      <c r="AB147" s="428" t="str">
        <f t="shared" ca="1" si="37"/>
        <v/>
      </c>
      <c r="AC147" s="427" t="str">
        <f t="shared" ca="1" si="38"/>
        <v/>
      </c>
      <c r="AD147" s="79"/>
      <c r="AE147" s="496">
        <f t="shared" ca="1" si="27"/>
        <v>1.2807062339081801</v>
      </c>
      <c r="AF147" s="493">
        <f t="shared" ca="1" si="28"/>
        <v>1.6922596635959593</v>
      </c>
      <c r="AG147" s="493">
        <f t="shared" ca="1" si="26"/>
        <v>0</v>
      </c>
      <c r="AH147" s="498">
        <f t="shared" ca="1" si="29"/>
        <v>0</v>
      </c>
      <c r="AI147" s="497">
        <f t="shared" ca="1" si="30"/>
        <v>1.2807062339081801</v>
      </c>
      <c r="AJ147" s="493">
        <f t="shared" ca="1" si="31"/>
        <v>0.64970400374454529</v>
      </c>
      <c r="AK147" s="493">
        <f t="shared" ca="1" si="32"/>
        <v>0.63100223016363477</v>
      </c>
      <c r="AL147" s="498">
        <f t="shared" ca="1" si="33"/>
        <v>0</v>
      </c>
    </row>
    <row r="148" spans="1:38" customFormat="1" ht="1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569"/>
      <c r="O148" s="404"/>
      <c r="P148" s="404"/>
      <c r="Q148" s="404"/>
      <c r="R148" s="453"/>
      <c r="S148" s="443"/>
      <c r="T148" s="42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ca="1" si="34"/>
        <v/>
      </c>
      <c r="Z148" s="427" t="str">
        <f t="shared" ca="1" si="35"/>
        <v/>
      </c>
      <c r="AA148" s="426" t="str">
        <f t="shared" ca="1" si="36"/>
        <v/>
      </c>
      <c r="AB148" s="428" t="str">
        <f t="shared" ca="1" si="37"/>
        <v/>
      </c>
      <c r="AC148" s="427" t="str">
        <f t="shared" ca="1" si="38"/>
        <v/>
      </c>
      <c r="AD148" s="79"/>
      <c r="AE148" s="496">
        <f t="shared" ca="1" si="27"/>
        <v>1.2898071901385499</v>
      </c>
      <c r="AF148" s="493">
        <f t="shared" ca="1" si="28"/>
        <v>1.6803501360054771</v>
      </c>
      <c r="AG148" s="493">
        <f t="shared" ca="1" si="26"/>
        <v>0</v>
      </c>
      <c r="AH148" s="498">
        <f t="shared" ca="1" si="29"/>
        <v>0</v>
      </c>
      <c r="AI148" s="497">
        <f t="shared" ca="1" si="30"/>
        <v>1.2898071901385499</v>
      </c>
      <c r="AJ148" s="493">
        <f t="shared" ca="1" si="31"/>
        <v>0.4725352561936802</v>
      </c>
      <c r="AK148" s="493">
        <f t="shared" ca="1" si="32"/>
        <v>0.81727193394486974</v>
      </c>
      <c r="AL148" s="498">
        <f t="shared" ca="1" si="33"/>
        <v>0</v>
      </c>
    </row>
    <row r="149" spans="1:38" customFormat="1" ht="1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569"/>
      <c r="O149" s="404"/>
      <c r="P149" s="404"/>
      <c r="Q149" s="404"/>
      <c r="R149" s="453"/>
      <c r="S149" s="443"/>
      <c r="T149" s="42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ca="1" si="34"/>
        <v/>
      </c>
      <c r="Z149" s="427" t="str">
        <f t="shared" ca="1" si="35"/>
        <v/>
      </c>
      <c r="AA149" s="426" t="str">
        <f t="shared" ca="1" si="36"/>
        <v/>
      </c>
      <c r="AB149" s="428" t="str">
        <f t="shared" ca="1" si="37"/>
        <v/>
      </c>
      <c r="AC149" s="427" t="str">
        <f t="shared" ca="1" si="38"/>
        <v/>
      </c>
      <c r="AD149" s="79"/>
      <c r="AE149" s="496">
        <f t="shared" ca="1" si="27"/>
        <v>1.2845786237144901</v>
      </c>
      <c r="AF149" s="493">
        <f t="shared" ca="1" si="28"/>
        <v>1.6881901324877171</v>
      </c>
      <c r="AG149" s="493">
        <f t="shared" ca="1" si="26"/>
        <v>0</v>
      </c>
      <c r="AH149" s="498">
        <f t="shared" ca="1" si="29"/>
        <v>0</v>
      </c>
      <c r="AI149" s="497">
        <f t="shared" ca="1" si="30"/>
        <v>1.2845786237144901</v>
      </c>
      <c r="AJ149" s="493">
        <f t="shared" ca="1" si="31"/>
        <v>0.6006856506910051</v>
      </c>
      <c r="AK149" s="493">
        <f t="shared" ca="1" si="32"/>
        <v>0.68389297302348495</v>
      </c>
      <c r="AL149" s="498">
        <f t="shared" ca="1" si="33"/>
        <v>0</v>
      </c>
    </row>
    <row r="150" spans="1:38" customFormat="1" ht="1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569"/>
      <c r="O150" s="404"/>
      <c r="P150" s="404"/>
      <c r="Q150" s="404"/>
      <c r="R150" s="453"/>
      <c r="S150" s="443"/>
      <c r="T150" s="42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ca="1" si="34"/>
        <v/>
      </c>
      <c r="Z150" s="427" t="str">
        <f t="shared" ca="1" si="35"/>
        <v/>
      </c>
      <c r="AA150" s="426" t="str">
        <f t="shared" ca="1" si="36"/>
        <v/>
      </c>
      <c r="AB150" s="428" t="str">
        <f t="shared" ca="1" si="37"/>
        <v/>
      </c>
      <c r="AC150" s="427" t="str">
        <f t="shared" ca="1" si="38"/>
        <v/>
      </c>
      <c r="AD150" s="79"/>
      <c r="AE150" s="496">
        <f t="shared" ca="1" si="27"/>
        <v>1.2860463577847101</v>
      </c>
      <c r="AF150" s="493">
        <f t="shared" ca="1" si="28"/>
        <v>1.6859234125975764</v>
      </c>
      <c r="AG150" s="493">
        <f t="shared" ca="1" si="26"/>
        <v>0</v>
      </c>
      <c r="AH150" s="498">
        <f t="shared" ca="1" si="29"/>
        <v>0</v>
      </c>
      <c r="AI150" s="497">
        <f t="shared" ca="1" si="30"/>
        <v>1.2860463577847101</v>
      </c>
      <c r="AJ150" s="493">
        <f t="shared" ca="1" si="31"/>
        <v>0.5743110755185884</v>
      </c>
      <c r="AK150" s="493">
        <f t="shared" ca="1" si="32"/>
        <v>0.7117352822661217</v>
      </c>
      <c r="AL150" s="498">
        <f t="shared" ca="1" si="33"/>
        <v>0</v>
      </c>
    </row>
    <row r="151" spans="1:38" customFormat="1" ht="1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569"/>
      <c r="O151" s="404"/>
      <c r="P151" s="404"/>
      <c r="Q151" s="404"/>
      <c r="R151" s="453"/>
      <c r="S151" s="443"/>
      <c r="T151" s="42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ca="1" si="34"/>
        <v/>
      </c>
      <c r="Z151" s="427" t="str">
        <f t="shared" ca="1" si="35"/>
        <v/>
      </c>
      <c r="AA151" s="426" t="str">
        <f t="shared" ca="1" si="36"/>
        <v/>
      </c>
      <c r="AB151" s="428" t="str">
        <f t="shared" ca="1" si="37"/>
        <v/>
      </c>
      <c r="AC151" s="427" t="str">
        <f t="shared" ca="1" si="38"/>
        <v/>
      </c>
      <c r="AD151" s="79"/>
      <c r="AE151" s="496">
        <f t="shared" ca="1" si="27"/>
        <v>1.2890203782463701</v>
      </c>
      <c r="AF151" s="493">
        <f t="shared" ca="1" si="28"/>
        <v>1.6818986849143127</v>
      </c>
      <c r="AG151" s="493">
        <f t="shared" ca="1" si="26"/>
        <v>0</v>
      </c>
      <c r="AH151" s="498">
        <f t="shared" ca="1" si="29"/>
        <v>0</v>
      </c>
      <c r="AI151" s="497">
        <f t="shared" ca="1" si="30"/>
        <v>1.2890203782463701</v>
      </c>
      <c r="AJ151" s="493">
        <f t="shared" ca="1" si="31"/>
        <v>0.50209630663332261</v>
      </c>
      <c r="AK151" s="493">
        <f t="shared" ca="1" si="32"/>
        <v>0.78692407161304745</v>
      </c>
      <c r="AL151" s="498">
        <f t="shared" ca="1" si="33"/>
        <v>0</v>
      </c>
    </row>
    <row r="152" spans="1:38" customFormat="1" ht="1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569"/>
      <c r="O152" s="404"/>
      <c r="P152" s="404"/>
      <c r="Q152" s="404"/>
      <c r="R152" s="453"/>
      <c r="S152" s="443"/>
      <c r="T152" s="42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ca="1" si="34"/>
        <v/>
      </c>
      <c r="Z152" s="427" t="str">
        <f t="shared" ca="1" si="35"/>
        <v/>
      </c>
      <c r="AA152" s="426" t="str">
        <f t="shared" ca="1" si="36"/>
        <v/>
      </c>
      <c r="AB152" s="428" t="str">
        <f t="shared" ca="1" si="37"/>
        <v/>
      </c>
      <c r="AC152" s="427" t="str">
        <f t="shared" ca="1" si="38"/>
        <v/>
      </c>
      <c r="AD152" s="79"/>
      <c r="AE152" s="496">
        <f t="shared" ca="1" si="27"/>
        <v>1.2827346542598801</v>
      </c>
      <c r="AF152" s="493">
        <f t="shared" ca="1" si="28"/>
        <v>1.690075327893457</v>
      </c>
      <c r="AG152" s="493">
        <f t="shared" ca="1" si="26"/>
        <v>0</v>
      </c>
      <c r="AH152" s="498">
        <f t="shared" ca="1" si="29"/>
        <v>0</v>
      </c>
      <c r="AI152" s="497">
        <f t="shared" ca="1" si="30"/>
        <v>1.2827346542598801</v>
      </c>
      <c r="AJ152" s="493">
        <f t="shared" ca="1" si="31"/>
        <v>0.62623636603122801</v>
      </c>
      <c r="AK152" s="493">
        <f t="shared" ca="1" si="32"/>
        <v>0.65649828822865208</v>
      </c>
      <c r="AL152" s="498">
        <f t="shared" ca="1" si="33"/>
        <v>0</v>
      </c>
    </row>
    <row r="153" spans="1:38" customFormat="1" ht="1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569"/>
      <c r="O153" s="404"/>
      <c r="P153" s="404"/>
      <c r="Q153" s="404"/>
      <c r="R153" s="453"/>
      <c r="S153" s="443"/>
      <c r="T153" s="42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ca="1" si="34"/>
        <v/>
      </c>
      <c r="Z153" s="427" t="str">
        <f t="shared" ca="1" si="35"/>
        <v/>
      </c>
      <c r="AA153" s="426" t="str">
        <f t="shared" ca="1" si="36"/>
        <v/>
      </c>
      <c r="AB153" s="428" t="str">
        <f t="shared" ca="1" si="37"/>
        <v/>
      </c>
      <c r="AC153" s="427" t="str">
        <f t="shared" ca="1" si="38"/>
        <v/>
      </c>
      <c r="AD153" s="79"/>
      <c r="AE153" s="496">
        <f t="shared" ca="1" si="27"/>
        <v>1.28863622128693</v>
      </c>
      <c r="AF153" s="493">
        <f t="shared" ca="1" si="28"/>
        <v>1.6824532388295099</v>
      </c>
      <c r="AG153" s="493">
        <f t="shared" ca="1" si="26"/>
        <v>0</v>
      </c>
      <c r="AH153" s="498">
        <f t="shared" ca="1" si="29"/>
        <v>0</v>
      </c>
      <c r="AI153" s="497">
        <f t="shared" ca="1" si="30"/>
        <v>1.28863622128693</v>
      </c>
      <c r="AJ153" s="493">
        <f t="shared" ca="1" si="31"/>
        <v>0.51420773018126986</v>
      </c>
      <c r="AK153" s="493">
        <f t="shared" ca="1" si="32"/>
        <v>0.77442849110566014</v>
      </c>
      <c r="AL153" s="498">
        <f t="shared" ca="1" si="33"/>
        <v>0</v>
      </c>
    </row>
    <row r="154" spans="1:38" customFormat="1" ht="1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569"/>
      <c r="O154" s="404"/>
      <c r="P154" s="404"/>
      <c r="Q154" s="404"/>
      <c r="R154" s="453"/>
      <c r="S154" s="443"/>
      <c r="T154" s="42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ca="1" si="34"/>
        <v/>
      </c>
      <c r="Z154" s="427" t="str">
        <f t="shared" ca="1" si="35"/>
        <v/>
      </c>
      <c r="AA154" s="426" t="str">
        <f t="shared" ca="1" si="36"/>
        <v/>
      </c>
      <c r="AB154" s="428" t="str">
        <f t="shared" ca="1" si="37"/>
        <v/>
      </c>
      <c r="AC154" s="427" t="str">
        <f t="shared" ca="1" si="38"/>
        <v/>
      </c>
      <c r="AD154" s="79"/>
      <c r="AE154" s="496">
        <f t="shared" ca="1" si="27"/>
        <v>1.28511708333787</v>
      </c>
      <c r="AF154" s="493">
        <f t="shared" ca="1" si="28"/>
        <v>1.6873266592964249</v>
      </c>
      <c r="AG154" s="493">
        <f t="shared" ca="1" si="26"/>
        <v>0</v>
      </c>
      <c r="AH154" s="498">
        <f t="shared" ca="1" si="29"/>
        <v>0</v>
      </c>
      <c r="AI154" s="497">
        <f t="shared" ca="1" si="30"/>
        <v>1.28511708333787</v>
      </c>
      <c r="AJ154" s="493">
        <f t="shared" ca="1" si="31"/>
        <v>0.59174642794436483</v>
      </c>
      <c r="AK154" s="493">
        <f t="shared" ca="1" si="32"/>
        <v>0.69337065539350518</v>
      </c>
      <c r="AL154" s="498">
        <f t="shared" ca="1" si="33"/>
        <v>0</v>
      </c>
    </row>
    <row r="155" spans="1:38" customFormat="1" ht="1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569"/>
      <c r="O155" s="404"/>
      <c r="P155" s="404"/>
      <c r="Q155" s="404"/>
      <c r="R155" s="453"/>
      <c r="S155" s="443"/>
      <c r="T155" s="42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ca="1" si="34"/>
        <v/>
      </c>
      <c r="Z155" s="427" t="str">
        <f t="shared" ca="1" si="35"/>
        <v/>
      </c>
      <c r="AA155" s="426" t="str">
        <f t="shared" ca="1" si="36"/>
        <v/>
      </c>
      <c r="AB155" s="428" t="str">
        <f t="shared" ca="1" si="37"/>
        <v/>
      </c>
      <c r="AC155" s="427" t="str">
        <f t="shared" ca="1" si="38"/>
        <v/>
      </c>
      <c r="AD155" s="79"/>
      <c r="AE155" s="496">
        <f t="shared" ca="1" si="27"/>
        <v>1.28905493363351</v>
      </c>
      <c r="AF155" s="493">
        <f t="shared" ca="1" si="28"/>
        <v>1.6814780644117133</v>
      </c>
      <c r="AG155" s="493">
        <f t="shared" ca="1" si="26"/>
        <v>0</v>
      </c>
      <c r="AH155" s="498">
        <f t="shared" ca="1" si="29"/>
        <v>0</v>
      </c>
      <c r="AI155" s="497">
        <f t="shared" ca="1" si="30"/>
        <v>1.28905493363351</v>
      </c>
      <c r="AJ155" s="493">
        <f t="shared" ca="1" si="31"/>
        <v>0.4995336964524113</v>
      </c>
      <c r="AK155" s="493">
        <f t="shared" ca="1" si="32"/>
        <v>0.78952123718109868</v>
      </c>
      <c r="AL155" s="498">
        <f t="shared" ca="1" si="33"/>
        <v>0</v>
      </c>
    </row>
    <row r="156" spans="1:38" customFormat="1" ht="1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569"/>
      <c r="O156" s="404"/>
      <c r="P156" s="404"/>
      <c r="Q156" s="404"/>
      <c r="R156" s="453"/>
      <c r="S156" s="443"/>
      <c r="T156" s="42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ca="1" si="34"/>
        <v/>
      </c>
      <c r="Z156" s="427" t="str">
        <f t="shared" ca="1" si="35"/>
        <v/>
      </c>
      <c r="AA156" s="426" t="str">
        <f t="shared" ca="1" si="36"/>
        <v/>
      </c>
      <c r="AB156" s="428" t="str">
        <f t="shared" ca="1" si="37"/>
        <v/>
      </c>
      <c r="AC156" s="427" t="str">
        <f t="shared" ca="1" si="38"/>
        <v/>
      </c>
      <c r="AD156" s="79"/>
      <c r="AE156" s="496">
        <f t="shared" ca="1" si="27"/>
        <v>1.28916690257983</v>
      </c>
      <c r="AF156" s="493">
        <f t="shared" ca="1" si="28"/>
        <v>1.6815783284776964</v>
      </c>
      <c r="AG156" s="493">
        <f t="shared" ca="1" si="26"/>
        <v>0</v>
      </c>
      <c r="AH156" s="498">
        <f t="shared" ca="1" si="29"/>
        <v>0</v>
      </c>
      <c r="AI156" s="497">
        <f t="shared" ca="1" si="30"/>
        <v>1.28916690257983</v>
      </c>
      <c r="AJ156" s="493">
        <f t="shared" ca="1" si="31"/>
        <v>0.4970717979363013</v>
      </c>
      <c r="AK156" s="493">
        <f t="shared" ca="1" si="32"/>
        <v>0.79209510464352872</v>
      </c>
      <c r="AL156" s="498">
        <f t="shared" ca="1" si="33"/>
        <v>0</v>
      </c>
    </row>
    <row r="157" spans="1:38" customFormat="1" ht="1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569"/>
      <c r="O157" s="404"/>
      <c r="P157" s="404"/>
      <c r="Q157" s="404"/>
      <c r="R157" s="453"/>
      <c r="S157" s="443"/>
      <c r="T157" s="42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ca="1" si="34"/>
        <v/>
      </c>
      <c r="Z157" s="427" t="str">
        <f t="shared" ca="1" si="35"/>
        <v/>
      </c>
      <c r="AA157" s="426" t="str">
        <f t="shared" ca="1" si="36"/>
        <v/>
      </c>
      <c r="AB157" s="428" t="str">
        <f t="shared" ca="1" si="37"/>
        <v/>
      </c>
      <c r="AC157" s="427" t="str">
        <f t="shared" ca="1" si="38"/>
        <v/>
      </c>
      <c r="AD157" s="79"/>
      <c r="AE157" s="496">
        <f t="shared" ca="1" si="27"/>
        <v>1.28645654872319</v>
      </c>
      <c r="AF157" s="493">
        <f t="shared" ca="1" si="28"/>
        <v>1.6854019481046805</v>
      </c>
      <c r="AG157" s="493">
        <f t="shared" ca="1" si="26"/>
        <v>0</v>
      </c>
      <c r="AH157" s="498">
        <f t="shared" ca="1" si="29"/>
        <v>0</v>
      </c>
      <c r="AI157" s="497">
        <f t="shared" ca="1" si="30"/>
        <v>1.28645654872319</v>
      </c>
      <c r="AJ157" s="493">
        <f t="shared" ca="1" si="31"/>
        <v>0.56635989968801759</v>
      </c>
      <c r="AK157" s="493">
        <f t="shared" ca="1" si="32"/>
        <v>0.72009664903517245</v>
      </c>
      <c r="AL157" s="498">
        <f t="shared" ca="1" si="33"/>
        <v>0</v>
      </c>
    </row>
    <row r="158" spans="1:38" customFormat="1" ht="1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569"/>
      <c r="O158" s="404"/>
      <c r="P158" s="404"/>
      <c r="Q158" s="404"/>
      <c r="R158" s="453"/>
      <c r="S158" s="443"/>
      <c r="T158" s="42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ca="1" si="34"/>
        <v/>
      </c>
      <c r="Z158" s="427" t="str">
        <f t="shared" ca="1" si="35"/>
        <v/>
      </c>
      <c r="AA158" s="426" t="str">
        <f t="shared" ca="1" si="36"/>
        <v/>
      </c>
      <c r="AB158" s="428" t="str">
        <f t="shared" ca="1" si="37"/>
        <v/>
      </c>
      <c r="AC158" s="427" t="str">
        <f t="shared" ca="1" si="38"/>
        <v/>
      </c>
      <c r="AD158" s="79"/>
      <c r="AE158" s="496">
        <f t="shared" ca="1" si="27"/>
        <v>1.2896746418351399</v>
      </c>
      <c r="AF158" s="493">
        <f t="shared" ca="1" si="28"/>
        <v>1.6806797813539556</v>
      </c>
      <c r="AG158" s="493">
        <f t="shared" ca="1" si="26"/>
        <v>0</v>
      </c>
      <c r="AH158" s="498">
        <f t="shared" ca="1" si="29"/>
        <v>0</v>
      </c>
      <c r="AI158" s="497">
        <f t="shared" ca="1" si="30"/>
        <v>1.2896746418351399</v>
      </c>
      <c r="AJ158" s="493">
        <f t="shared" ca="1" si="31"/>
        <v>0.47806368795761861</v>
      </c>
      <c r="AK158" s="493">
        <f t="shared" ca="1" si="32"/>
        <v>0.81161095387752136</v>
      </c>
      <c r="AL158" s="498">
        <f t="shared" ca="1" si="33"/>
        <v>0</v>
      </c>
    </row>
    <row r="159" spans="1:38" customFormat="1" ht="1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569"/>
      <c r="O159" s="404"/>
      <c r="P159" s="404"/>
      <c r="Q159" s="404"/>
      <c r="R159" s="453"/>
      <c r="S159" s="443"/>
      <c r="T159" s="42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ca="1" si="34"/>
        <v/>
      </c>
      <c r="Z159" s="427" t="str">
        <f t="shared" ca="1" si="35"/>
        <v/>
      </c>
      <c r="AA159" s="426" t="str">
        <f t="shared" ca="1" si="36"/>
        <v/>
      </c>
      <c r="AB159" s="428" t="str">
        <f t="shared" ca="1" si="37"/>
        <v/>
      </c>
      <c r="AC159" s="427" t="str">
        <f t="shared" ca="1" si="38"/>
        <v/>
      </c>
      <c r="AD159" s="79"/>
      <c r="AE159" s="496">
        <f t="shared" ca="1" si="27"/>
        <v>1.28696151734911</v>
      </c>
      <c r="AF159" s="493">
        <f t="shared" ca="1" si="28"/>
        <v>1.68497478610108</v>
      </c>
      <c r="AG159" s="493">
        <f t="shared" ca="1" si="26"/>
        <v>0</v>
      </c>
      <c r="AH159" s="498">
        <f t="shared" ca="1" si="29"/>
        <v>0</v>
      </c>
      <c r="AI159" s="497">
        <f t="shared" ca="1" si="30"/>
        <v>1.28696151734911</v>
      </c>
      <c r="AJ159" s="493">
        <f t="shared" ca="1" si="31"/>
        <v>0.556876781546777</v>
      </c>
      <c r="AK159" s="493">
        <f t="shared" ca="1" si="32"/>
        <v>0.73008473580233302</v>
      </c>
      <c r="AL159" s="498">
        <f t="shared" ca="1" si="33"/>
        <v>0</v>
      </c>
    </row>
    <row r="160" spans="1:38" customFormat="1" ht="1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569"/>
      <c r="O160" s="404"/>
      <c r="P160" s="404"/>
      <c r="Q160" s="404"/>
      <c r="R160" s="453"/>
      <c r="S160" s="443"/>
      <c r="T160" s="42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ca="1" si="34"/>
        <v/>
      </c>
      <c r="Z160" s="427" t="str">
        <f t="shared" ca="1" si="35"/>
        <v/>
      </c>
      <c r="AA160" s="426" t="str">
        <f t="shared" ca="1" si="36"/>
        <v/>
      </c>
      <c r="AB160" s="428" t="str">
        <f t="shared" ca="1" si="37"/>
        <v/>
      </c>
      <c r="AC160" s="427" t="str">
        <f t="shared" ca="1" si="38"/>
        <v/>
      </c>
      <c r="AD160" s="79"/>
      <c r="AE160" s="496">
        <f t="shared" ca="1" si="27"/>
        <v>1.2888540322906801</v>
      </c>
      <c r="AF160" s="493">
        <f t="shared" ca="1" si="28"/>
        <v>1.682195450000076</v>
      </c>
      <c r="AG160" s="493">
        <f t="shared" ca="1" si="26"/>
        <v>0</v>
      </c>
      <c r="AH160" s="498">
        <f t="shared" ca="1" si="29"/>
        <v>0</v>
      </c>
      <c r="AI160" s="497">
        <f t="shared" ca="1" si="30"/>
        <v>1.2888540322906801</v>
      </c>
      <c r="AJ160" s="493">
        <f t="shared" ca="1" si="31"/>
        <v>0.50750288088184503</v>
      </c>
      <c r="AK160" s="493">
        <f t="shared" ca="1" si="32"/>
        <v>0.78135115140883504</v>
      </c>
      <c r="AL160" s="498">
        <f t="shared" ca="1" si="33"/>
        <v>0</v>
      </c>
    </row>
    <row r="161" spans="1:38" customFormat="1" ht="1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569"/>
      <c r="O161" s="404"/>
      <c r="P161" s="404"/>
      <c r="Q161" s="404"/>
      <c r="R161" s="453"/>
      <c r="S161" s="443"/>
      <c r="T161" s="42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ca="1" si="34"/>
        <v/>
      </c>
      <c r="Z161" s="427" t="str">
        <f t="shared" ca="1" si="35"/>
        <v/>
      </c>
      <c r="AA161" s="426" t="str">
        <f t="shared" ca="1" si="36"/>
        <v/>
      </c>
      <c r="AB161" s="428" t="str">
        <f t="shared" ca="1" si="37"/>
        <v/>
      </c>
      <c r="AC161" s="427" t="str">
        <f t="shared" ca="1" si="38"/>
        <v/>
      </c>
      <c r="AD161" s="79"/>
      <c r="AE161" s="496">
        <f t="shared" ca="1" si="27"/>
        <v>1.2777594956510301</v>
      </c>
      <c r="AF161" s="493">
        <f t="shared" ca="1" si="28"/>
        <v>1.6949353594064764</v>
      </c>
      <c r="AG161" s="493">
        <f t="shared" ca="1" si="26"/>
        <v>0</v>
      </c>
      <c r="AH161" s="498">
        <f t="shared" ca="1" si="29"/>
        <v>0</v>
      </c>
      <c r="AI161" s="497">
        <f t="shared" ca="1" si="30"/>
        <v>1.2777594956510301</v>
      </c>
      <c r="AJ161" s="493">
        <f t="shared" ca="1" si="31"/>
        <v>0.67713241303018357</v>
      </c>
      <c r="AK161" s="493">
        <f t="shared" ca="1" si="32"/>
        <v>0.60062708262084652</v>
      </c>
      <c r="AL161" s="498">
        <f t="shared" ca="1" si="33"/>
        <v>0</v>
      </c>
    </row>
    <row r="162" spans="1:38" customFormat="1" ht="1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569"/>
      <c r="O162" s="404"/>
      <c r="P162" s="404"/>
      <c r="Q162" s="404"/>
      <c r="R162" s="453"/>
      <c r="S162" s="443"/>
      <c r="T162" s="42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ca="1" si="34"/>
        <v/>
      </c>
      <c r="Z162" s="427" t="str">
        <f t="shared" ca="1" si="35"/>
        <v/>
      </c>
      <c r="AA162" s="426" t="str">
        <f t="shared" ca="1" si="36"/>
        <v/>
      </c>
      <c r="AB162" s="428" t="str">
        <f t="shared" ca="1" si="37"/>
        <v/>
      </c>
      <c r="AC162" s="427" t="str">
        <f t="shared" ca="1" si="38"/>
        <v/>
      </c>
      <c r="AD162" s="79"/>
      <c r="AE162" s="496">
        <f t="shared" ca="1" si="27"/>
        <v>1.2890274124077601</v>
      </c>
      <c r="AF162" s="493">
        <f t="shared" ca="1" si="28"/>
        <v>1.6819030875023278</v>
      </c>
      <c r="AG162" s="493">
        <f t="shared" ca="1" si="26"/>
        <v>0</v>
      </c>
      <c r="AH162" s="498">
        <f t="shared" ca="1" si="29"/>
        <v>0</v>
      </c>
      <c r="AI162" s="497">
        <f t="shared" ca="1" si="30"/>
        <v>1.2890274124077601</v>
      </c>
      <c r="AJ162" s="493">
        <f t="shared" ca="1" si="31"/>
        <v>0.50184658073964072</v>
      </c>
      <c r="AK162" s="493">
        <f t="shared" ca="1" si="32"/>
        <v>0.78718083166811936</v>
      </c>
      <c r="AL162" s="498">
        <f t="shared" ca="1" si="33"/>
        <v>0</v>
      </c>
    </row>
    <row r="163" spans="1:38" customFormat="1" ht="1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568"/>
      <c r="O163" s="413"/>
      <c r="P163" s="413"/>
      <c r="Q163" s="413"/>
      <c r="R163" s="452"/>
      <c r="S163" s="443"/>
      <c r="T163" s="42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ca="1" si="34"/>
        <v/>
      </c>
      <c r="Z163" s="427" t="str">
        <f t="shared" ca="1" si="35"/>
        <v/>
      </c>
      <c r="AA163" s="426" t="str">
        <f t="shared" ca="1" si="36"/>
        <v/>
      </c>
      <c r="AB163" s="428" t="str">
        <f t="shared" ca="1" si="37"/>
        <v/>
      </c>
      <c r="AC163" s="427" t="str">
        <f t="shared" ca="1" si="38"/>
        <v/>
      </c>
      <c r="AD163" s="79"/>
      <c r="AE163" s="496">
        <f t="shared" ca="1" si="27"/>
        <v>1.2890388527143499</v>
      </c>
      <c r="AF163" s="493">
        <f t="shared" ca="1" si="28"/>
        <v>1.6819113530799019</v>
      </c>
      <c r="AG163" s="493">
        <f t="shared" ca="1" si="26"/>
        <v>0</v>
      </c>
      <c r="AH163" s="498">
        <f t="shared" ca="1" si="29"/>
        <v>0</v>
      </c>
      <c r="AI163" s="497">
        <f t="shared" ca="1" si="30"/>
        <v>1.2890388527143499</v>
      </c>
      <c r="AJ163" s="493">
        <f t="shared" ca="1" si="31"/>
        <v>0.50137322369987081</v>
      </c>
      <c r="AK163" s="493">
        <f t="shared" ca="1" si="32"/>
        <v>0.78766562901447912</v>
      </c>
      <c r="AL163" s="498">
        <f t="shared" ca="1" si="33"/>
        <v>0</v>
      </c>
    </row>
    <row r="164" spans="1:38" customFormat="1" ht="1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568"/>
      <c r="O164" s="413"/>
      <c r="P164" s="413"/>
      <c r="Q164" s="413"/>
      <c r="R164" s="452"/>
      <c r="S164" s="443"/>
      <c r="T164" s="42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ca="1" si="34"/>
        <v/>
      </c>
      <c r="Z164" s="427" t="str">
        <f t="shared" ca="1" si="35"/>
        <v/>
      </c>
      <c r="AA164" s="426" t="str">
        <f t="shared" ca="1" si="36"/>
        <v/>
      </c>
      <c r="AB164" s="428" t="str">
        <f t="shared" ca="1" si="37"/>
        <v/>
      </c>
      <c r="AC164" s="427" t="str">
        <f t="shared" ca="1" si="38"/>
        <v/>
      </c>
      <c r="AD164" s="79"/>
      <c r="AE164" s="496">
        <f t="shared" ca="1" si="27"/>
        <v>1.2901240484324199</v>
      </c>
      <c r="AF164" s="493">
        <f t="shared" ca="1" si="28"/>
        <v>1.6797282324786931</v>
      </c>
      <c r="AG164" s="493">
        <f t="shared" ca="1" si="26"/>
        <v>0</v>
      </c>
      <c r="AH164" s="498">
        <f t="shared" ca="1" si="29"/>
        <v>0</v>
      </c>
      <c r="AI164" s="497">
        <f t="shared" ca="1" si="30"/>
        <v>1.2901240484324199</v>
      </c>
      <c r="AJ164" s="493">
        <f t="shared" ca="1" si="31"/>
        <v>0.45839194494834423</v>
      </c>
      <c r="AK164" s="493">
        <f t="shared" ca="1" si="32"/>
        <v>0.83173210348407567</v>
      </c>
      <c r="AL164" s="498">
        <f t="shared" ca="1" si="33"/>
        <v>0</v>
      </c>
    </row>
    <row r="165" spans="1:38" customFormat="1" ht="1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568"/>
      <c r="O165" s="413"/>
      <c r="P165" s="413"/>
      <c r="Q165" s="413"/>
      <c r="R165" s="452"/>
      <c r="S165" s="443"/>
      <c r="T165" s="42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ca="1" si="34"/>
        <v/>
      </c>
      <c r="Z165" s="427" t="str">
        <f t="shared" ca="1" si="35"/>
        <v/>
      </c>
      <c r="AA165" s="426" t="str">
        <f t="shared" ca="1" si="36"/>
        <v/>
      </c>
      <c r="AB165" s="428" t="str">
        <f t="shared" ca="1" si="37"/>
        <v/>
      </c>
      <c r="AC165" s="427" t="str">
        <f t="shared" ca="1" si="38"/>
        <v/>
      </c>
      <c r="AD165" s="79"/>
      <c r="AE165" s="496">
        <f t="shared" ca="1" si="27"/>
        <v>1.2879139735577001</v>
      </c>
      <c r="AF165" s="493">
        <f t="shared" ca="1" si="28"/>
        <v>1.6835977630728707</v>
      </c>
      <c r="AG165" s="493">
        <f t="shared" ca="1" si="26"/>
        <v>0</v>
      </c>
      <c r="AH165" s="498">
        <f t="shared" ca="1" si="29"/>
        <v>0</v>
      </c>
      <c r="AI165" s="497">
        <f t="shared" ca="1" si="30"/>
        <v>1.2879139735577001</v>
      </c>
      <c r="AJ165" s="493">
        <f t="shared" ca="1" si="31"/>
        <v>0.53443863810283465</v>
      </c>
      <c r="AK165" s="493">
        <f t="shared" ca="1" si="32"/>
        <v>0.75347533545486545</v>
      </c>
      <c r="AL165" s="498">
        <f t="shared" ca="1" si="33"/>
        <v>0</v>
      </c>
    </row>
    <row r="166" spans="1:38" customFormat="1" ht="1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568"/>
      <c r="O166" s="413"/>
      <c r="P166" s="413"/>
      <c r="Q166" s="413"/>
      <c r="R166" s="452"/>
      <c r="S166" s="443"/>
      <c r="T166" s="42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ca="1" si="34"/>
        <v/>
      </c>
      <c r="Z166" s="427" t="str">
        <f t="shared" ca="1" si="35"/>
        <v/>
      </c>
      <c r="AA166" s="426" t="str">
        <f t="shared" ca="1" si="36"/>
        <v/>
      </c>
      <c r="AB166" s="428" t="str">
        <f t="shared" ca="1" si="37"/>
        <v/>
      </c>
      <c r="AC166" s="427" t="str">
        <f t="shared" ca="1" si="38"/>
        <v/>
      </c>
      <c r="AD166" s="79"/>
      <c r="AE166" s="496">
        <f t="shared" ca="1" si="27"/>
        <v>1.2875144954209401</v>
      </c>
      <c r="AF166" s="493">
        <f t="shared" ca="1" si="28"/>
        <v>1.6841317474672641</v>
      </c>
      <c r="AG166" s="493">
        <f t="shared" ca="1" si="26"/>
        <v>0</v>
      </c>
      <c r="AH166" s="498">
        <f t="shared" ca="1" si="29"/>
        <v>0</v>
      </c>
      <c r="AI166" s="497">
        <f t="shared" ca="1" si="30"/>
        <v>1.2875144954209401</v>
      </c>
      <c r="AJ166" s="493">
        <f t="shared" ca="1" si="31"/>
        <v>0.54418869334715403</v>
      </c>
      <c r="AK166" s="493">
        <f t="shared" ca="1" si="32"/>
        <v>0.74332580207378607</v>
      </c>
      <c r="AL166" s="498">
        <f t="shared" ca="1" si="33"/>
        <v>0</v>
      </c>
    </row>
    <row r="167" spans="1:38" customFormat="1" ht="1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568"/>
      <c r="O167" s="413"/>
      <c r="P167" s="413"/>
      <c r="Q167" s="413"/>
      <c r="R167" s="452"/>
      <c r="S167" s="443"/>
      <c r="T167" s="42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ca="1" si="34"/>
        <v/>
      </c>
      <c r="Z167" s="427" t="str">
        <f t="shared" ca="1" si="35"/>
        <v/>
      </c>
      <c r="AA167" s="426" t="str">
        <f t="shared" ca="1" si="36"/>
        <v/>
      </c>
      <c r="AB167" s="428" t="str">
        <f t="shared" ca="1" si="37"/>
        <v/>
      </c>
      <c r="AC167" s="427" t="str">
        <f t="shared" ca="1" si="38"/>
        <v/>
      </c>
      <c r="AD167" s="79"/>
      <c r="AE167" s="496">
        <f t="shared" ca="1" si="27"/>
        <v>1.28781136111324</v>
      </c>
      <c r="AF167" s="493">
        <f t="shared" ca="1" si="28"/>
        <v>1.6839547182878236</v>
      </c>
      <c r="AG167" s="493">
        <f t="shared" ca="1" si="26"/>
        <v>0</v>
      </c>
      <c r="AH167" s="498">
        <f t="shared" ca="1" si="29"/>
        <v>0</v>
      </c>
      <c r="AI167" s="497">
        <f t="shared" ca="1" si="30"/>
        <v>1.28781136111324</v>
      </c>
      <c r="AJ167" s="493">
        <f t="shared" ca="1" si="31"/>
        <v>0.53715949683708164</v>
      </c>
      <c r="AK167" s="493">
        <f t="shared" ca="1" si="32"/>
        <v>0.75065186427615838</v>
      </c>
      <c r="AL167" s="498">
        <f t="shared" ca="1" si="33"/>
        <v>0</v>
      </c>
    </row>
    <row r="168" spans="1:38" customFormat="1" ht="1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568"/>
      <c r="O168" s="413"/>
      <c r="P168" s="413"/>
      <c r="Q168" s="413"/>
      <c r="R168" s="452"/>
      <c r="S168" s="443"/>
      <c r="T168" s="42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ca="1" si="34"/>
        <v/>
      </c>
      <c r="Z168" s="427" t="str">
        <f t="shared" ca="1" si="35"/>
        <v/>
      </c>
      <c r="AA168" s="426" t="str">
        <f t="shared" ca="1" si="36"/>
        <v/>
      </c>
      <c r="AB168" s="428" t="str">
        <f t="shared" ca="1" si="37"/>
        <v/>
      </c>
      <c r="AC168" s="427" t="str">
        <f t="shared" ca="1" si="38"/>
        <v/>
      </c>
      <c r="AD168" s="79"/>
      <c r="AE168" s="496">
        <f t="shared" ca="1" si="27"/>
        <v>1.2857005644228201</v>
      </c>
      <c r="AF168" s="493">
        <f t="shared" ca="1" si="28"/>
        <v>1.6865120717649127</v>
      </c>
      <c r="AG168" s="493">
        <f t="shared" ca="1" si="26"/>
        <v>0</v>
      </c>
      <c r="AH168" s="498">
        <f t="shared" ca="1" si="29"/>
        <v>0</v>
      </c>
      <c r="AI168" s="497">
        <f t="shared" ca="1" si="30"/>
        <v>1.2857005644228201</v>
      </c>
      <c r="AJ168" s="493">
        <f t="shared" ca="1" si="31"/>
        <v>0.58141273534814975</v>
      </c>
      <c r="AK168" s="493">
        <f t="shared" ca="1" si="32"/>
        <v>0.70428782907467036</v>
      </c>
      <c r="AL168" s="498">
        <f t="shared" ca="1" si="33"/>
        <v>0</v>
      </c>
    </row>
    <row r="169" spans="1:38" customFormat="1" ht="1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568"/>
      <c r="O169" s="413"/>
      <c r="P169" s="413"/>
      <c r="Q169" s="413"/>
      <c r="R169" s="452"/>
      <c r="S169" s="443"/>
      <c r="T169" s="42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ca="1" si="34"/>
        <v/>
      </c>
      <c r="Z169" s="427" t="str">
        <f t="shared" ca="1" si="35"/>
        <v/>
      </c>
      <c r="AA169" s="426" t="str">
        <f t="shared" ca="1" si="36"/>
        <v/>
      </c>
      <c r="AB169" s="428" t="str">
        <f t="shared" ca="1" si="37"/>
        <v/>
      </c>
      <c r="AC169" s="427" t="str">
        <f t="shared" ca="1" si="38"/>
        <v/>
      </c>
      <c r="AD169" s="79"/>
      <c r="AE169" s="496">
        <f t="shared" ca="1" si="27"/>
        <v>1.28712411438093</v>
      </c>
      <c r="AF169" s="493">
        <f t="shared" ca="1" si="28"/>
        <v>1.6846745113012043</v>
      </c>
      <c r="AG169" s="493">
        <f t="shared" ca="1" si="26"/>
        <v>0</v>
      </c>
      <c r="AH169" s="498">
        <f t="shared" ca="1" si="29"/>
        <v>0</v>
      </c>
      <c r="AI169" s="497">
        <f t="shared" ca="1" si="30"/>
        <v>1.28712411438093</v>
      </c>
      <c r="AJ169" s="493">
        <f t="shared" ca="1" si="31"/>
        <v>0.55317394677142617</v>
      </c>
      <c r="AK169" s="493">
        <f t="shared" ca="1" si="32"/>
        <v>0.73395016760950382</v>
      </c>
      <c r="AL169" s="498">
        <f t="shared" ca="1" si="33"/>
        <v>0</v>
      </c>
    </row>
    <row r="170" spans="1:38" customFormat="1" ht="1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568"/>
      <c r="O170" s="413"/>
      <c r="P170" s="413"/>
      <c r="Q170" s="413"/>
      <c r="R170" s="452"/>
      <c r="S170" s="443"/>
      <c r="T170" s="42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ca="1" si="34"/>
        <v/>
      </c>
      <c r="Z170" s="427" t="str">
        <f t="shared" ca="1" si="35"/>
        <v/>
      </c>
      <c r="AA170" s="426" t="str">
        <f t="shared" ca="1" si="36"/>
        <v/>
      </c>
      <c r="AB170" s="428" t="str">
        <f t="shared" ca="1" si="37"/>
        <v/>
      </c>
      <c r="AC170" s="427" t="str">
        <f t="shared" ca="1" si="38"/>
        <v/>
      </c>
      <c r="AD170" s="79"/>
      <c r="AE170" s="496">
        <f t="shared" ca="1" si="27"/>
        <v>1.2899210938238601</v>
      </c>
      <c r="AF170" s="493">
        <f t="shared" ca="1" si="28"/>
        <v>1.6800017524146156</v>
      </c>
      <c r="AG170" s="493">
        <f t="shared" ca="1" si="26"/>
        <v>0</v>
      </c>
      <c r="AH170" s="498">
        <f t="shared" ca="1" si="29"/>
        <v>0</v>
      </c>
      <c r="AI170" s="497">
        <f t="shared" ca="1" si="30"/>
        <v>1.2899210938238601</v>
      </c>
      <c r="AJ170" s="493">
        <f t="shared" ca="1" si="31"/>
        <v>0.46719285801953847</v>
      </c>
      <c r="AK170" s="493">
        <f t="shared" ca="1" si="32"/>
        <v>0.82272823580432164</v>
      </c>
      <c r="AL170" s="498">
        <f t="shared" ca="1" si="33"/>
        <v>0</v>
      </c>
    </row>
    <row r="171" spans="1:38" customFormat="1" ht="1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568"/>
      <c r="O171" s="413"/>
      <c r="P171" s="413"/>
      <c r="Q171" s="413"/>
      <c r="R171" s="452"/>
      <c r="S171" s="443"/>
      <c r="T171" s="42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ca="1" si="34"/>
        <v/>
      </c>
      <c r="Z171" s="427" t="str">
        <f t="shared" ca="1" si="35"/>
        <v/>
      </c>
      <c r="AA171" s="426" t="str">
        <f t="shared" ca="1" si="36"/>
        <v/>
      </c>
      <c r="AB171" s="428" t="str">
        <f t="shared" ca="1" si="37"/>
        <v/>
      </c>
      <c r="AC171" s="427" t="str">
        <f t="shared" ca="1" si="38"/>
        <v/>
      </c>
      <c r="AD171" s="79"/>
      <c r="AE171" s="496">
        <f t="shared" ca="1" si="27"/>
        <v>1.28959165913065</v>
      </c>
      <c r="AF171" s="493">
        <f t="shared" ca="1" si="28"/>
        <v>1.6806072596333808</v>
      </c>
      <c r="AG171" s="493">
        <f t="shared" ca="1" si="26"/>
        <v>0</v>
      </c>
      <c r="AH171" s="498">
        <f t="shared" ca="1" si="29"/>
        <v>0</v>
      </c>
      <c r="AI171" s="497">
        <f t="shared" ca="1" si="30"/>
        <v>1.28959165913065</v>
      </c>
      <c r="AJ171" s="493">
        <f t="shared" ca="1" si="31"/>
        <v>0.48057573536973158</v>
      </c>
      <c r="AK171" s="493">
        <f t="shared" ca="1" si="32"/>
        <v>0.80901592376091847</v>
      </c>
      <c r="AL171" s="498">
        <f t="shared" ca="1" si="33"/>
        <v>0</v>
      </c>
    </row>
    <row r="172" spans="1:38" customFormat="1" ht="1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568"/>
      <c r="O172" s="413"/>
      <c r="P172" s="413"/>
      <c r="Q172" s="413"/>
      <c r="R172" s="452"/>
      <c r="S172" s="443"/>
      <c r="T172" s="42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ca="1" si="34"/>
        <v/>
      </c>
      <c r="Z172" s="427" t="str">
        <f t="shared" ca="1" si="35"/>
        <v/>
      </c>
      <c r="AA172" s="426" t="str">
        <f t="shared" ca="1" si="36"/>
        <v/>
      </c>
      <c r="AB172" s="428" t="str">
        <f t="shared" ca="1" si="37"/>
        <v/>
      </c>
      <c r="AC172" s="427" t="str">
        <f t="shared" ca="1" si="38"/>
        <v/>
      </c>
      <c r="AD172" s="79"/>
      <c r="AE172" s="496">
        <f t="shared" ca="1" si="27"/>
        <v>1.2891984177454101</v>
      </c>
      <c r="AF172" s="493">
        <f t="shared" ca="1" si="28"/>
        <v>1.6816062531588156</v>
      </c>
      <c r="AG172" s="493">
        <f t="shared" ca="1" si="26"/>
        <v>0</v>
      </c>
      <c r="AH172" s="498">
        <f t="shared" ca="1" si="29"/>
        <v>0</v>
      </c>
      <c r="AI172" s="497">
        <f t="shared" ca="1" si="30"/>
        <v>1.2891984177454101</v>
      </c>
      <c r="AJ172" s="493">
        <f t="shared" ca="1" si="31"/>
        <v>0.49599125183312665</v>
      </c>
      <c r="AK172" s="493">
        <f t="shared" ca="1" si="32"/>
        <v>0.79320716591228346</v>
      </c>
      <c r="AL172" s="498">
        <f t="shared" ca="1" si="33"/>
        <v>0</v>
      </c>
    </row>
    <row r="173" spans="1:38" customFormat="1" ht="1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568"/>
      <c r="O173" s="413"/>
      <c r="P173" s="413"/>
      <c r="Q173" s="413"/>
      <c r="R173" s="452"/>
      <c r="S173" s="443"/>
      <c r="T173" s="42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ca="1" si="34"/>
        <v/>
      </c>
      <c r="Z173" s="427" t="str">
        <f t="shared" ca="1" si="35"/>
        <v/>
      </c>
      <c r="AA173" s="426" t="str">
        <f t="shared" ca="1" si="36"/>
        <v/>
      </c>
      <c r="AB173" s="428" t="str">
        <f t="shared" ca="1" si="37"/>
        <v/>
      </c>
      <c r="AC173" s="427" t="str">
        <f t="shared" ca="1" si="38"/>
        <v/>
      </c>
      <c r="AD173" s="79"/>
      <c r="AE173" s="496">
        <f t="shared" ca="1" si="27"/>
        <v>1.2886234508533501</v>
      </c>
      <c r="AF173" s="493">
        <f t="shared" ca="1" si="28"/>
        <v>1.6824392421958307</v>
      </c>
      <c r="AG173" s="493">
        <f t="shared" ca="1" si="26"/>
        <v>0</v>
      </c>
      <c r="AH173" s="498">
        <f t="shared" ca="1" si="29"/>
        <v>0</v>
      </c>
      <c r="AI173" s="497">
        <f t="shared" ca="1" si="30"/>
        <v>1.2886234508533501</v>
      </c>
      <c r="AJ173" s="493">
        <f t="shared" ca="1" si="31"/>
        <v>0.51440511077450268</v>
      </c>
      <c r="AK173" s="493">
        <f t="shared" ca="1" si="32"/>
        <v>0.77421834007884738</v>
      </c>
      <c r="AL173" s="498">
        <f t="shared" ca="1" si="33"/>
        <v>0</v>
      </c>
    </row>
    <row r="174" spans="1:38" customFormat="1" ht="1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568"/>
      <c r="O174" s="413"/>
      <c r="P174" s="413"/>
      <c r="Q174" s="413"/>
      <c r="R174" s="452"/>
      <c r="S174" s="443"/>
      <c r="T174" s="42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ca="1" si="34"/>
        <v/>
      </c>
      <c r="Z174" s="427" t="str">
        <f t="shared" ca="1" si="35"/>
        <v/>
      </c>
      <c r="AA174" s="426" t="str">
        <f t="shared" ca="1" si="36"/>
        <v/>
      </c>
      <c r="AB174" s="428" t="str">
        <f t="shared" ca="1" si="37"/>
        <v/>
      </c>
      <c r="AC174" s="427" t="str">
        <f t="shared" ca="1" si="38"/>
        <v/>
      </c>
      <c r="AD174" s="79"/>
      <c r="AE174" s="496">
        <f t="shared" ca="1" si="27"/>
        <v>1.28983625412985</v>
      </c>
      <c r="AF174" s="493">
        <f t="shared" ca="1" si="28"/>
        <v>1.6803750899413186</v>
      </c>
      <c r="AG174" s="493">
        <f t="shared" ca="1" si="26"/>
        <v>0</v>
      </c>
      <c r="AH174" s="498">
        <f t="shared" ca="1" si="29"/>
        <v>0</v>
      </c>
      <c r="AI174" s="497">
        <f t="shared" ca="1" si="30"/>
        <v>1.28983625412985</v>
      </c>
      <c r="AJ174" s="493">
        <f t="shared" ca="1" si="31"/>
        <v>0.47131988797091062</v>
      </c>
      <c r="AK174" s="493">
        <f t="shared" ca="1" si="32"/>
        <v>0.81851636615893941</v>
      </c>
      <c r="AL174" s="498">
        <f t="shared" ca="1" si="33"/>
        <v>0</v>
      </c>
    </row>
    <row r="175" spans="1:38" customFormat="1" ht="1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568"/>
      <c r="O175" s="413"/>
      <c r="P175" s="413"/>
      <c r="Q175" s="413"/>
      <c r="R175" s="452"/>
      <c r="S175" s="443"/>
      <c r="T175" s="42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ca="1" si="34"/>
        <v/>
      </c>
      <c r="Z175" s="427" t="str">
        <f t="shared" ca="1" si="35"/>
        <v/>
      </c>
      <c r="AA175" s="426" t="str">
        <f t="shared" ca="1" si="36"/>
        <v/>
      </c>
      <c r="AB175" s="428" t="str">
        <f t="shared" ca="1" si="37"/>
        <v/>
      </c>
      <c r="AC175" s="427" t="str">
        <f t="shared" ca="1" si="38"/>
        <v/>
      </c>
      <c r="AD175" s="79"/>
      <c r="AE175" s="496">
        <f t="shared" ca="1" si="27"/>
        <v>1.29027523638593</v>
      </c>
      <c r="AF175" s="493">
        <f t="shared" ca="1" si="28"/>
        <v>1.6794102894584253</v>
      </c>
      <c r="AG175" s="493">
        <f t="shared" ca="1" si="26"/>
        <v>0</v>
      </c>
      <c r="AH175" s="498">
        <f t="shared" ca="1" si="29"/>
        <v>0</v>
      </c>
      <c r="AI175" s="497">
        <f t="shared" ca="1" si="30"/>
        <v>1.29027523638593</v>
      </c>
      <c r="AJ175" s="493">
        <f t="shared" ca="1" si="31"/>
        <v>0.45099456756920531</v>
      </c>
      <c r="AK175" s="493">
        <f t="shared" ca="1" si="32"/>
        <v>0.8392806688167247</v>
      </c>
      <c r="AL175" s="498">
        <f t="shared" ca="1" si="33"/>
        <v>0</v>
      </c>
    </row>
    <row r="176" spans="1:38" customFormat="1" ht="1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568"/>
      <c r="O176" s="413"/>
      <c r="P176" s="413"/>
      <c r="Q176" s="413"/>
      <c r="R176" s="452"/>
      <c r="S176" s="443"/>
      <c r="T176" s="42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ca="1" si="34"/>
        <v/>
      </c>
      <c r="Z176" s="427" t="str">
        <f t="shared" ca="1" si="35"/>
        <v/>
      </c>
      <c r="AA176" s="426" t="str">
        <f t="shared" ca="1" si="36"/>
        <v/>
      </c>
      <c r="AB176" s="428" t="str">
        <f t="shared" ca="1" si="37"/>
        <v/>
      </c>
      <c r="AC176" s="427" t="str">
        <f t="shared" ca="1" si="38"/>
        <v/>
      </c>
      <c r="AD176" s="79"/>
      <c r="AE176" s="496">
        <f t="shared" ca="1" si="27"/>
        <v>1.2901237610923</v>
      </c>
      <c r="AF176" s="493">
        <f t="shared" ca="1" si="28"/>
        <v>1.6797287672639725</v>
      </c>
      <c r="AG176" s="493">
        <f t="shared" ca="1" si="26"/>
        <v>0</v>
      </c>
      <c r="AH176" s="498">
        <f t="shared" ca="1" si="29"/>
        <v>0</v>
      </c>
      <c r="AI176" s="497">
        <f t="shared" ca="1" si="30"/>
        <v>1.2901237610923</v>
      </c>
      <c r="AJ176" s="493">
        <f t="shared" ca="1" si="31"/>
        <v>0.4583561637859393</v>
      </c>
      <c r="AK176" s="493">
        <f t="shared" ca="1" si="32"/>
        <v>0.83176759730636074</v>
      </c>
      <c r="AL176" s="498">
        <f t="shared" ca="1" si="33"/>
        <v>0</v>
      </c>
    </row>
    <row r="177" spans="1:38" customFormat="1" ht="1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568"/>
      <c r="O177" s="413"/>
      <c r="P177" s="413"/>
      <c r="Q177" s="413"/>
      <c r="R177" s="452"/>
      <c r="S177" s="443"/>
      <c r="T177" s="42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ca="1" si="34"/>
        <v/>
      </c>
      <c r="Z177" s="427" t="str">
        <f t="shared" ca="1" si="35"/>
        <v/>
      </c>
      <c r="AA177" s="426" t="str">
        <f t="shared" ca="1" si="36"/>
        <v/>
      </c>
      <c r="AB177" s="428" t="str">
        <f t="shared" ca="1" si="37"/>
        <v/>
      </c>
      <c r="AC177" s="427" t="str">
        <f t="shared" ca="1" si="38"/>
        <v/>
      </c>
      <c r="AD177" s="79"/>
      <c r="AE177" s="496">
        <f t="shared" ca="1" si="27"/>
        <v>1.2884024904043001</v>
      </c>
      <c r="AF177" s="493">
        <f t="shared" ca="1" si="28"/>
        <v>1.6826889702878201</v>
      </c>
      <c r="AG177" s="493">
        <f t="shared" ca="1" si="26"/>
        <v>0</v>
      </c>
      <c r="AH177" s="498">
        <f t="shared" ca="1" si="29"/>
        <v>0</v>
      </c>
      <c r="AI177" s="497">
        <f t="shared" ca="1" si="30"/>
        <v>1.2884024904043001</v>
      </c>
      <c r="AJ177" s="493">
        <f t="shared" ca="1" si="31"/>
        <v>0.52056373471554007</v>
      </c>
      <c r="AK177" s="493">
        <f t="shared" ca="1" si="32"/>
        <v>0.76783875568876003</v>
      </c>
      <c r="AL177" s="498">
        <f t="shared" ca="1" si="33"/>
        <v>0</v>
      </c>
    </row>
    <row r="178" spans="1:38" customFormat="1" ht="1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568"/>
      <c r="O178" s="413"/>
      <c r="P178" s="413"/>
      <c r="Q178" s="413"/>
      <c r="R178" s="452"/>
      <c r="S178" s="443"/>
      <c r="T178" s="42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ca="1" si="34"/>
        <v/>
      </c>
      <c r="Z178" s="427" t="str">
        <f t="shared" ca="1" si="35"/>
        <v/>
      </c>
      <c r="AA178" s="426" t="str">
        <f t="shared" ca="1" si="36"/>
        <v/>
      </c>
      <c r="AB178" s="428" t="str">
        <f t="shared" ca="1" si="37"/>
        <v/>
      </c>
      <c r="AC178" s="427" t="str">
        <f t="shared" ca="1" si="38"/>
        <v/>
      </c>
      <c r="AD178" s="79"/>
      <c r="AE178" s="496">
        <f t="shared" ca="1" si="27"/>
        <v>1.2836930649823499</v>
      </c>
      <c r="AF178" s="493">
        <f t="shared" ca="1" si="28"/>
        <v>1.6891707003385827</v>
      </c>
      <c r="AG178" s="493">
        <f t="shared" ca="1" si="26"/>
        <v>0</v>
      </c>
      <c r="AH178" s="498">
        <f t="shared" ca="1" si="29"/>
        <v>0</v>
      </c>
      <c r="AI178" s="497">
        <f t="shared" ca="1" si="30"/>
        <v>1.2836930649823499</v>
      </c>
      <c r="AJ178" s="493">
        <f t="shared" ca="1" si="31"/>
        <v>0.61368868027118373</v>
      </c>
      <c r="AK178" s="493">
        <f t="shared" ca="1" si="32"/>
        <v>0.67000438471116619</v>
      </c>
      <c r="AL178" s="498">
        <f t="shared" ca="1" si="33"/>
        <v>0</v>
      </c>
    </row>
    <row r="179" spans="1:38" customFormat="1" ht="1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568"/>
      <c r="O179" s="413"/>
      <c r="P179" s="413"/>
      <c r="Q179" s="413"/>
      <c r="R179" s="452"/>
      <c r="S179" s="443"/>
      <c r="T179" s="42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ca="1" si="34"/>
        <v/>
      </c>
      <c r="Z179" s="427" t="str">
        <f t="shared" ca="1" si="35"/>
        <v/>
      </c>
      <c r="AA179" s="426" t="str">
        <f t="shared" ca="1" si="36"/>
        <v/>
      </c>
      <c r="AB179" s="428" t="str">
        <f t="shared" ca="1" si="37"/>
        <v/>
      </c>
      <c r="AC179" s="427" t="str">
        <f t="shared" ca="1" si="38"/>
        <v/>
      </c>
      <c r="AD179" s="79"/>
      <c r="AE179" s="496">
        <f t="shared" ca="1" si="27"/>
        <v>1.28250634995359</v>
      </c>
      <c r="AF179" s="493">
        <f t="shared" ca="1" si="28"/>
        <v>1.6903141836985298</v>
      </c>
      <c r="AG179" s="493">
        <f t="shared" ca="1" si="26"/>
        <v>0</v>
      </c>
      <c r="AH179" s="498">
        <f t="shared" ca="1" si="29"/>
        <v>0</v>
      </c>
      <c r="AI179" s="497">
        <f t="shared" ca="1" si="30"/>
        <v>1.28250634995359</v>
      </c>
      <c r="AJ179" s="493">
        <f t="shared" ca="1" si="31"/>
        <v>0.62906830601873676</v>
      </c>
      <c r="AK179" s="493">
        <f t="shared" ca="1" si="32"/>
        <v>0.65343804393485327</v>
      </c>
      <c r="AL179" s="498">
        <f t="shared" ca="1" si="33"/>
        <v>0</v>
      </c>
    </row>
    <row r="180" spans="1:38" customFormat="1" ht="1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568"/>
      <c r="O180" s="413"/>
      <c r="P180" s="413"/>
      <c r="Q180" s="413"/>
      <c r="R180" s="452"/>
      <c r="S180" s="443"/>
      <c r="T180" s="42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ca="1" si="34"/>
        <v/>
      </c>
      <c r="Z180" s="427" t="str">
        <f t="shared" ca="1" si="35"/>
        <v/>
      </c>
      <c r="AA180" s="426" t="str">
        <f t="shared" ca="1" si="36"/>
        <v/>
      </c>
      <c r="AB180" s="428" t="str">
        <f t="shared" ca="1" si="37"/>
        <v/>
      </c>
      <c r="AC180" s="427" t="str">
        <f t="shared" ca="1" si="38"/>
        <v/>
      </c>
      <c r="AD180" s="79"/>
      <c r="AE180" s="496">
        <f t="shared" ca="1" si="27"/>
        <v>1.28780319739319</v>
      </c>
      <c r="AF180" s="493">
        <f t="shared" ca="1" si="28"/>
        <v>1.6839468842092029</v>
      </c>
      <c r="AG180" s="493">
        <f t="shared" ca="1" si="26"/>
        <v>0</v>
      </c>
      <c r="AH180" s="498">
        <f t="shared" ca="1" si="29"/>
        <v>0</v>
      </c>
      <c r="AI180" s="497">
        <f t="shared" ca="1" si="30"/>
        <v>1.28780319739319</v>
      </c>
      <c r="AJ180" s="493">
        <f t="shared" ca="1" si="31"/>
        <v>0.53741227725930407</v>
      </c>
      <c r="AK180" s="493">
        <f t="shared" ca="1" si="32"/>
        <v>0.75039092013388597</v>
      </c>
      <c r="AL180" s="498">
        <f t="shared" ca="1" si="33"/>
        <v>0</v>
      </c>
    </row>
    <row r="181" spans="1:38" customFormat="1" ht="1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568"/>
      <c r="O181" s="413"/>
      <c r="P181" s="413"/>
      <c r="Q181" s="413"/>
      <c r="R181" s="452"/>
      <c r="S181" s="443"/>
      <c r="T181" s="42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ca="1" si="34"/>
        <v/>
      </c>
      <c r="Z181" s="427" t="str">
        <f t="shared" ca="1" si="35"/>
        <v/>
      </c>
      <c r="AA181" s="426" t="str">
        <f t="shared" ca="1" si="36"/>
        <v/>
      </c>
      <c r="AB181" s="428" t="str">
        <f t="shared" ca="1" si="37"/>
        <v/>
      </c>
      <c r="AC181" s="427" t="str">
        <f t="shared" ca="1" si="38"/>
        <v/>
      </c>
      <c r="AD181" s="79"/>
      <c r="AE181" s="496">
        <f t="shared" ca="1" si="27"/>
        <v>1.2885587566672501</v>
      </c>
      <c r="AF181" s="493">
        <f t="shared" ca="1" si="28"/>
        <v>1.6823786390004201</v>
      </c>
      <c r="AG181" s="493">
        <f t="shared" ca="1" si="26"/>
        <v>0</v>
      </c>
      <c r="AH181" s="498">
        <f t="shared" ca="1" si="29"/>
        <v>0</v>
      </c>
      <c r="AI181" s="497">
        <f t="shared" ca="1" si="30"/>
        <v>1.2885587566672501</v>
      </c>
      <c r="AJ181" s="493">
        <f t="shared" ca="1" si="31"/>
        <v>0.51561223835063108</v>
      </c>
      <c r="AK181" s="493">
        <f t="shared" ca="1" si="32"/>
        <v>0.77294651831661898</v>
      </c>
      <c r="AL181" s="498">
        <f t="shared" ca="1" si="33"/>
        <v>0</v>
      </c>
    </row>
    <row r="182" spans="1:38" customFormat="1" ht="1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568"/>
      <c r="O182" s="413"/>
      <c r="P182" s="413"/>
      <c r="Q182" s="413"/>
      <c r="R182" s="452"/>
      <c r="S182" s="443"/>
      <c r="T182" s="42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ca="1" si="34"/>
        <v/>
      </c>
      <c r="Z182" s="427" t="str">
        <f t="shared" ca="1" si="35"/>
        <v/>
      </c>
      <c r="AA182" s="426" t="str">
        <f t="shared" ca="1" si="36"/>
        <v/>
      </c>
      <c r="AB182" s="428" t="str">
        <f t="shared" ca="1" si="37"/>
        <v/>
      </c>
      <c r="AC182" s="427" t="str">
        <f t="shared" ca="1" si="38"/>
        <v/>
      </c>
      <c r="AD182" s="79"/>
      <c r="AE182" s="496">
        <f t="shared" ca="1" si="27"/>
        <v>1.2853989837358299</v>
      </c>
      <c r="AF182" s="493">
        <f t="shared" ca="1" si="28"/>
        <v>1.6871439676119957</v>
      </c>
      <c r="AG182" s="493">
        <f t="shared" ca="1" si="26"/>
        <v>0</v>
      </c>
      <c r="AH182" s="498">
        <f t="shared" ca="1" si="29"/>
        <v>0</v>
      </c>
      <c r="AI182" s="497">
        <f t="shared" ca="1" si="30"/>
        <v>1.2853989837358299</v>
      </c>
      <c r="AJ182" s="493">
        <f t="shared" ca="1" si="31"/>
        <v>0.58728739836111377</v>
      </c>
      <c r="AK182" s="493">
        <f t="shared" ca="1" si="32"/>
        <v>0.69811158537471618</v>
      </c>
      <c r="AL182" s="498">
        <f t="shared" ca="1" si="33"/>
        <v>0</v>
      </c>
    </row>
    <row r="183" spans="1:38" customFormat="1" ht="1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568"/>
      <c r="O183" s="413"/>
      <c r="P183" s="413"/>
      <c r="Q183" s="413"/>
      <c r="R183" s="452"/>
      <c r="S183" s="443"/>
      <c r="T183" s="42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ca="1" si="34"/>
        <v/>
      </c>
      <c r="Z183" s="427" t="str">
        <f t="shared" ca="1" si="35"/>
        <v/>
      </c>
      <c r="AA183" s="426" t="str">
        <f t="shared" ca="1" si="36"/>
        <v/>
      </c>
      <c r="AB183" s="428" t="str">
        <f t="shared" ca="1" si="37"/>
        <v/>
      </c>
      <c r="AC183" s="427" t="str">
        <f t="shared" ca="1" si="38"/>
        <v/>
      </c>
      <c r="AD183" s="79"/>
      <c r="AE183" s="496">
        <f t="shared" ca="1" si="27"/>
        <v>1.2896889505629801</v>
      </c>
      <c r="AF183" s="493">
        <f t="shared" ca="1" si="28"/>
        <v>1.6806913006936823</v>
      </c>
      <c r="AG183" s="493">
        <f t="shared" ca="1" si="26"/>
        <v>0</v>
      </c>
      <c r="AH183" s="498">
        <f t="shared" ca="1" si="29"/>
        <v>0</v>
      </c>
      <c r="AI183" s="497">
        <f t="shared" ca="1" si="30"/>
        <v>1.2896889505629801</v>
      </c>
      <c r="AJ183" s="493">
        <f t="shared" ca="1" si="31"/>
        <v>0.4774640754411813</v>
      </c>
      <c r="AK183" s="493">
        <f t="shared" ca="1" si="32"/>
        <v>0.81222487512179875</v>
      </c>
      <c r="AL183" s="498">
        <f t="shared" ca="1" si="33"/>
        <v>0</v>
      </c>
    </row>
    <row r="184" spans="1:38" customFormat="1" ht="1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568"/>
      <c r="O184" s="413"/>
      <c r="P184" s="413"/>
      <c r="Q184" s="413"/>
      <c r="R184" s="452"/>
      <c r="S184" s="443"/>
      <c r="T184" s="42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ca="1" si="34"/>
        <v/>
      </c>
      <c r="Z184" s="427" t="str">
        <f t="shared" ca="1" si="35"/>
        <v/>
      </c>
      <c r="AA184" s="426" t="str">
        <f t="shared" ca="1" si="36"/>
        <v/>
      </c>
      <c r="AB184" s="428" t="str">
        <f t="shared" ca="1" si="37"/>
        <v/>
      </c>
      <c r="AC184" s="427" t="str">
        <f t="shared" ca="1" si="38"/>
        <v/>
      </c>
      <c r="AD184" s="79"/>
      <c r="AE184" s="496">
        <f t="shared" ca="1" si="27"/>
        <v>1.28788885674139</v>
      </c>
      <c r="AF184" s="493">
        <f t="shared" ca="1" si="28"/>
        <v>1.68357465565332</v>
      </c>
      <c r="AG184" s="493">
        <f t="shared" ca="1" si="26"/>
        <v>0</v>
      </c>
      <c r="AH184" s="498">
        <f t="shared" ca="1" si="29"/>
        <v>0</v>
      </c>
      <c r="AI184" s="497">
        <f t="shared" ca="1" si="30"/>
        <v>1.28788885674139</v>
      </c>
      <c r="AJ184" s="493">
        <f t="shared" ca="1" si="31"/>
        <v>0.534914165921899</v>
      </c>
      <c r="AK184" s="493">
        <f t="shared" ca="1" si="32"/>
        <v>0.75297469081949098</v>
      </c>
      <c r="AL184" s="498">
        <f t="shared" ca="1" si="33"/>
        <v>0</v>
      </c>
    </row>
    <row r="185" spans="1:38" customFormat="1" ht="1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568"/>
      <c r="O185" s="413"/>
      <c r="P185" s="413"/>
      <c r="Q185" s="413"/>
      <c r="R185" s="452"/>
      <c r="S185" s="443"/>
      <c r="T185" s="42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ca="1" si="34"/>
        <v/>
      </c>
      <c r="Z185" s="427" t="str">
        <f t="shared" ca="1" si="35"/>
        <v/>
      </c>
      <c r="AA185" s="426" t="str">
        <f t="shared" ca="1" si="36"/>
        <v/>
      </c>
      <c r="AB185" s="428" t="str">
        <f t="shared" ca="1" si="37"/>
        <v/>
      </c>
      <c r="AC185" s="427" t="str">
        <f t="shared" ca="1" si="38"/>
        <v/>
      </c>
      <c r="AD185" s="79"/>
      <c r="AE185" s="496">
        <f t="shared" ca="1" si="27"/>
        <v>1.2912095492276701</v>
      </c>
      <c r="AF185" s="493">
        <f t="shared" ca="1" si="28"/>
        <v>1.6770586146528283</v>
      </c>
      <c r="AG185" s="493">
        <f t="shared" ca="1" si="26"/>
        <v>0</v>
      </c>
      <c r="AH185" s="498">
        <f t="shared" ca="1" si="29"/>
        <v>0</v>
      </c>
      <c r="AI185" s="497">
        <f t="shared" ca="1" si="30"/>
        <v>1.2912095492276701</v>
      </c>
      <c r="AJ185" s="493">
        <f t="shared" ca="1" si="31"/>
        <v>0.39079741605570628</v>
      </c>
      <c r="AK185" s="493">
        <f t="shared" ca="1" si="32"/>
        <v>0.90041213317196378</v>
      </c>
      <c r="AL185" s="498">
        <f t="shared" ca="1" si="33"/>
        <v>0</v>
      </c>
    </row>
    <row r="186" spans="1:38" customFormat="1" ht="1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568"/>
      <c r="O186" s="413"/>
      <c r="P186" s="413"/>
      <c r="Q186" s="413"/>
      <c r="R186" s="452"/>
      <c r="S186" s="443"/>
      <c r="T186" s="42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ca="1" si="34"/>
        <v/>
      </c>
      <c r="Z186" s="427" t="str">
        <f t="shared" ca="1" si="35"/>
        <v/>
      </c>
      <c r="AA186" s="426" t="str">
        <f t="shared" ca="1" si="36"/>
        <v/>
      </c>
      <c r="AB186" s="428" t="str">
        <f t="shared" ca="1" si="37"/>
        <v/>
      </c>
      <c r="AC186" s="427" t="str">
        <f t="shared" ca="1" si="38"/>
        <v/>
      </c>
      <c r="AD186" s="79"/>
      <c r="AE186" s="496">
        <f t="shared" ca="1" si="27"/>
        <v>1.28854469217933</v>
      </c>
      <c r="AF186" s="493">
        <f t="shared" ca="1" si="28"/>
        <v>1.6823677073036249</v>
      </c>
      <c r="AG186" s="493">
        <f t="shared" ca="1" si="26"/>
        <v>0</v>
      </c>
      <c r="AH186" s="498">
        <f t="shared" ca="1" si="29"/>
        <v>0</v>
      </c>
      <c r="AI186" s="497">
        <f t="shared" ca="1" si="30"/>
        <v>1.28854469217933</v>
      </c>
      <c r="AJ186" s="493">
        <f t="shared" ca="1" si="31"/>
        <v>0.51594767898674587</v>
      </c>
      <c r="AK186" s="493">
        <f t="shared" ca="1" si="32"/>
        <v>0.77259701319258411</v>
      </c>
      <c r="AL186" s="498">
        <f t="shared" ca="1" si="33"/>
        <v>0</v>
      </c>
    </row>
    <row r="187" spans="1:38" customFormat="1" ht="1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568"/>
      <c r="O187" s="413"/>
      <c r="P187" s="413"/>
      <c r="Q187" s="413"/>
      <c r="R187" s="452"/>
      <c r="S187" s="443"/>
      <c r="T187" s="42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ca="1" si="34"/>
        <v/>
      </c>
      <c r="Z187" s="427" t="str">
        <f t="shared" ca="1" si="35"/>
        <v/>
      </c>
      <c r="AA187" s="426" t="str">
        <f t="shared" ca="1" si="36"/>
        <v/>
      </c>
      <c r="AB187" s="428" t="str">
        <f t="shared" ca="1" si="37"/>
        <v/>
      </c>
      <c r="AC187" s="427" t="str">
        <f t="shared" ca="1" si="38"/>
        <v/>
      </c>
      <c r="AD187" s="79"/>
      <c r="AE187" s="496">
        <f t="shared" ca="1" si="27"/>
        <v>1.2717247810752601</v>
      </c>
      <c r="AF187" s="493">
        <f t="shared" ca="1" si="28"/>
        <v>1.699715008607521</v>
      </c>
      <c r="AG187" s="493">
        <f t="shared" ref="AG187:AG221" ca="1" si="39">IF($AF$116,MAX(O187-ABS(AF187),0),AE187)</f>
        <v>0</v>
      </c>
      <c r="AH187" s="498">
        <f t="shared" ca="1" si="29"/>
        <v>0</v>
      </c>
      <c r="AI187" s="497">
        <f t="shared" ca="1" si="30"/>
        <v>1.2717247810752601</v>
      </c>
      <c r="AJ187" s="493">
        <f t="shared" ca="1" si="31"/>
        <v>0.71707348241924984</v>
      </c>
      <c r="AK187" s="493">
        <f t="shared" ca="1" si="32"/>
        <v>0.55465129865601026</v>
      </c>
      <c r="AL187" s="498">
        <f t="shared" ca="1" si="33"/>
        <v>0</v>
      </c>
    </row>
    <row r="188" spans="1:38" customFormat="1" ht="1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568"/>
      <c r="O188" s="413"/>
      <c r="P188" s="413"/>
      <c r="Q188" s="413"/>
      <c r="R188" s="452"/>
      <c r="S188" s="443"/>
      <c r="T188" s="42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ca="1" si="34"/>
        <v/>
      </c>
      <c r="Z188" s="427" t="str">
        <f t="shared" ca="1" si="35"/>
        <v/>
      </c>
      <c r="AA188" s="426" t="str">
        <f t="shared" ca="1" si="36"/>
        <v/>
      </c>
      <c r="AB188" s="428" t="str">
        <f t="shared" ca="1" si="37"/>
        <v/>
      </c>
      <c r="AC188" s="427" t="str">
        <f t="shared" ca="1" si="38"/>
        <v/>
      </c>
      <c r="AD188" s="79"/>
      <c r="AE188" s="496">
        <f t="shared" ref="AE188:AE221" ca="1" si="40">O81</f>
        <v>1.28679677363463</v>
      </c>
      <c r="AF188" s="493">
        <f t="shared" ref="AF188:AF221" ca="1" si="41">ABS(Q81-T81)</f>
        <v>1.6852774907231733</v>
      </c>
      <c r="AG188" s="493">
        <f t="shared" ca="1" si="39"/>
        <v>0</v>
      </c>
      <c r="AH188" s="498">
        <f t="shared" ref="AH188:AH221" ca="1" si="42">IF($AF$116,0,AF188)</f>
        <v>0</v>
      </c>
      <c r="AI188" s="497">
        <f t="shared" ref="AI188:AI221" ca="1" si="43">O81</f>
        <v>1.28679677363463</v>
      </c>
      <c r="AJ188" s="493">
        <f t="shared" ref="AJ188:AJ221" ca="1" si="44">ABS(K81-T81)</f>
        <v>0.5606386949941673</v>
      </c>
      <c r="AK188" s="493">
        <f t="shared" ref="AK188:AK221" ca="1" si="45">IF($AF$116,MAX(AI188-ABS(AJ188),0),AI188)</f>
        <v>0.72615807864046267</v>
      </c>
      <c r="AL188" s="498">
        <f t="shared" ref="AL188:AL221" ca="1" si="46">IF($AF$116,0,AJ188)</f>
        <v>0</v>
      </c>
    </row>
    <row r="189" spans="1:38" customFormat="1" ht="1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568"/>
      <c r="O189" s="413"/>
      <c r="P189" s="413"/>
      <c r="Q189" s="413"/>
      <c r="R189" s="452"/>
      <c r="S189" s="443"/>
      <c r="T189" s="42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ca="1" si="34"/>
        <v/>
      </c>
      <c r="Z189" s="427" t="str">
        <f t="shared" ca="1" si="35"/>
        <v/>
      </c>
      <c r="AA189" s="426" t="str">
        <f t="shared" ca="1" si="36"/>
        <v/>
      </c>
      <c r="AB189" s="428" t="str">
        <f t="shared" ca="1" si="37"/>
        <v/>
      </c>
      <c r="AC189" s="427" t="str">
        <f t="shared" ca="1" si="38"/>
        <v/>
      </c>
      <c r="AD189" s="79"/>
      <c r="AE189" s="496">
        <f t="shared" ca="1" si="40"/>
        <v>1.2845929168910399</v>
      </c>
      <c r="AF189" s="493">
        <f t="shared" ca="1" si="41"/>
        <v>1.6882040517011849</v>
      </c>
      <c r="AG189" s="493">
        <f t="shared" ca="1" si="39"/>
        <v>0</v>
      </c>
      <c r="AH189" s="498">
        <f t="shared" ca="1" si="42"/>
        <v>0</v>
      </c>
      <c r="AI189" s="497">
        <f t="shared" ca="1" si="43"/>
        <v>1.2845929168910399</v>
      </c>
      <c r="AJ189" s="493">
        <f t="shared" ca="1" si="44"/>
        <v>0.60046294571520997</v>
      </c>
      <c r="AK189" s="493">
        <f t="shared" ca="1" si="45"/>
        <v>0.68412997117582997</v>
      </c>
      <c r="AL189" s="498">
        <f t="shared" ca="1" si="46"/>
        <v>0</v>
      </c>
    </row>
    <row r="190" spans="1:38" customFormat="1" ht="1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568"/>
      <c r="O190" s="413"/>
      <c r="P190" s="413"/>
      <c r="Q190" s="413"/>
      <c r="R190" s="452"/>
      <c r="S190" s="443"/>
      <c r="T190" s="42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ca="1" si="34"/>
        <v/>
      </c>
      <c r="Z190" s="427" t="str">
        <f t="shared" ca="1" si="35"/>
        <v/>
      </c>
      <c r="AA190" s="426" t="str">
        <f t="shared" ca="1" si="36"/>
        <v/>
      </c>
      <c r="AB190" s="428" t="str">
        <f t="shared" ca="1" si="37"/>
        <v/>
      </c>
      <c r="AC190" s="427" t="str">
        <f t="shared" ca="1" si="38"/>
        <v/>
      </c>
      <c r="AD190" s="79"/>
      <c r="AE190" s="496">
        <f t="shared" ca="1" si="40"/>
        <v>1.2892041711305899</v>
      </c>
      <c r="AF190" s="493">
        <f t="shared" ca="1" si="41"/>
        <v>1.681613279312836</v>
      </c>
      <c r="AG190" s="493">
        <f t="shared" ca="1" si="39"/>
        <v>0</v>
      </c>
      <c r="AH190" s="498">
        <f t="shared" ca="1" si="42"/>
        <v>0</v>
      </c>
      <c r="AI190" s="497">
        <f t="shared" ca="1" si="43"/>
        <v>1.2892041711305899</v>
      </c>
      <c r="AJ190" s="493">
        <f t="shared" ca="1" si="44"/>
        <v>0.49562479762005601</v>
      </c>
      <c r="AK190" s="493">
        <f t="shared" ca="1" si="45"/>
        <v>0.79357937351053387</v>
      </c>
      <c r="AL190" s="498">
        <f t="shared" ca="1" si="46"/>
        <v>0</v>
      </c>
    </row>
    <row r="191" spans="1:38" customFormat="1" ht="1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568"/>
      <c r="O191" s="413"/>
      <c r="P191" s="413"/>
      <c r="Q191" s="413"/>
      <c r="R191" s="452"/>
      <c r="S191" s="443"/>
      <c r="T191" s="42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ca="1" si="34"/>
        <v/>
      </c>
      <c r="Z191" s="427" t="str">
        <f t="shared" ca="1" si="35"/>
        <v/>
      </c>
      <c r="AA191" s="426" t="str">
        <f t="shared" ca="1" si="36"/>
        <v/>
      </c>
      <c r="AB191" s="428" t="str">
        <f t="shared" ca="1" si="37"/>
        <v/>
      </c>
      <c r="AC191" s="427" t="str">
        <f t="shared" ca="1" si="38"/>
        <v/>
      </c>
      <c r="AD191" s="79"/>
      <c r="AE191" s="496">
        <f t="shared" ca="1" si="40"/>
        <v>1.2862445414867101</v>
      </c>
      <c r="AF191" s="493">
        <f t="shared" ca="1" si="41"/>
        <v>1.6861232415155456</v>
      </c>
      <c r="AG191" s="493">
        <f t="shared" ca="1" si="39"/>
        <v>0</v>
      </c>
      <c r="AH191" s="498">
        <f t="shared" ca="1" si="42"/>
        <v>0</v>
      </c>
      <c r="AI191" s="497">
        <f t="shared" ca="1" si="43"/>
        <v>1.2862445414867101</v>
      </c>
      <c r="AJ191" s="493">
        <f t="shared" ca="1" si="44"/>
        <v>0.57181935732762279</v>
      </c>
      <c r="AK191" s="493">
        <f t="shared" ca="1" si="45"/>
        <v>0.71442518415908729</v>
      </c>
      <c r="AL191" s="498">
        <f t="shared" ca="1" si="46"/>
        <v>0</v>
      </c>
    </row>
    <row r="192" spans="1:38" customFormat="1" ht="1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568"/>
      <c r="O192" s="413"/>
      <c r="P192" s="413"/>
      <c r="Q192" s="413"/>
      <c r="R192" s="452"/>
      <c r="S192" s="443"/>
      <c r="T192" s="42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ca="1" si="34"/>
        <v/>
      </c>
      <c r="Z192" s="427" t="str">
        <f t="shared" ca="1" si="35"/>
        <v/>
      </c>
      <c r="AA192" s="426" t="str">
        <f t="shared" ca="1" si="36"/>
        <v/>
      </c>
      <c r="AB192" s="428" t="str">
        <f t="shared" ca="1" si="37"/>
        <v/>
      </c>
      <c r="AC192" s="427" t="str">
        <f t="shared" ca="1" si="38"/>
        <v/>
      </c>
      <c r="AD192" s="79"/>
      <c r="AE192" s="496">
        <f t="shared" ca="1" si="40"/>
        <v>1.2890174283464699</v>
      </c>
      <c r="AF192" s="493">
        <f t="shared" ca="1" si="41"/>
        <v>1.6818937785441341</v>
      </c>
      <c r="AG192" s="493">
        <f t="shared" ca="1" si="39"/>
        <v>0</v>
      </c>
      <c r="AH192" s="498">
        <f t="shared" ca="1" si="42"/>
        <v>0</v>
      </c>
      <c r="AI192" s="497">
        <f t="shared" ca="1" si="43"/>
        <v>1.2890174283464699</v>
      </c>
      <c r="AJ192" s="493">
        <f t="shared" ca="1" si="44"/>
        <v>0.50221236836829697</v>
      </c>
      <c r="AK192" s="493">
        <f t="shared" ca="1" si="45"/>
        <v>0.78680505997817296</v>
      </c>
      <c r="AL192" s="498">
        <f t="shared" ca="1" si="46"/>
        <v>0</v>
      </c>
    </row>
    <row r="193" spans="1:38" customFormat="1" ht="1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568"/>
      <c r="O193" s="413"/>
      <c r="P193" s="413"/>
      <c r="Q193" s="413"/>
      <c r="R193" s="452"/>
      <c r="S193" s="443"/>
      <c r="T193" s="42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ca="1" si="34"/>
        <v/>
      </c>
      <c r="Z193" s="427" t="str">
        <f t="shared" ca="1" si="35"/>
        <v/>
      </c>
      <c r="AA193" s="426" t="str">
        <f t="shared" ca="1" si="36"/>
        <v/>
      </c>
      <c r="AB193" s="428" t="str">
        <f t="shared" ca="1" si="37"/>
        <v/>
      </c>
      <c r="AC193" s="427" t="str">
        <f t="shared" ca="1" si="38"/>
        <v/>
      </c>
      <c r="AD193" s="79"/>
      <c r="AE193" s="496">
        <f t="shared" ca="1" si="40"/>
        <v>1.2868359942434699</v>
      </c>
      <c r="AF193" s="493">
        <f t="shared" ca="1" si="41"/>
        <v>1.6853123882256773</v>
      </c>
      <c r="AG193" s="493">
        <f t="shared" ca="1" si="39"/>
        <v>0</v>
      </c>
      <c r="AH193" s="498">
        <f t="shared" ca="1" si="42"/>
        <v>0</v>
      </c>
      <c r="AI193" s="497">
        <f t="shared" ca="1" si="43"/>
        <v>1.2868359942434699</v>
      </c>
      <c r="AJ193" s="493">
        <f t="shared" ca="1" si="44"/>
        <v>0.55986012330805646</v>
      </c>
      <c r="AK193" s="493">
        <f t="shared" ca="1" si="45"/>
        <v>0.72697587093541349</v>
      </c>
      <c r="AL193" s="498">
        <f t="shared" ca="1" si="46"/>
        <v>0</v>
      </c>
    </row>
    <row r="194" spans="1:38" customFormat="1" ht="1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568"/>
      <c r="O194" s="413"/>
      <c r="P194" s="413"/>
      <c r="Q194" s="413"/>
      <c r="R194" s="452"/>
      <c r="S194" s="443"/>
      <c r="T194" s="42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ca="1" si="34"/>
        <v/>
      </c>
      <c r="Z194" s="427" t="str">
        <f t="shared" ca="1" si="35"/>
        <v/>
      </c>
      <c r="AA194" s="426" t="str">
        <f t="shared" ca="1" si="36"/>
        <v/>
      </c>
      <c r="AB194" s="428" t="str">
        <f t="shared" ca="1" si="37"/>
        <v/>
      </c>
      <c r="AC194" s="427" t="str">
        <f t="shared" ca="1" si="38"/>
        <v/>
      </c>
      <c r="AD194" s="79"/>
      <c r="AE194" s="496">
        <f t="shared" ca="1" si="40"/>
        <v>1.2884812016109399</v>
      </c>
      <c r="AF194" s="493">
        <f t="shared" ca="1" si="41"/>
        <v>1.6827634374845606</v>
      </c>
      <c r="AG194" s="493">
        <f t="shared" ca="1" si="39"/>
        <v>0</v>
      </c>
      <c r="AH194" s="498">
        <f t="shared" ca="1" si="42"/>
        <v>0</v>
      </c>
      <c r="AI194" s="497">
        <f t="shared" ca="1" si="43"/>
        <v>1.2884812016109399</v>
      </c>
      <c r="AJ194" s="493">
        <f t="shared" ca="1" si="44"/>
        <v>0.5189157531350157</v>
      </c>
      <c r="AK194" s="493">
        <f t="shared" ca="1" si="45"/>
        <v>0.76956544847592423</v>
      </c>
      <c r="AL194" s="498">
        <f t="shared" ca="1" si="46"/>
        <v>0</v>
      </c>
    </row>
    <row r="195" spans="1:38" customFormat="1" ht="1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568"/>
      <c r="O195" s="413"/>
      <c r="P195" s="413"/>
      <c r="Q195" s="413"/>
      <c r="R195" s="452"/>
      <c r="S195" s="443"/>
      <c r="T195" s="42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ca="1" si="34"/>
        <v/>
      </c>
      <c r="Z195" s="427" t="str">
        <f t="shared" ca="1" si="35"/>
        <v/>
      </c>
      <c r="AA195" s="426" t="str">
        <f t="shared" ca="1" si="36"/>
        <v/>
      </c>
      <c r="AB195" s="428" t="str">
        <f t="shared" ca="1" si="37"/>
        <v/>
      </c>
      <c r="AC195" s="427" t="str">
        <f t="shared" ca="1" si="38"/>
        <v/>
      </c>
      <c r="AD195" s="79"/>
      <c r="AE195" s="496">
        <f t="shared" ca="1" si="40"/>
        <v>1.2868365360396501</v>
      </c>
      <c r="AF195" s="493">
        <f t="shared" ca="1" si="41"/>
        <v>1.6853126641369287</v>
      </c>
      <c r="AG195" s="493">
        <f t="shared" ca="1" si="39"/>
        <v>0</v>
      </c>
      <c r="AH195" s="498">
        <f t="shared" ca="1" si="42"/>
        <v>0</v>
      </c>
      <c r="AI195" s="497">
        <f t="shared" ca="1" si="43"/>
        <v>1.2868365360396501</v>
      </c>
      <c r="AJ195" s="493">
        <f t="shared" ca="1" si="44"/>
        <v>0.5598168483157967</v>
      </c>
      <c r="AK195" s="493">
        <f t="shared" ca="1" si="45"/>
        <v>0.72701968772385339</v>
      </c>
      <c r="AL195" s="498">
        <f t="shared" ca="1" si="46"/>
        <v>0</v>
      </c>
    </row>
    <row r="196" spans="1:38" customFormat="1" ht="1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568"/>
      <c r="O196" s="413"/>
      <c r="P196" s="413"/>
      <c r="Q196" s="413"/>
      <c r="R196" s="452"/>
      <c r="S196" s="443"/>
      <c r="T196" s="42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ca="1" si="34"/>
        <v/>
      </c>
      <c r="Z196" s="427" t="str">
        <f t="shared" ca="1" si="35"/>
        <v/>
      </c>
      <c r="AA196" s="426" t="str">
        <f t="shared" ca="1" si="36"/>
        <v/>
      </c>
      <c r="AB196" s="428" t="str">
        <f t="shared" ca="1" si="37"/>
        <v/>
      </c>
      <c r="AC196" s="427" t="str">
        <f t="shared" ca="1" si="38"/>
        <v/>
      </c>
      <c r="AD196" s="79"/>
      <c r="AE196" s="496">
        <f t="shared" ca="1" si="40"/>
        <v>1.2872031852333901</v>
      </c>
      <c r="AF196" s="493">
        <f t="shared" ca="1" si="41"/>
        <v>1.6842870235633896</v>
      </c>
      <c r="AG196" s="493">
        <f t="shared" ca="1" si="39"/>
        <v>0</v>
      </c>
      <c r="AH196" s="498">
        <f t="shared" ca="1" si="42"/>
        <v>0</v>
      </c>
      <c r="AI196" s="497">
        <f t="shared" ca="1" si="43"/>
        <v>1.2872031852333901</v>
      </c>
      <c r="AJ196" s="493">
        <f t="shared" ca="1" si="44"/>
        <v>0.54992835753723457</v>
      </c>
      <c r="AK196" s="493">
        <f t="shared" ca="1" si="45"/>
        <v>0.73727482769615549</v>
      </c>
      <c r="AL196" s="498">
        <f t="shared" ca="1" si="46"/>
        <v>0</v>
      </c>
    </row>
    <row r="197" spans="1:38" customFormat="1" ht="1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568"/>
      <c r="O197" s="413"/>
      <c r="P197" s="413"/>
      <c r="Q197" s="413"/>
      <c r="R197" s="452"/>
      <c r="S197" s="443"/>
      <c r="T197" s="42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ca="1" si="34"/>
        <v/>
      </c>
      <c r="Z197" s="427" t="str">
        <f t="shared" ca="1" si="35"/>
        <v/>
      </c>
      <c r="AA197" s="426" t="str">
        <f t="shared" ca="1" si="36"/>
        <v/>
      </c>
      <c r="AB197" s="428" t="str">
        <f t="shared" ca="1" si="37"/>
        <v/>
      </c>
      <c r="AC197" s="427" t="str">
        <f t="shared" ca="1" si="38"/>
        <v/>
      </c>
      <c r="AD197" s="79"/>
      <c r="AE197" s="496">
        <f t="shared" ca="1" si="40"/>
        <v>1.28871256220629</v>
      </c>
      <c r="AF197" s="493">
        <f t="shared" ca="1" si="41"/>
        <v>1.6820678000471008</v>
      </c>
      <c r="AG197" s="493">
        <f t="shared" ca="1" si="39"/>
        <v>0</v>
      </c>
      <c r="AH197" s="498">
        <f t="shared" ca="1" si="42"/>
        <v>0</v>
      </c>
      <c r="AI197" s="497">
        <f t="shared" ca="1" si="43"/>
        <v>1.28871256220629</v>
      </c>
      <c r="AJ197" s="493">
        <f t="shared" ca="1" si="44"/>
        <v>0.5106186993544839</v>
      </c>
      <c r="AK197" s="493">
        <f t="shared" ca="1" si="45"/>
        <v>0.77809386285180615</v>
      </c>
      <c r="AL197" s="498">
        <f t="shared" ca="1" si="46"/>
        <v>0</v>
      </c>
    </row>
    <row r="198" spans="1:38" customFormat="1" ht="1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568"/>
      <c r="O198" s="413"/>
      <c r="P198" s="413"/>
      <c r="Q198" s="413"/>
      <c r="R198" s="452"/>
      <c r="S198" s="443"/>
      <c r="T198" s="42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ca="1" si="34"/>
        <v/>
      </c>
      <c r="Z198" s="427" t="str">
        <f t="shared" ca="1" si="35"/>
        <v/>
      </c>
      <c r="AA198" s="426" t="str">
        <f t="shared" ca="1" si="36"/>
        <v/>
      </c>
      <c r="AB198" s="428" t="str">
        <f t="shared" ca="1" si="37"/>
        <v/>
      </c>
      <c r="AC198" s="427" t="str">
        <f t="shared" ca="1" si="38"/>
        <v/>
      </c>
      <c r="AD198" s="79"/>
      <c r="AE198" s="496">
        <f t="shared" ca="1" si="40"/>
        <v>1.2881418971549501</v>
      </c>
      <c r="AF198" s="493">
        <f t="shared" ca="1" si="41"/>
        <v>1.6833525172396131</v>
      </c>
      <c r="AG198" s="493">
        <f t="shared" ca="1" si="39"/>
        <v>0</v>
      </c>
      <c r="AH198" s="498">
        <f t="shared" ca="1" si="42"/>
        <v>0</v>
      </c>
      <c r="AI198" s="497">
        <f t="shared" ca="1" si="43"/>
        <v>1.2881418971549501</v>
      </c>
      <c r="AJ198" s="493">
        <f t="shared" ca="1" si="44"/>
        <v>0.52851671274351486</v>
      </c>
      <c r="AK198" s="493">
        <f t="shared" ca="1" si="45"/>
        <v>0.75962518441143523</v>
      </c>
      <c r="AL198" s="498">
        <f t="shared" ca="1" si="46"/>
        <v>0</v>
      </c>
    </row>
    <row r="199" spans="1:38" customFormat="1" ht="1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568"/>
      <c r="O199" s="413"/>
      <c r="P199" s="413"/>
      <c r="Q199" s="413"/>
      <c r="R199" s="452"/>
      <c r="S199" s="443"/>
      <c r="T199" s="42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ca="1" si="34"/>
        <v/>
      </c>
      <c r="Z199" s="427" t="str">
        <f t="shared" ca="1" si="35"/>
        <v/>
      </c>
      <c r="AA199" s="426" t="str">
        <f t="shared" ca="1" si="36"/>
        <v/>
      </c>
      <c r="AB199" s="428" t="str">
        <f t="shared" ca="1" si="37"/>
        <v/>
      </c>
      <c r="AC199" s="427" t="str">
        <f t="shared" ca="1" si="38"/>
        <v/>
      </c>
      <c r="AD199" s="79"/>
      <c r="AE199" s="496">
        <f t="shared" ca="1" si="40"/>
        <v>1.28258488392416</v>
      </c>
      <c r="AF199" s="493">
        <f t="shared" ca="1" si="41"/>
        <v>1.6903977507729682</v>
      </c>
      <c r="AG199" s="493">
        <f t="shared" ca="1" si="39"/>
        <v>0</v>
      </c>
      <c r="AH199" s="498">
        <f t="shared" ca="1" si="42"/>
        <v>0</v>
      </c>
      <c r="AI199" s="497">
        <f t="shared" ca="1" si="43"/>
        <v>1.28258488392416</v>
      </c>
      <c r="AJ199" s="493">
        <f t="shared" ca="1" si="44"/>
        <v>0.6282414868678442</v>
      </c>
      <c r="AK199" s="493">
        <f t="shared" ca="1" si="45"/>
        <v>0.65434339705631583</v>
      </c>
      <c r="AL199" s="498">
        <f t="shared" ca="1" si="46"/>
        <v>0</v>
      </c>
    </row>
    <row r="200" spans="1:38" customFormat="1" ht="1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568"/>
      <c r="O200" s="413"/>
      <c r="P200" s="413"/>
      <c r="Q200" s="413"/>
      <c r="R200" s="452"/>
      <c r="S200" s="443"/>
      <c r="T200" s="42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ca="1" si="34"/>
        <v/>
      </c>
      <c r="Z200" s="427" t="str">
        <f t="shared" ca="1" si="35"/>
        <v/>
      </c>
      <c r="AA200" s="426" t="str">
        <f t="shared" ca="1" si="36"/>
        <v/>
      </c>
      <c r="AB200" s="428" t="str">
        <f t="shared" ca="1" si="37"/>
        <v/>
      </c>
      <c r="AC200" s="427" t="str">
        <f t="shared" ca="1" si="38"/>
        <v/>
      </c>
      <c r="AD200" s="79"/>
      <c r="AE200" s="496">
        <f t="shared" ca="1" si="40"/>
        <v>1.28798206845621</v>
      </c>
      <c r="AF200" s="493">
        <f t="shared" ca="1" si="41"/>
        <v>1.6836604265146196</v>
      </c>
      <c r="AG200" s="493">
        <f t="shared" ca="1" si="39"/>
        <v>0</v>
      </c>
      <c r="AH200" s="498">
        <f t="shared" ca="1" si="42"/>
        <v>0</v>
      </c>
      <c r="AI200" s="497">
        <f t="shared" ca="1" si="43"/>
        <v>1.28798206845621</v>
      </c>
      <c r="AJ200" s="493">
        <f t="shared" ca="1" si="44"/>
        <v>0.53276829040966567</v>
      </c>
      <c r="AK200" s="493">
        <f t="shared" ca="1" si="45"/>
        <v>0.75521377804654433</v>
      </c>
      <c r="AL200" s="498">
        <f t="shared" ca="1" si="46"/>
        <v>0</v>
      </c>
    </row>
    <row r="201" spans="1:38" customFormat="1" ht="1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568"/>
      <c r="O201" s="413"/>
      <c r="P201" s="413"/>
      <c r="Q201" s="413"/>
      <c r="R201" s="452"/>
      <c r="S201" s="443"/>
      <c r="T201" s="42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ca="1" si="34"/>
        <v/>
      </c>
      <c r="Z201" s="427" t="str">
        <f t="shared" ca="1" si="35"/>
        <v/>
      </c>
      <c r="AA201" s="426" t="str">
        <f t="shared" ca="1" si="36"/>
        <v/>
      </c>
      <c r="AB201" s="428" t="str">
        <f t="shared" ca="1" si="37"/>
        <v/>
      </c>
      <c r="AC201" s="427" t="str">
        <f t="shared" ca="1" si="38"/>
        <v/>
      </c>
      <c r="AD201" s="79"/>
      <c r="AE201" s="496">
        <f t="shared" ca="1" si="40"/>
        <v>1.2874177732083001</v>
      </c>
      <c r="AF201" s="493">
        <f t="shared" ca="1" si="41"/>
        <v>1.6844932508415928</v>
      </c>
      <c r="AG201" s="493">
        <f t="shared" ca="1" si="39"/>
        <v>0</v>
      </c>
      <c r="AH201" s="498">
        <f t="shared" ca="1" si="42"/>
        <v>0</v>
      </c>
      <c r="AI201" s="497">
        <f t="shared" ca="1" si="43"/>
        <v>1.2874177732083001</v>
      </c>
      <c r="AJ201" s="493">
        <f t="shared" ca="1" si="44"/>
        <v>0.54673635672900589</v>
      </c>
      <c r="AK201" s="493">
        <f t="shared" ca="1" si="45"/>
        <v>0.7406814164792942</v>
      </c>
      <c r="AL201" s="498">
        <f t="shared" ca="1" si="46"/>
        <v>0</v>
      </c>
    </row>
    <row r="202" spans="1:38" customFormat="1" ht="1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568"/>
      <c r="O202" s="413"/>
      <c r="P202" s="413"/>
      <c r="Q202" s="413"/>
      <c r="R202" s="452"/>
      <c r="S202" s="443"/>
      <c r="T202" s="42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ca="1" si="34"/>
        <v/>
      </c>
      <c r="Z202" s="427" t="str">
        <f t="shared" ca="1" si="35"/>
        <v/>
      </c>
      <c r="AA202" s="426" t="str">
        <f t="shared" ca="1" si="36"/>
        <v/>
      </c>
      <c r="AB202" s="428" t="str">
        <f t="shared" ca="1" si="37"/>
        <v/>
      </c>
      <c r="AC202" s="427" t="str">
        <f t="shared" ca="1" si="38"/>
        <v/>
      </c>
      <c r="AD202" s="79"/>
      <c r="AE202" s="496">
        <f t="shared" ca="1" si="40"/>
        <v>1.28919367364316</v>
      </c>
      <c r="AF202" s="493">
        <f t="shared" ca="1" si="41"/>
        <v>1.6816013942610699</v>
      </c>
      <c r="AG202" s="493">
        <f t="shared" ca="1" si="39"/>
        <v>0</v>
      </c>
      <c r="AH202" s="498">
        <f t="shared" ca="1" si="42"/>
        <v>0</v>
      </c>
      <c r="AI202" s="497">
        <f t="shared" ca="1" si="43"/>
        <v>1.28919367364316</v>
      </c>
      <c r="AJ202" s="493">
        <f t="shared" ca="1" si="44"/>
        <v>0.49615518965835603</v>
      </c>
      <c r="AK202" s="493">
        <f t="shared" ca="1" si="45"/>
        <v>0.79303848398480392</v>
      </c>
      <c r="AL202" s="498">
        <f t="shared" ca="1" si="46"/>
        <v>0</v>
      </c>
    </row>
    <row r="203" spans="1:38" customFormat="1" ht="1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568"/>
      <c r="O203" s="413"/>
      <c r="P203" s="413"/>
      <c r="Q203" s="413"/>
      <c r="R203" s="452"/>
      <c r="S203" s="443"/>
      <c r="T203" s="42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ca="1" si="34"/>
        <v/>
      </c>
      <c r="Z203" s="427" t="str">
        <f t="shared" ca="1" si="35"/>
        <v/>
      </c>
      <c r="AA203" s="426" t="str">
        <f t="shared" ca="1" si="36"/>
        <v/>
      </c>
      <c r="AB203" s="428" t="str">
        <f t="shared" ca="1" si="37"/>
        <v/>
      </c>
      <c r="AC203" s="427" t="str">
        <f t="shared" ca="1" si="38"/>
        <v/>
      </c>
      <c r="AD203" s="79"/>
      <c r="AE203" s="496">
        <f t="shared" ca="1" si="40"/>
        <v>1.28068645757731</v>
      </c>
      <c r="AF203" s="493">
        <f t="shared" ca="1" si="41"/>
        <v>1.6922368431540595</v>
      </c>
      <c r="AG203" s="493">
        <f t="shared" ca="1" si="39"/>
        <v>0</v>
      </c>
      <c r="AH203" s="498">
        <f t="shared" ca="1" si="42"/>
        <v>0</v>
      </c>
      <c r="AI203" s="497">
        <f t="shared" ca="1" si="43"/>
        <v>1.28068645757731</v>
      </c>
      <c r="AJ203" s="493">
        <f t="shared" ca="1" si="44"/>
        <v>0.64985839763817244</v>
      </c>
      <c r="AK203" s="493">
        <f t="shared" ca="1" si="45"/>
        <v>0.6308280599391376</v>
      </c>
      <c r="AL203" s="498">
        <f t="shared" ca="1" si="46"/>
        <v>0</v>
      </c>
    </row>
    <row r="204" spans="1:38" customFormat="1" ht="1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568"/>
      <c r="O204" s="413"/>
      <c r="P204" s="413"/>
      <c r="Q204" s="413"/>
      <c r="R204" s="452"/>
      <c r="S204" s="443"/>
      <c r="T204" s="42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ca="1" si="34"/>
        <v/>
      </c>
      <c r="Z204" s="427" t="str">
        <f t="shared" ca="1" si="35"/>
        <v/>
      </c>
      <c r="AA204" s="426" t="str">
        <f t="shared" ca="1" si="36"/>
        <v/>
      </c>
      <c r="AB204" s="428" t="str">
        <f t="shared" ca="1" si="37"/>
        <v/>
      </c>
      <c r="AC204" s="427" t="str">
        <f t="shared" ca="1" si="38"/>
        <v/>
      </c>
      <c r="AD204" s="79"/>
      <c r="AE204" s="496">
        <f t="shared" ca="1" si="40"/>
        <v>1.285245817753</v>
      </c>
      <c r="AF204" s="493">
        <f t="shared" ca="1" si="41"/>
        <v>1.6874579052417551</v>
      </c>
      <c r="AG204" s="493">
        <f t="shared" ca="1" si="39"/>
        <v>0</v>
      </c>
      <c r="AH204" s="498">
        <f t="shared" ca="1" si="42"/>
        <v>0</v>
      </c>
      <c r="AI204" s="497">
        <f t="shared" ca="1" si="43"/>
        <v>1.285245817753</v>
      </c>
      <c r="AJ204" s="493">
        <f t="shared" ca="1" si="44"/>
        <v>0.58987385978760132</v>
      </c>
      <c r="AK204" s="493">
        <f t="shared" ca="1" si="45"/>
        <v>0.69537195796539863</v>
      </c>
      <c r="AL204" s="498">
        <f t="shared" ca="1" si="46"/>
        <v>0</v>
      </c>
    </row>
    <row r="205" spans="1:38" customFormat="1" ht="1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568"/>
      <c r="O205" s="413"/>
      <c r="P205" s="413"/>
      <c r="Q205" s="413"/>
      <c r="R205" s="452"/>
      <c r="S205" s="443"/>
      <c r="T205" s="42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ca="1" si="34"/>
        <v/>
      </c>
      <c r="Z205" s="427" t="str">
        <f t="shared" ca="1" si="35"/>
        <v/>
      </c>
      <c r="AA205" s="426" t="str">
        <f t="shared" ca="1" si="36"/>
        <v/>
      </c>
      <c r="AB205" s="428" t="str">
        <f t="shared" ca="1" si="37"/>
        <v/>
      </c>
      <c r="AC205" s="427" t="str">
        <f t="shared" ca="1" si="38"/>
        <v/>
      </c>
      <c r="AD205" s="79"/>
      <c r="AE205" s="496">
        <f t="shared" ca="1" si="40"/>
        <v>1.2886890174189001</v>
      </c>
      <c r="AF205" s="493">
        <f t="shared" ca="1" si="41"/>
        <v>1.682499012370374</v>
      </c>
      <c r="AG205" s="493">
        <f t="shared" ca="1" si="39"/>
        <v>0</v>
      </c>
      <c r="AH205" s="498">
        <f t="shared" ca="1" si="42"/>
        <v>0</v>
      </c>
      <c r="AI205" s="497">
        <f t="shared" ca="1" si="43"/>
        <v>1.2886890174189001</v>
      </c>
      <c r="AJ205" s="493">
        <f t="shared" ca="1" si="44"/>
        <v>0.51270957366206493</v>
      </c>
      <c r="AK205" s="493">
        <f t="shared" ca="1" si="45"/>
        <v>0.77597944375683514</v>
      </c>
      <c r="AL205" s="498">
        <f t="shared" ca="1" si="46"/>
        <v>0</v>
      </c>
    </row>
    <row r="206" spans="1:38" customFormat="1" ht="1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568"/>
      <c r="O206" s="413"/>
      <c r="P206" s="413"/>
      <c r="Q206" s="413"/>
      <c r="R206" s="452"/>
      <c r="S206" s="443"/>
      <c r="T206" s="42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ca="1" si="34"/>
        <v/>
      </c>
      <c r="Z206" s="427" t="str">
        <f t="shared" ca="1" si="35"/>
        <v/>
      </c>
      <c r="AA206" s="426" t="str">
        <f t="shared" ca="1" si="36"/>
        <v/>
      </c>
      <c r="AB206" s="428" t="str">
        <f t="shared" ca="1" si="37"/>
        <v/>
      </c>
      <c r="AC206" s="427" t="str">
        <f t="shared" ca="1" si="38"/>
        <v/>
      </c>
      <c r="AD206" s="79"/>
      <c r="AE206" s="496">
        <f t="shared" ca="1" si="40"/>
        <v>1.28741411967715</v>
      </c>
      <c r="AF206" s="493">
        <f t="shared" ca="1" si="41"/>
        <v>1.6844905923003797</v>
      </c>
      <c r="AG206" s="493">
        <f t="shared" ca="1" si="39"/>
        <v>0</v>
      </c>
      <c r="AH206" s="498">
        <f t="shared" ca="1" si="42"/>
        <v>0</v>
      </c>
      <c r="AI206" s="497">
        <f t="shared" ca="1" si="43"/>
        <v>1.28741411967715</v>
      </c>
      <c r="AJ206" s="493">
        <f t="shared" ca="1" si="44"/>
        <v>0.54689551766186661</v>
      </c>
      <c r="AK206" s="493">
        <f t="shared" ca="1" si="45"/>
        <v>0.74051860201528341</v>
      </c>
      <c r="AL206" s="498">
        <f t="shared" ca="1" si="46"/>
        <v>0</v>
      </c>
    </row>
    <row r="207" spans="1:38" customFormat="1" ht="1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568"/>
      <c r="O207" s="413"/>
      <c r="P207" s="413"/>
      <c r="Q207" s="413"/>
      <c r="R207" s="452"/>
      <c r="S207" s="443"/>
      <c r="T207" s="42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ca="1" si="34"/>
        <v/>
      </c>
      <c r="Z207" s="427" t="str">
        <f t="shared" ca="1" si="35"/>
        <v/>
      </c>
      <c r="AA207" s="426" t="str">
        <f t="shared" ca="1" si="36"/>
        <v/>
      </c>
      <c r="AB207" s="428" t="str">
        <f t="shared" ca="1" si="37"/>
        <v/>
      </c>
      <c r="AC207" s="427" t="str">
        <f t="shared" ca="1" si="38"/>
        <v/>
      </c>
      <c r="AD207" s="79"/>
      <c r="AE207" s="496">
        <f t="shared" ca="1" si="40"/>
        <v>1.2851314515534999</v>
      </c>
      <c r="AF207" s="493">
        <f t="shared" ca="1" si="41"/>
        <v>1.6873419107212513</v>
      </c>
      <c r="AG207" s="493">
        <f t="shared" ca="1" si="39"/>
        <v>0</v>
      </c>
      <c r="AH207" s="498">
        <f t="shared" ca="1" si="42"/>
        <v>0</v>
      </c>
      <c r="AI207" s="497">
        <f t="shared" ca="1" si="43"/>
        <v>1.2851314515534999</v>
      </c>
      <c r="AJ207" s="493">
        <f t="shared" ca="1" si="44"/>
        <v>0.59159630356037041</v>
      </c>
      <c r="AK207" s="493">
        <f t="shared" ca="1" si="45"/>
        <v>0.69353514799312954</v>
      </c>
      <c r="AL207" s="498">
        <f t="shared" ca="1" si="46"/>
        <v>0</v>
      </c>
    </row>
    <row r="208" spans="1:38" customFormat="1" ht="1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568"/>
      <c r="O208" s="413"/>
      <c r="P208" s="413"/>
      <c r="Q208" s="413"/>
      <c r="R208" s="452"/>
      <c r="S208" s="443"/>
      <c r="T208" s="42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ca="1" si="47">IF($U$12,IF(T208="","",$U$13*D232/$C$18),"")</f>
        <v/>
      </c>
      <c r="Z208" s="427" t="str">
        <f t="shared" ref="Z208:Z271" ca="1" si="48">IF($U$12,IF(Y208="","",Y208*($Z$10-W208)*X208),"")</f>
        <v/>
      </c>
      <c r="AA208" s="426" t="str">
        <f t="shared" ref="AA208:AA271" ca="1" si="49">IF($U$12,IF(OR(T208="",L208=""),"",L208/($C$20-$C$19)),"")</f>
        <v/>
      </c>
      <c r="AB208" s="428" t="str">
        <f t="shared" ref="AB208:AB271" ca="1" si="50">IF($U$12,IF(W208="","",W208*$AC$10),"")</f>
        <v/>
      </c>
      <c r="AC208" s="427" t="str">
        <f t="shared" ref="AC208:AC271" ca="1" si="51">IF($U$12,IF(AA208="","",AA208*(AB208-W208)*X208),"")</f>
        <v/>
      </c>
      <c r="AD208" s="79"/>
      <c r="AE208" s="496">
        <f t="shared" ca="1" si="40"/>
        <v>1.2901445684286601</v>
      </c>
      <c r="AF208" s="493">
        <f t="shared" ca="1" si="41"/>
        <v>1.6797448520007847</v>
      </c>
      <c r="AG208" s="493">
        <f t="shared" ca="1" si="39"/>
        <v>0</v>
      </c>
      <c r="AH208" s="498">
        <f t="shared" ca="1" si="42"/>
        <v>0</v>
      </c>
      <c r="AI208" s="497">
        <f t="shared" ca="1" si="43"/>
        <v>1.2901445684286601</v>
      </c>
      <c r="AJ208" s="493">
        <f t="shared" ca="1" si="44"/>
        <v>0.4573819784566498</v>
      </c>
      <c r="AK208" s="493">
        <f t="shared" ca="1" si="45"/>
        <v>0.83276258997201036</v>
      </c>
      <c r="AL208" s="498">
        <f t="shared" ca="1" si="46"/>
        <v>0</v>
      </c>
    </row>
    <row r="209" spans="1:38" customFormat="1" ht="1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568"/>
      <c r="O209" s="413"/>
      <c r="P209" s="413"/>
      <c r="Q209" s="413"/>
      <c r="R209" s="452"/>
      <c r="S209" s="443"/>
      <c r="T209" s="42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ca="1" si="47"/>
        <v/>
      </c>
      <c r="Z209" s="427" t="str">
        <f t="shared" ca="1" si="48"/>
        <v/>
      </c>
      <c r="AA209" s="426" t="str">
        <f t="shared" ca="1" si="49"/>
        <v/>
      </c>
      <c r="AB209" s="428" t="str">
        <f t="shared" ca="1" si="50"/>
        <v/>
      </c>
      <c r="AC209" s="427" t="str">
        <f t="shared" ca="1" si="51"/>
        <v/>
      </c>
      <c r="AD209" s="79"/>
      <c r="AE209" s="496">
        <f t="shared" ca="1" si="40"/>
        <v>1.28619295012533</v>
      </c>
      <c r="AF209" s="493">
        <f t="shared" ca="1" si="41"/>
        <v>1.685603633998346</v>
      </c>
      <c r="AG209" s="493">
        <f t="shared" ca="1" si="39"/>
        <v>0</v>
      </c>
      <c r="AH209" s="498">
        <f t="shared" ca="1" si="42"/>
        <v>0</v>
      </c>
      <c r="AI209" s="497">
        <f t="shared" ca="1" si="43"/>
        <v>1.28619295012533</v>
      </c>
      <c r="AJ209" s="493">
        <f t="shared" ca="1" si="44"/>
        <v>0.57083956460514207</v>
      </c>
      <c r="AK209" s="493">
        <f t="shared" ca="1" si="45"/>
        <v>0.7153533855201879</v>
      </c>
      <c r="AL209" s="498">
        <f t="shared" ca="1" si="46"/>
        <v>0</v>
      </c>
    </row>
    <row r="210" spans="1:38" customFormat="1" ht="1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568"/>
      <c r="O210" s="413"/>
      <c r="P210" s="413"/>
      <c r="Q210" s="413"/>
      <c r="R210" s="452"/>
      <c r="S210" s="443"/>
      <c r="T210" s="42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ca="1" si="47"/>
        <v/>
      </c>
      <c r="Z210" s="427" t="str">
        <f t="shared" ca="1" si="48"/>
        <v/>
      </c>
      <c r="AA210" s="426" t="str">
        <f t="shared" ca="1" si="49"/>
        <v/>
      </c>
      <c r="AB210" s="428" t="str">
        <f t="shared" ca="1" si="50"/>
        <v/>
      </c>
      <c r="AC210" s="427" t="str">
        <f t="shared" ca="1" si="51"/>
        <v/>
      </c>
      <c r="AD210" s="79"/>
      <c r="AE210" s="496">
        <f t="shared" ca="1" si="40"/>
        <v>1.29010749532532</v>
      </c>
      <c r="AF210" s="493">
        <f t="shared" ca="1" si="41"/>
        <v>1.6797131599072894</v>
      </c>
      <c r="AG210" s="493">
        <f t="shared" ca="1" si="39"/>
        <v>0</v>
      </c>
      <c r="AH210" s="498">
        <f t="shared" ca="1" si="42"/>
        <v>0</v>
      </c>
      <c r="AI210" s="497">
        <f t="shared" ca="1" si="43"/>
        <v>1.29010749532532</v>
      </c>
      <c r="AJ210" s="493">
        <f t="shared" ca="1" si="44"/>
        <v>0.45905535231635253</v>
      </c>
      <c r="AK210" s="493">
        <f t="shared" ca="1" si="45"/>
        <v>0.83105214300896746</v>
      </c>
      <c r="AL210" s="498">
        <f t="shared" ca="1" si="46"/>
        <v>0</v>
      </c>
    </row>
    <row r="211" spans="1:38" customFormat="1" ht="1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568"/>
      <c r="O211" s="413"/>
      <c r="P211" s="413"/>
      <c r="Q211" s="413"/>
      <c r="R211" s="452"/>
      <c r="S211" s="443"/>
      <c r="T211" s="42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ca="1" si="47"/>
        <v/>
      </c>
      <c r="Z211" s="427" t="str">
        <f t="shared" ca="1" si="48"/>
        <v/>
      </c>
      <c r="AA211" s="426" t="str">
        <f t="shared" ca="1" si="49"/>
        <v/>
      </c>
      <c r="AB211" s="428" t="str">
        <f t="shared" ca="1" si="50"/>
        <v/>
      </c>
      <c r="AC211" s="427" t="str">
        <f t="shared" ca="1" si="51"/>
        <v/>
      </c>
      <c r="AD211" s="79"/>
      <c r="AE211" s="496">
        <f t="shared" ca="1" si="40"/>
        <v>1.2841691512676601</v>
      </c>
      <c r="AF211" s="493">
        <f t="shared" ca="1" si="41"/>
        <v>1.6887148134236831</v>
      </c>
      <c r="AG211" s="493">
        <f t="shared" ca="1" si="39"/>
        <v>0</v>
      </c>
      <c r="AH211" s="498">
        <f t="shared" ca="1" si="42"/>
        <v>0</v>
      </c>
      <c r="AI211" s="497">
        <f t="shared" ca="1" si="43"/>
        <v>1.2841691512676601</v>
      </c>
      <c r="AJ211" s="493">
        <f t="shared" ca="1" si="44"/>
        <v>0.60688310713864124</v>
      </c>
      <c r="AK211" s="493">
        <f t="shared" ca="1" si="45"/>
        <v>0.67728604412901883</v>
      </c>
      <c r="AL211" s="498">
        <f t="shared" ca="1" si="46"/>
        <v>0</v>
      </c>
    </row>
    <row r="212" spans="1:38" customFormat="1" ht="1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568"/>
      <c r="O212" s="413"/>
      <c r="P212" s="413"/>
      <c r="Q212" s="413"/>
      <c r="R212" s="452"/>
      <c r="S212" s="443"/>
      <c r="T212" s="42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ca="1" si="47"/>
        <v/>
      </c>
      <c r="Z212" s="427" t="str">
        <f t="shared" ca="1" si="48"/>
        <v/>
      </c>
      <c r="AA212" s="426" t="str">
        <f t="shared" ca="1" si="49"/>
        <v/>
      </c>
      <c r="AB212" s="428" t="str">
        <f t="shared" ca="1" si="50"/>
        <v/>
      </c>
      <c r="AC212" s="427" t="str">
        <f t="shared" ca="1" si="51"/>
        <v/>
      </c>
      <c r="AD212" s="79"/>
      <c r="AE212" s="496">
        <f t="shared" ca="1" si="40"/>
        <v>1.29028932598405</v>
      </c>
      <c r="AF212" s="493">
        <f t="shared" ca="1" si="41"/>
        <v>1.6794202499272937</v>
      </c>
      <c r="AG212" s="493">
        <f t="shared" ca="1" si="39"/>
        <v>0</v>
      </c>
      <c r="AH212" s="498">
        <f t="shared" ca="1" si="42"/>
        <v>0</v>
      </c>
      <c r="AI212" s="497">
        <f t="shared" ca="1" si="43"/>
        <v>1.29028932598405</v>
      </c>
      <c r="AJ212" s="493">
        <f t="shared" ca="1" si="44"/>
        <v>0.45024116250630158</v>
      </c>
      <c r="AK212" s="493">
        <f t="shared" ca="1" si="45"/>
        <v>0.84004816347774836</v>
      </c>
      <c r="AL212" s="498">
        <f t="shared" ca="1" si="46"/>
        <v>0</v>
      </c>
    </row>
    <row r="213" spans="1:38" customFormat="1" ht="1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568"/>
      <c r="O213" s="413"/>
      <c r="P213" s="413"/>
      <c r="Q213" s="413"/>
      <c r="R213" s="452"/>
      <c r="S213" s="443"/>
      <c r="T213" s="42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ca="1" si="47"/>
        <v/>
      </c>
      <c r="Z213" s="427" t="str">
        <f t="shared" ca="1" si="48"/>
        <v/>
      </c>
      <c r="AA213" s="426" t="str">
        <f t="shared" ca="1" si="49"/>
        <v/>
      </c>
      <c r="AB213" s="428" t="str">
        <f t="shared" ca="1" si="50"/>
        <v/>
      </c>
      <c r="AC213" s="427" t="str">
        <f t="shared" ca="1" si="51"/>
        <v/>
      </c>
      <c r="AD213" s="79"/>
      <c r="AE213" s="496">
        <f t="shared" ca="1" si="40"/>
        <v>1.29027849380448</v>
      </c>
      <c r="AF213" s="493">
        <f t="shared" ca="1" si="41"/>
        <v>1.6794125647986682</v>
      </c>
      <c r="AG213" s="493">
        <f t="shared" ca="1" si="39"/>
        <v>0</v>
      </c>
      <c r="AH213" s="498">
        <f t="shared" ca="1" si="42"/>
        <v>0</v>
      </c>
      <c r="AI213" s="497">
        <f t="shared" ca="1" si="43"/>
        <v>1.29027849380448</v>
      </c>
      <c r="AJ213" s="493">
        <f t="shared" ca="1" si="44"/>
        <v>0.45078206000818311</v>
      </c>
      <c r="AK213" s="493">
        <f t="shared" ca="1" si="45"/>
        <v>0.8394964337962969</v>
      </c>
      <c r="AL213" s="498">
        <f t="shared" ca="1" si="46"/>
        <v>0</v>
      </c>
    </row>
    <row r="214" spans="1:38" customFormat="1" ht="1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568"/>
      <c r="O214" s="413"/>
      <c r="P214" s="413"/>
      <c r="Q214" s="413"/>
      <c r="R214" s="452"/>
      <c r="S214" s="443"/>
      <c r="T214" s="42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ca="1" si="47"/>
        <v/>
      </c>
      <c r="Z214" s="427" t="str">
        <f t="shared" ca="1" si="48"/>
        <v/>
      </c>
      <c r="AA214" s="426" t="str">
        <f t="shared" ca="1" si="49"/>
        <v/>
      </c>
      <c r="AB214" s="428" t="str">
        <f t="shared" ca="1" si="50"/>
        <v/>
      </c>
      <c r="AC214" s="427" t="str">
        <f t="shared" ca="1" si="51"/>
        <v/>
      </c>
      <c r="AD214" s="79"/>
      <c r="AE214" s="496">
        <f t="shared" ca="1" si="40"/>
        <v>1.28881969548718</v>
      </c>
      <c r="AF214" s="493">
        <f t="shared" ca="1" si="41"/>
        <v>1.6821669134967157</v>
      </c>
      <c r="AG214" s="493">
        <f t="shared" ca="1" si="39"/>
        <v>0</v>
      </c>
      <c r="AH214" s="498">
        <f t="shared" ca="1" si="42"/>
        <v>0</v>
      </c>
      <c r="AI214" s="497">
        <f t="shared" ca="1" si="43"/>
        <v>1.28881969548718</v>
      </c>
      <c r="AJ214" s="493">
        <f t="shared" ca="1" si="44"/>
        <v>0.5085359948338487</v>
      </c>
      <c r="AK214" s="493">
        <f t="shared" ca="1" si="45"/>
        <v>0.7802837006533313</v>
      </c>
      <c r="AL214" s="498">
        <f t="shared" ca="1" si="46"/>
        <v>0</v>
      </c>
    </row>
    <row r="215" spans="1:38" customFormat="1" ht="1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568"/>
      <c r="O215" s="413"/>
      <c r="P215" s="413"/>
      <c r="Q215" s="413"/>
      <c r="R215" s="452"/>
      <c r="S215" s="443"/>
      <c r="T215" s="42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ca="1" si="47"/>
        <v/>
      </c>
      <c r="Z215" s="427" t="str">
        <f t="shared" ca="1" si="48"/>
        <v/>
      </c>
      <c r="AA215" s="426" t="str">
        <f t="shared" ca="1" si="49"/>
        <v/>
      </c>
      <c r="AB215" s="428" t="str">
        <f t="shared" ca="1" si="50"/>
        <v/>
      </c>
      <c r="AC215" s="427" t="str">
        <f t="shared" ca="1" si="51"/>
        <v/>
      </c>
      <c r="AD215" s="79"/>
      <c r="AE215" s="496">
        <f t="shared" ca="1" si="40"/>
        <v>1.2901445684286601</v>
      </c>
      <c r="AF215" s="493">
        <f t="shared" ca="1" si="41"/>
        <v>1.6797448520007847</v>
      </c>
      <c r="AG215" s="493">
        <f t="shared" ca="1" si="39"/>
        <v>0</v>
      </c>
      <c r="AH215" s="498">
        <f t="shared" ca="1" si="42"/>
        <v>0</v>
      </c>
      <c r="AI215" s="497">
        <f t="shared" ca="1" si="43"/>
        <v>1.2901445684286601</v>
      </c>
      <c r="AJ215" s="493">
        <f t="shared" ca="1" si="44"/>
        <v>0.4573819784566498</v>
      </c>
      <c r="AK215" s="493">
        <f t="shared" ca="1" si="45"/>
        <v>0.83276258997201036</v>
      </c>
      <c r="AL215" s="498">
        <f t="shared" ca="1" si="46"/>
        <v>0</v>
      </c>
    </row>
    <row r="216" spans="1:38" customFormat="1" ht="1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568"/>
      <c r="O216" s="413"/>
      <c r="P216" s="413"/>
      <c r="Q216" s="413"/>
      <c r="R216" s="452"/>
      <c r="S216" s="443"/>
      <c r="T216" s="42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ca="1" si="47"/>
        <v/>
      </c>
      <c r="Z216" s="427" t="str">
        <f t="shared" ca="1" si="48"/>
        <v/>
      </c>
      <c r="AA216" s="426" t="str">
        <f t="shared" ca="1" si="49"/>
        <v/>
      </c>
      <c r="AB216" s="428" t="str">
        <f t="shared" ca="1" si="50"/>
        <v/>
      </c>
      <c r="AC216" s="427" t="str">
        <f t="shared" ca="1" si="51"/>
        <v/>
      </c>
      <c r="AD216" s="79"/>
      <c r="AE216" s="496">
        <f t="shared" ca="1" si="40"/>
        <v>1.2862809459314299</v>
      </c>
      <c r="AF216" s="493">
        <f t="shared" ca="1" si="41"/>
        <v>1.6861567605758727</v>
      </c>
      <c r="AG216" s="493">
        <f t="shared" ca="1" si="39"/>
        <v>0</v>
      </c>
      <c r="AH216" s="498">
        <f t="shared" ca="1" si="42"/>
        <v>0</v>
      </c>
      <c r="AI216" s="497">
        <f t="shared" ca="1" si="43"/>
        <v>1.2862809459314299</v>
      </c>
      <c r="AJ216" s="493">
        <f t="shared" ca="1" si="44"/>
        <v>0.57109623496212869</v>
      </c>
      <c r="AK216" s="493">
        <f t="shared" ca="1" si="45"/>
        <v>0.71518471096930125</v>
      </c>
      <c r="AL216" s="498">
        <f t="shared" ca="1" si="46"/>
        <v>0</v>
      </c>
    </row>
    <row r="217" spans="1:38" customFormat="1" ht="1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568"/>
      <c r="O217" s="413"/>
      <c r="P217" s="413"/>
      <c r="Q217" s="413"/>
      <c r="R217" s="452"/>
      <c r="S217" s="443"/>
      <c r="T217" s="42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ca="1" si="47"/>
        <v/>
      </c>
      <c r="Z217" s="427" t="str">
        <f t="shared" ca="1" si="48"/>
        <v/>
      </c>
      <c r="AA217" s="426" t="str">
        <f t="shared" ca="1" si="49"/>
        <v/>
      </c>
      <c r="AB217" s="428" t="str">
        <f t="shared" ca="1" si="50"/>
        <v/>
      </c>
      <c r="AC217" s="427" t="str">
        <f t="shared" ca="1" si="51"/>
        <v/>
      </c>
      <c r="AD217" s="79"/>
      <c r="AE217" s="496">
        <f t="shared" ca="1" si="40"/>
        <v>1.28936817455735</v>
      </c>
      <c r="AF217" s="493">
        <f t="shared" ca="1" si="41"/>
        <v>1.6813080470130251</v>
      </c>
      <c r="AG217" s="493">
        <f t="shared" ca="1" si="39"/>
        <v>0</v>
      </c>
      <c r="AH217" s="498">
        <f t="shared" ca="1" si="42"/>
        <v>0</v>
      </c>
      <c r="AI217" s="497">
        <f t="shared" ca="1" si="43"/>
        <v>1.28936817455735</v>
      </c>
      <c r="AJ217" s="493">
        <f t="shared" ca="1" si="44"/>
        <v>0.48984709262909798</v>
      </c>
      <c r="AK217" s="493">
        <f t="shared" ca="1" si="45"/>
        <v>0.799521081928252</v>
      </c>
      <c r="AL217" s="498">
        <f t="shared" ca="1" si="46"/>
        <v>0</v>
      </c>
    </row>
    <row r="218" spans="1:38" customFormat="1" ht="1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568"/>
      <c r="O218" s="413"/>
      <c r="P218" s="413"/>
      <c r="Q218" s="413"/>
      <c r="R218" s="452"/>
      <c r="S218" s="443"/>
      <c r="T218" s="42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ca="1" si="47"/>
        <v/>
      </c>
      <c r="Z218" s="427" t="str">
        <f t="shared" ca="1" si="48"/>
        <v/>
      </c>
      <c r="AA218" s="426" t="str">
        <f t="shared" ca="1" si="49"/>
        <v/>
      </c>
      <c r="AB218" s="428" t="str">
        <f t="shared" ca="1" si="50"/>
        <v/>
      </c>
      <c r="AC218" s="427" t="str">
        <f t="shared" ca="1" si="51"/>
        <v/>
      </c>
      <c r="AD218" s="79"/>
      <c r="AE218" s="496">
        <f t="shared" ca="1" si="40"/>
        <v>1.28506486157973</v>
      </c>
      <c r="AF218" s="493">
        <f t="shared" ca="1" si="41"/>
        <v>1.687742132253321</v>
      </c>
      <c r="AG218" s="493">
        <f t="shared" ca="1" si="39"/>
        <v>0</v>
      </c>
      <c r="AH218" s="498">
        <f t="shared" ca="1" si="42"/>
        <v>0</v>
      </c>
      <c r="AI218" s="497">
        <f t="shared" ca="1" si="43"/>
        <v>1.28506486157973</v>
      </c>
      <c r="AJ218" s="493">
        <f t="shared" ca="1" si="44"/>
        <v>0.59285938200930299</v>
      </c>
      <c r="AK218" s="493">
        <f t="shared" ca="1" si="45"/>
        <v>0.692205479570427</v>
      </c>
      <c r="AL218" s="498">
        <f t="shared" ca="1" si="46"/>
        <v>0</v>
      </c>
    </row>
    <row r="219" spans="1:38" customFormat="1" ht="1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568"/>
      <c r="O219" s="413"/>
      <c r="P219" s="413"/>
      <c r="Q219" s="413"/>
      <c r="R219" s="452"/>
      <c r="S219" s="443"/>
      <c r="T219" s="42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ca="1" si="47"/>
        <v/>
      </c>
      <c r="Z219" s="427" t="str">
        <f t="shared" ca="1" si="48"/>
        <v/>
      </c>
      <c r="AA219" s="426" t="str">
        <f t="shared" ca="1" si="49"/>
        <v/>
      </c>
      <c r="AB219" s="428" t="str">
        <f t="shared" ca="1" si="50"/>
        <v/>
      </c>
      <c r="AC219" s="427" t="str">
        <f t="shared" ca="1" si="51"/>
        <v/>
      </c>
      <c r="AD219" s="79"/>
      <c r="AE219" s="496">
        <f t="shared" ca="1" si="40"/>
        <v>1.28948141335538</v>
      </c>
      <c r="AF219" s="493">
        <f t="shared" ca="1" si="41"/>
        <v>1.6809594265599517</v>
      </c>
      <c r="AG219" s="493">
        <f t="shared" ca="1" si="39"/>
        <v>0</v>
      </c>
      <c r="AH219" s="498">
        <f t="shared" ca="1" si="42"/>
        <v>0</v>
      </c>
      <c r="AI219" s="497">
        <f t="shared" ca="1" si="43"/>
        <v>1.28948141335538</v>
      </c>
      <c r="AJ219" s="493">
        <f t="shared" ca="1" si="44"/>
        <v>0.48553282196091058</v>
      </c>
      <c r="AK219" s="493">
        <f t="shared" ca="1" si="45"/>
        <v>0.8039485913944695</v>
      </c>
      <c r="AL219" s="498">
        <f t="shared" ca="1" si="46"/>
        <v>0</v>
      </c>
    </row>
    <row r="220" spans="1:38" customFormat="1" ht="1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568"/>
      <c r="O220" s="413"/>
      <c r="P220" s="413"/>
      <c r="Q220" s="413"/>
      <c r="R220" s="452"/>
      <c r="S220" s="443"/>
      <c r="T220" s="42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ca="1" si="47"/>
        <v/>
      </c>
      <c r="Z220" s="427" t="str">
        <f t="shared" ca="1" si="48"/>
        <v/>
      </c>
      <c r="AA220" s="426" t="str">
        <f t="shared" ca="1" si="49"/>
        <v/>
      </c>
      <c r="AB220" s="428" t="str">
        <f t="shared" ca="1" si="50"/>
        <v/>
      </c>
      <c r="AC220" s="427" t="str">
        <f t="shared" ca="1" si="51"/>
        <v/>
      </c>
      <c r="AD220" s="79"/>
      <c r="AE220" s="496">
        <f t="shared" ca="1" si="40"/>
        <v>1.2865111586436999</v>
      </c>
      <c r="AF220" s="493">
        <f t="shared" ca="1" si="41"/>
        <v>1.6859173597899348</v>
      </c>
      <c r="AG220" s="493">
        <f t="shared" ca="1" si="39"/>
        <v>0</v>
      </c>
      <c r="AH220" s="498">
        <f t="shared" ca="1" si="42"/>
        <v>0</v>
      </c>
      <c r="AI220" s="497">
        <f t="shared" ca="1" si="43"/>
        <v>1.2865111586436999</v>
      </c>
      <c r="AJ220" s="493">
        <f t="shared" ca="1" si="44"/>
        <v>0.56639489701432499</v>
      </c>
      <c r="AK220" s="493">
        <f t="shared" ca="1" si="45"/>
        <v>0.72011626162937492</v>
      </c>
      <c r="AL220" s="498">
        <f t="shared" ca="1" si="46"/>
        <v>0</v>
      </c>
    </row>
    <row r="221" spans="1:38" customFormat="1" ht="15.75" thickBot="1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568"/>
      <c r="O221" s="413"/>
      <c r="P221" s="413"/>
      <c r="Q221" s="413"/>
      <c r="R221" s="452"/>
      <c r="S221" s="443"/>
      <c r="T221" s="42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ca="1" si="47"/>
        <v/>
      </c>
      <c r="Z221" s="427" t="str">
        <f t="shared" ca="1" si="48"/>
        <v/>
      </c>
      <c r="AA221" s="426" t="str">
        <f t="shared" ca="1" si="49"/>
        <v/>
      </c>
      <c r="AB221" s="428" t="str">
        <f t="shared" ca="1" si="50"/>
        <v/>
      </c>
      <c r="AC221" s="427" t="str">
        <f t="shared" ca="1" si="51"/>
        <v/>
      </c>
      <c r="AD221" s="79"/>
      <c r="AE221" s="512">
        <f t="shared" ca="1" si="40"/>
        <v>1.2879727989929699</v>
      </c>
      <c r="AF221" s="505">
        <f t="shared" ca="1" si="41"/>
        <v>1.6831923833008242</v>
      </c>
      <c r="AG221" s="505">
        <f t="shared" ca="1" si="39"/>
        <v>0</v>
      </c>
      <c r="AH221" s="501">
        <f t="shared" ca="1" si="42"/>
        <v>0</v>
      </c>
      <c r="AI221" s="505">
        <f t="shared" ca="1" si="43"/>
        <v>1.2879727989929699</v>
      </c>
      <c r="AJ221" s="505">
        <f t="shared" ca="1" si="44"/>
        <v>0.53127014722308818</v>
      </c>
      <c r="AK221" s="505">
        <f t="shared" ca="1" si="45"/>
        <v>0.75670265176988172</v>
      </c>
      <c r="AL221" s="501">
        <f t="shared" ca="1" si="46"/>
        <v>0</v>
      </c>
    </row>
    <row r="222" spans="1:38" customFormat="1" ht="1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568"/>
      <c r="O222" s="413"/>
      <c r="P222" s="413"/>
      <c r="Q222" s="413"/>
      <c r="R222" s="452"/>
      <c r="S222" s="443"/>
      <c r="T222" s="42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ca="1" si="47"/>
        <v/>
      </c>
      <c r="Z222" s="427" t="str">
        <f t="shared" ca="1" si="48"/>
        <v/>
      </c>
      <c r="AA222" s="426" t="str">
        <f t="shared" ca="1" si="49"/>
        <v/>
      </c>
      <c r="AB222" s="428" t="str">
        <f t="shared" ca="1" si="50"/>
        <v/>
      </c>
      <c r="AC222" s="427" t="str">
        <f t="shared" ca="1" si="51"/>
        <v/>
      </c>
      <c r="AD222" s="79"/>
    </row>
    <row r="223" spans="1:38" customFormat="1" ht="1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568"/>
      <c r="O223" s="413"/>
      <c r="P223" s="413"/>
      <c r="Q223" s="413"/>
      <c r="R223" s="452"/>
      <c r="S223" s="443"/>
      <c r="T223" s="42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ca="1" si="47"/>
        <v/>
      </c>
      <c r="Z223" s="427" t="str">
        <f t="shared" ca="1" si="48"/>
        <v/>
      </c>
      <c r="AA223" s="426" t="str">
        <f t="shared" ca="1" si="49"/>
        <v/>
      </c>
      <c r="AB223" s="428" t="str">
        <f t="shared" ca="1" si="50"/>
        <v/>
      </c>
      <c r="AC223" s="427" t="str">
        <f t="shared" ca="1" si="51"/>
        <v/>
      </c>
      <c r="AD223" s="79"/>
    </row>
    <row r="224" spans="1:38" customFormat="1" ht="1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568"/>
      <c r="O224" s="413"/>
      <c r="P224" s="413"/>
      <c r="Q224" s="413"/>
      <c r="R224" s="452"/>
      <c r="S224" s="443"/>
      <c r="T224" s="42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ca="1" si="47"/>
        <v/>
      </c>
      <c r="Z224" s="427" t="str">
        <f t="shared" ca="1" si="48"/>
        <v/>
      </c>
      <c r="AA224" s="426" t="str">
        <f t="shared" ca="1" si="49"/>
        <v/>
      </c>
      <c r="AB224" s="428" t="str">
        <f t="shared" ca="1" si="50"/>
        <v/>
      </c>
      <c r="AC224" s="427" t="str">
        <f t="shared" ca="1" si="51"/>
        <v/>
      </c>
      <c r="AD224" s="79"/>
    </row>
    <row r="225" spans="1:30" customFormat="1" ht="1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568"/>
      <c r="O225" s="413"/>
      <c r="P225" s="413"/>
      <c r="Q225" s="413"/>
      <c r="R225" s="452"/>
      <c r="S225" s="443"/>
      <c r="T225" s="42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ca="1" si="47"/>
        <v/>
      </c>
      <c r="Z225" s="427" t="str">
        <f t="shared" ca="1" si="48"/>
        <v/>
      </c>
      <c r="AA225" s="426" t="str">
        <f t="shared" ca="1" si="49"/>
        <v/>
      </c>
      <c r="AB225" s="428" t="str">
        <f t="shared" ca="1" si="50"/>
        <v/>
      </c>
      <c r="AC225" s="427" t="str">
        <f t="shared" ca="1" si="51"/>
        <v/>
      </c>
      <c r="AD225" s="79"/>
    </row>
    <row r="226" spans="1:30" customFormat="1" ht="1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568"/>
      <c r="O226" s="413"/>
      <c r="P226" s="413"/>
      <c r="Q226" s="413"/>
      <c r="R226" s="452"/>
      <c r="S226" s="443"/>
      <c r="T226" s="42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ca="1" si="47"/>
        <v/>
      </c>
      <c r="Z226" s="427" t="str">
        <f t="shared" ca="1" si="48"/>
        <v/>
      </c>
      <c r="AA226" s="426" t="str">
        <f t="shared" ca="1" si="49"/>
        <v/>
      </c>
      <c r="AB226" s="428" t="str">
        <f t="shared" ca="1" si="50"/>
        <v/>
      </c>
      <c r="AC226" s="427" t="str">
        <f t="shared" ca="1" si="51"/>
        <v/>
      </c>
      <c r="AD226" s="79"/>
    </row>
    <row r="227" spans="1:30" customFormat="1" ht="1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568"/>
      <c r="O227" s="413"/>
      <c r="P227" s="413"/>
      <c r="Q227" s="413"/>
      <c r="R227" s="452"/>
      <c r="S227" s="443"/>
      <c r="T227" s="42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ca="1" si="47"/>
        <v/>
      </c>
      <c r="Z227" s="427" t="str">
        <f t="shared" ca="1" si="48"/>
        <v/>
      </c>
      <c r="AA227" s="426" t="str">
        <f t="shared" ca="1" si="49"/>
        <v/>
      </c>
      <c r="AB227" s="428" t="str">
        <f t="shared" ca="1" si="50"/>
        <v/>
      </c>
      <c r="AC227" s="427" t="str">
        <f t="shared" ca="1" si="51"/>
        <v/>
      </c>
      <c r="AD227" s="79"/>
    </row>
    <row r="228" spans="1:30" customFormat="1" ht="1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568"/>
      <c r="O228" s="413"/>
      <c r="P228" s="413"/>
      <c r="Q228" s="413"/>
      <c r="R228" s="452"/>
      <c r="S228" s="443"/>
      <c r="T228" s="42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ca="1" si="47"/>
        <v/>
      </c>
      <c r="Z228" s="427" t="str">
        <f t="shared" ca="1" si="48"/>
        <v/>
      </c>
      <c r="AA228" s="426" t="str">
        <f t="shared" ca="1" si="49"/>
        <v/>
      </c>
      <c r="AB228" s="428" t="str">
        <f t="shared" ca="1" si="50"/>
        <v/>
      </c>
      <c r="AC228" s="427" t="str">
        <f t="shared" ca="1" si="51"/>
        <v/>
      </c>
      <c r="AD228" s="79"/>
    </row>
    <row r="229" spans="1:30" customFormat="1" ht="1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568"/>
      <c r="O229" s="413"/>
      <c r="P229" s="413"/>
      <c r="Q229" s="413"/>
      <c r="R229" s="452"/>
      <c r="S229" s="443"/>
      <c r="T229" s="42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ca="1" si="47"/>
        <v/>
      </c>
      <c r="Z229" s="427" t="str">
        <f t="shared" ca="1" si="48"/>
        <v/>
      </c>
      <c r="AA229" s="426" t="str">
        <f t="shared" ca="1" si="49"/>
        <v/>
      </c>
      <c r="AB229" s="428" t="str">
        <f t="shared" ca="1" si="50"/>
        <v/>
      </c>
      <c r="AC229" s="427" t="str">
        <f t="shared" ca="1" si="51"/>
        <v/>
      </c>
      <c r="AD229" s="79"/>
    </row>
    <row r="230" spans="1:30" customFormat="1" ht="1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568"/>
      <c r="O230" s="413"/>
      <c r="P230" s="413"/>
      <c r="Q230" s="413"/>
      <c r="R230" s="452"/>
      <c r="S230" s="443"/>
      <c r="T230" s="42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ca="1" si="47"/>
        <v/>
      </c>
      <c r="Z230" s="427" t="str">
        <f t="shared" ca="1" si="48"/>
        <v/>
      </c>
      <c r="AA230" s="426" t="str">
        <f t="shared" ca="1" si="49"/>
        <v/>
      </c>
      <c r="AB230" s="428" t="str">
        <f t="shared" ca="1" si="50"/>
        <v/>
      </c>
      <c r="AC230" s="427" t="str">
        <f t="shared" ca="1" si="51"/>
        <v/>
      </c>
      <c r="AD230" s="79"/>
    </row>
    <row r="231" spans="1:30" customFormat="1" ht="1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568"/>
      <c r="O231" s="413"/>
      <c r="P231" s="413"/>
      <c r="Q231" s="413"/>
      <c r="R231" s="452"/>
      <c r="S231" s="443"/>
      <c r="T231" s="42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ca="1" si="47"/>
        <v/>
      </c>
      <c r="Z231" s="427" t="str">
        <f t="shared" ca="1" si="48"/>
        <v/>
      </c>
      <c r="AA231" s="426" t="str">
        <f t="shared" ca="1" si="49"/>
        <v/>
      </c>
      <c r="AB231" s="428" t="str">
        <f t="shared" ca="1" si="50"/>
        <v/>
      </c>
      <c r="AC231" s="427" t="str">
        <f t="shared" ca="1" si="51"/>
        <v/>
      </c>
      <c r="AD231" s="79"/>
    </row>
    <row r="232" spans="1:30" customFormat="1" ht="1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568"/>
      <c r="O232" s="413"/>
      <c r="P232" s="413"/>
      <c r="Q232" s="413"/>
      <c r="R232" s="452"/>
      <c r="S232" s="443"/>
      <c r="T232" s="42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ca="1" si="47"/>
        <v/>
      </c>
      <c r="Z232" s="427" t="str">
        <f t="shared" ca="1" si="48"/>
        <v/>
      </c>
      <c r="AA232" s="426" t="str">
        <f t="shared" ca="1" si="49"/>
        <v/>
      </c>
      <c r="AB232" s="428" t="str">
        <f t="shared" ca="1" si="50"/>
        <v/>
      </c>
      <c r="AC232" s="427" t="str">
        <f t="shared" ca="1" si="51"/>
        <v/>
      </c>
      <c r="AD232" s="79"/>
    </row>
    <row r="233" spans="1:30" customFormat="1" ht="1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568"/>
      <c r="O233" s="413"/>
      <c r="P233" s="413"/>
      <c r="Q233" s="413"/>
      <c r="R233" s="452"/>
      <c r="S233" s="443"/>
      <c r="T233" s="42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ca="1" si="47"/>
        <v/>
      </c>
      <c r="Z233" s="427" t="str">
        <f t="shared" ca="1" si="48"/>
        <v/>
      </c>
      <c r="AA233" s="426" t="str">
        <f t="shared" ca="1" si="49"/>
        <v/>
      </c>
      <c r="AB233" s="428" t="str">
        <f t="shared" ca="1" si="50"/>
        <v/>
      </c>
      <c r="AC233" s="427" t="str">
        <f t="shared" ca="1" si="51"/>
        <v/>
      </c>
      <c r="AD233" s="79"/>
    </row>
    <row r="234" spans="1:30" customFormat="1" ht="1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568"/>
      <c r="O234" s="413"/>
      <c r="P234" s="413"/>
      <c r="Q234" s="413"/>
      <c r="R234" s="452"/>
      <c r="S234" s="443"/>
      <c r="T234" s="42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ca="1" si="47"/>
        <v/>
      </c>
      <c r="Z234" s="427" t="str">
        <f t="shared" ca="1" si="48"/>
        <v/>
      </c>
      <c r="AA234" s="426" t="str">
        <f t="shared" ca="1" si="49"/>
        <v/>
      </c>
      <c r="AB234" s="428" t="str">
        <f t="shared" ca="1" si="50"/>
        <v/>
      </c>
      <c r="AC234" s="427" t="str">
        <f t="shared" ca="1" si="51"/>
        <v/>
      </c>
      <c r="AD234" s="79"/>
    </row>
    <row r="235" spans="1:30" customFormat="1" ht="1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568"/>
      <c r="O235" s="413"/>
      <c r="P235" s="413"/>
      <c r="Q235" s="413"/>
      <c r="R235" s="452"/>
      <c r="S235" s="443"/>
      <c r="T235" s="42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ca="1" si="47"/>
        <v/>
      </c>
      <c r="Z235" s="427" t="str">
        <f t="shared" ca="1" si="48"/>
        <v/>
      </c>
      <c r="AA235" s="426" t="str">
        <f t="shared" ca="1" si="49"/>
        <v/>
      </c>
      <c r="AB235" s="428" t="str">
        <f t="shared" ca="1" si="50"/>
        <v/>
      </c>
      <c r="AC235" s="427" t="str">
        <f t="shared" ca="1" si="51"/>
        <v/>
      </c>
      <c r="AD235" s="79"/>
    </row>
    <row r="236" spans="1:30" customFormat="1" ht="1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568"/>
      <c r="O236" s="413"/>
      <c r="P236" s="413"/>
      <c r="Q236" s="413"/>
      <c r="R236" s="452"/>
      <c r="S236" s="443"/>
      <c r="T236" s="42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ca="1" si="47"/>
        <v/>
      </c>
      <c r="Z236" s="427" t="str">
        <f t="shared" ca="1" si="48"/>
        <v/>
      </c>
      <c r="AA236" s="426" t="str">
        <f t="shared" ca="1" si="49"/>
        <v/>
      </c>
      <c r="AB236" s="428" t="str">
        <f t="shared" ca="1" si="50"/>
        <v/>
      </c>
      <c r="AC236" s="427" t="str">
        <f t="shared" ca="1" si="51"/>
        <v/>
      </c>
      <c r="AD236" s="79"/>
    </row>
    <row r="237" spans="1:30" customFormat="1" ht="1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568"/>
      <c r="O237" s="413"/>
      <c r="P237" s="413"/>
      <c r="Q237" s="413"/>
      <c r="R237" s="452"/>
      <c r="S237" s="443"/>
      <c r="T237" s="42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ca="1" si="47"/>
        <v/>
      </c>
      <c r="Z237" s="427" t="str">
        <f t="shared" ca="1" si="48"/>
        <v/>
      </c>
      <c r="AA237" s="426" t="str">
        <f t="shared" ca="1" si="49"/>
        <v/>
      </c>
      <c r="AB237" s="428" t="str">
        <f t="shared" ca="1" si="50"/>
        <v/>
      </c>
      <c r="AC237" s="427" t="str">
        <f t="shared" ca="1" si="51"/>
        <v/>
      </c>
      <c r="AD237" s="79"/>
    </row>
    <row r="238" spans="1:30" customFormat="1" ht="1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568"/>
      <c r="O238" s="413"/>
      <c r="P238" s="413"/>
      <c r="Q238" s="413"/>
      <c r="R238" s="452"/>
      <c r="S238" s="443"/>
      <c r="T238" s="42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ca="1" si="47"/>
        <v/>
      </c>
      <c r="Z238" s="427" t="str">
        <f t="shared" ca="1" si="48"/>
        <v/>
      </c>
      <c r="AA238" s="426" t="str">
        <f t="shared" ca="1" si="49"/>
        <v/>
      </c>
      <c r="AB238" s="428" t="str">
        <f t="shared" ca="1" si="50"/>
        <v/>
      </c>
      <c r="AC238" s="427" t="str">
        <f t="shared" ca="1" si="51"/>
        <v/>
      </c>
      <c r="AD238" s="79"/>
    </row>
    <row r="239" spans="1:30" customFormat="1" ht="1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568"/>
      <c r="O239" s="413"/>
      <c r="P239" s="413"/>
      <c r="Q239" s="413"/>
      <c r="R239" s="452"/>
      <c r="S239" s="443"/>
      <c r="T239" s="42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ca="1" si="47"/>
        <v/>
      </c>
      <c r="Z239" s="427" t="str">
        <f t="shared" ca="1" si="48"/>
        <v/>
      </c>
      <c r="AA239" s="426" t="str">
        <f t="shared" ca="1" si="49"/>
        <v/>
      </c>
      <c r="AB239" s="428" t="str">
        <f t="shared" ca="1" si="50"/>
        <v/>
      </c>
      <c r="AC239" s="427" t="str">
        <f t="shared" ca="1" si="51"/>
        <v/>
      </c>
      <c r="AD239" s="79"/>
    </row>
    <row r="240" spans="1:30" customFormat="1" ht="1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568"/>
      <c r="O240" s="413"/>
      <c r="P240" s="413"/>
      <c r="Q240" s="413"/>
      <c r="R240" s="452"/>
      <c r="S240" s="443"/>
      <c r="T240" s="42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ca="1" si="47"/>
        <v/>
      </c>
      <c r="Z240" s="427" t="str">
        <f t="shared" ca="1" si="48"/>
        <v/>
      </c>
      <c r="AA240" s="426" t="str">
        <f t="shared" ca="1" si="49"/>
        <v/>
      </c>
      <c r="AB240" s="428" t="str">
        <f t="shared" ca="1" si="50"/>
        <v/>
      </c>
      <c r="AC240" s="427" t="str">
        <f t="shared" ca="1" si="51"/>
        <v/>
      </c>
      <c r="AD240" s="79"/>
    </row>
    <row r="241" spans="1:30" customFormat="1" ht="1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568"/>
      <c r="O241" s="413"/>
      <c r="P241" s="413"/>
      <c r="Q241" s="413"/>
      <c r="R241" s="452"/>
      <c r="S241" s="443"/>
      <c r="T241" s="42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ca="1" si="47"/>
        <v/>
      </c>
      <c r="Z241" s="427" t="str">
        <f t="shared" ca="1" si="48"/>
        <v/>
      </c>
      <c r="AA241" s="426" t="str">
        <f t="shared" ca="1" si="49"/>
        <v/>
      </c>
      <c r="AB241" s="428" t="str">
        <f t="shared" ca="1" si="50"/>
        <v/>
      </c>
      <c r="AC241" s="427" t="str">
        <f t="shared" ca="1" si="51"/>
        <v/>
      </c>
      <c r="AD241" s="79"/>
    </row>
    <row r="242" spans="1:30" customFormat="1" ht="1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568"/>
      <c r="O242" s="413"/>
      <c r="P242" s="413"/>
      <c r="Q242" s="413"/>
      <c r="R242" s="452"/>
      <c r="S242" s="443"/>
      <c r="T242" s="42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ca="1" si="47"/>
        <v/>
      </c>
      <c r="Z242" s="427" t="str">
        <f t="shared" ca="1" si="48"/>
        <v/>
      </c>
      <c r="AA242" s="426" t="str">
        <f t="shared" ca="1" si="49"/>
        <v/>
      </c>
      <c r="AB242" s="428" t="str">
        <f t="shared" ca="1" si="50"/>
        <v/>
      </c>
      <c r="AC242" s="427" t="str">
        <f t="shared" ca="1" si="51"/>
        <v/>
      </c>
      <c r="AD242" s="79"/>
    </row>
    <row r="243" spans="1:30" customFormat="1" ht="1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568"/>
      <c r="O243" s="413"/>
      <c r="P243" s="413"/>
      <c r="Q243" s="413"/>
      <c r="R243" s="452"/>
      <c r="S243" s="443"/>
      <c r="T243" s="42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ca="1" si="47"/>
        <v/>
      </c>
      <c r="Z243" s="427" t="str">
        <f t="shared" ca="1" si="48"/>
        <v/>
      </c>
      <c r="AA243" s="426" t="str">
        <f t="shared" ca="1" si="49"/>
        <v/>
      </c>
      <c r="AB243" s="428" t="str">
        <f t="shared" ca="1" si="50"/>
        <v/>
      </c>
      <c r="AC243" s="427" t="str">
        <f t="shared" ca="1" si="51"/>
        <v/>
      </c>
      <c r="AD243" s="79"/>
    </row>
    <row r="244" spans="1:30" customFormat="1" ht="1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568"/>
      <c r="O244" s="413"/>
      <c r="P244" s="413"/>
      <c r="Q244" s="413"/>
      <c r="R244" s="452"/>
      <c r="S244" s="443"/>
      <c r="T244" s="42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ca="1" si="47"/>
        <v/>
      </c>
      <c r="Z244" s="427" t="str">
        <f t="shared" ca="1" si="48"/>
        <v/>
      </c>
      <c r="AA244" s="426" t="str">
        <f t="shared" ca="1" si="49"/>
        <v/>
      </c>
      <c r="AB244" s="428" t="str">
        <f t="shared" ca="1" si="50"/>
        <v/>
      </c>
      <c r="AC244" s="427" t="str">
        <f t="shared" ca="1" si="51"/>
        <v/>
      </c>
      <c r="AD244" s="79"/>
    </row>
    <row r="245" spans="1:30" customFormat="1" ht="1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568"/>
      <c r="O245" s="413"/>
      <c r="P245" s="413"/>
      <c r="Q245" s="413"/>
      <c r="R245" s="452"/>
      <c r="S245" s="443"/>
      <c r="T245" s="42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ca="1" si="47"/>
        <v/>
      </c>
      <c r="Z245" s="427" t="str">
        <f t="shared" ca="1" si="48"/>
        <v/>
      </c>
      <c r="AA245" s="426" t="str">
        <f t="shared" ca="1" si="49"/>
        <v/>
      </c>
      <c r="AB245" s="428" t="str">
        <f t="shared" ca="1" si="50"/>
        <v/>
      </c>
      <c r="AC245" s="427" t="str">
        <f t="shared" ca="1" si="51"/>
        <v/>
      </c>
      <c r="AD245" s="79"/>
    </row>
    <row r="246" spans="1:30" customFormat="1" ht="1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568"/>
      <c r="O246" s="413"/>
      <c r="P246" s="413"/>
      <c r="Q246" s="413"/>
      <c r="R246" s="452"/>
      <c r="S246" s="443"/>
      <c r="T246" s="42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ca="1" si="47"/>
        <v/>
      </c>
      <c r="Z246" s="427" t="str">
        <f t="shared" ca="1" si="48"/>
        <v/>
      </c>
      <c r="AA246" s="426" t="str">
        <f t="shared" ca="1" si="49"/>
        <v/>
      </c>
      <c r="AB246" s="428" t="str">
        <f t="shared" ca="1" si="50"/>
        <v/>
      </c>
      <c r="AC246" s="427" t="str">
        <f t="shared" ca="1" si="51"/>
        <v/>
      </c>
      <c r="AD246" s="79"/>
    </row>
    <row r="247" spans="1:30" customFormat="1" ht="1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568"/>
      <c r="O247" s="413"/>
      <c r="P247" s="413"/>
      <c r="Q247" s="413"/>
      <c r="R247" s="452"/>
      <c r="S247" s="443"/>
      <c r="T247" s="42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ca="1" si="47"/>
        <v/>
      </c>
      <c r="Z247" s="427" t="str">
        <f t="shared" ca="1" si="48"/>
        <v/>
      </c>
      <c r="AA247" s="426" t="str">
        <f t="shared" ca="1" si="49"/>
        <v/>
      </c>
      <c r="AB247" s="428" t="str">
        <f t="shared" ca="1" si="50"/>
        <v/>
      </c>
      <c r="AC247" s="427" t="str">
        <f t="shared" ca="1" si="51"/>
        <v/>
      </c>
      <c r="AD247" s="79"/>
    </row>
    <row r="248" spans="1:30" customFormat="1" ht="1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568"/>
      <c r="O248" s="413"/>
      <c r="P248" s="413"/>
      <c r="Q248" s="413"/>
      <c r="R248" s="452"/>
      <c r="S248" s="443"/>
      <c r="T248" s="42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ca="1" si="47"/>
        <v/>
      </c>
      <c r="Z248" s="427" t="str">
        <f t="shared" ca="1" si="48"/>
        <v/>
      </c>
      <c r="AA248" s="426" t="str">
        <f t="shared" ca="1" si="49"/>
        <v/>
      </c>
      <c r="AB248" s="428" t="str">
        <f t="shared" ca="1" si="50"/>
        <v/>
      </c>
      <c r="AC248" s="427" t="str">
        <f t="shared" ca="1" si="51"/>
        <v/>
      </c>
      <c r="AD248" s="79"/>
    </row>
    <row r="249" spans="1:30" customFormat="1" ht="1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568"/>
      <c r="O249" s="413"/>
      <c r="P249" s="413"/>
      <c r="Q249" s="413"/>
      <c r="R249" s="452"/>
      <c r="S249" s="443"/>
      <c r="T249" s="42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ca="1" si="47"/>
        <v/>
      </c>
      <c r="Z249" s="427" t="str">
        <f t="shared" ca="1" si="48"/>
        <v/>
      </c>
      <c r="AA249" s="426" t="str">
        <f t="shared" ca="1" si="49"/>
        <v/>
      </c>
      <c r="AB249" s="428" t="str">
        <f t="shared" ca="1" si="50"/>
        <v/>
      </c>
      <c r="AC249" s="427" t="str">
        <f t="shared" ca="1" si="51"/>
        <v/>
      </c>
      <c r="AD249" s="79"/>
    </row>
    <row r="250" spans="1:30" customFormat="1" ht="1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568"/>
      <c r="O250" s="413"/>
      <c r="P250" s="413"/>
      <c r="Q250" s="413"/>
      <c r="R250" s="452"/>
      <c r="S250" s="443"/>
      <c r="T250" s="42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ca="1" si="47"/>
        <v/>
      </c>
      <c r="Z250" s="427" t="str">
        <f t="shared" ca="1" si="48"/>
        <v/>
      </c>
      <c r="AA250" s="426" t="str">
        <f t="shared" ca="1" si="49"/>
        <v/>
      </c>
      <c r="AB250" s="428" t="str">
        <f t="shared" ca="1" si="50"/>
        <v/>
      </c>
      <c r="AC250" s="427" t="str">
        <f t="shared" ca="1" si="51"/>
        <v/>
      </c>
      <c r="AD250" s="79"/>
    </row>
    <row r="251" spans="1:30" customFormat="1" ht="1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568"/>
      <c r="O251" s="413"/>
      <c r="P251" s="413"/>
      <c r="Q251" s="413"/>
      <c r="R251" s="452"/>
      <c r="S251" s="443"/>
      <c r="T251" s="42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ca="1" si="47"/>
        <v/>
      </c>
      <c r="Z251" s="427" t="str">
        <f t="shared" ca="1" si="48"/>
        <v/>
      </c>
      <c r="AA251" s="426" t="str">
        <f t="shared" ca="1" si="49"/>
        <v/>
      </c>
      <c r="AB251" s="428" t="str">
        <f t="shared" ca="1" si="50"/>
        <v/>
      </c>
      <c r="AC251" s="427" t="str">
        <f t="shared" ca="1" si="51"/>
        <v/>
      </c>
      <c r="AD251" s="79"/>
    </row>
    <row r="252" spans="1:30" customFormat="1" ht="1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568"/>
      <c r="O252" s="413"/>
      <c r="P252" s="413"/>
      <c r="Q252" s="413"/>
      <c r="R252" s="452"/>
      <c r="S252" s="443"/>
      <c r="T252" s="42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ca="1" si="47"/>
        <v/>
      </c>
      <c r="Z252" s="427" t="str">
        <f t="shared" ca="1" si="48"/>
        <v/>
      </c>
      <c r="AA252" s="426" t="str">
        <f t="shared" ca="1" si="49"/>
        <v/>
      </c>
      <c r="AB252" s="428" t="str">
        <f t="shared" ca="1" si="50"/>
        <v/>
      </c>
      <c r="AC252" s="427" t="str">
        <f t="shared" ca="1" si="51"/>
        <v/>
      </c>
      <c r="AD252" s="79"/>
    </row>
    <row r="253" spans="1:30" customFormat="1" ht="1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568"/>
      <c r="O253" s="413"/>
      <c r="P253" s="413"/>
      <c r="Q253" s="413"/>
      <c r="R253" s="452"/>
      <c r="S253" s="443"/>
      <c r="T253" s="42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ca="1" si="47"/>
        <v/>
      </c>
      <c r="Z253" s="427" t="str">
        <f t="shared" ca="1" si="48"/>
        <v/>
      </c>
      <c r="AA253" s="426" t="str">
        <f t="shared" ca="1" si="49"/>
        <v/>
      </c>
      <c r="AB253" s="428" t="str">
        <f t="shared" ca="1" si="50"/>
        <v/>
      </c>
      <c r="AC253" s="427" t="str">
        <f t="shared" ca="1" si="51"/>
        <v/>
      </c>
      <c r="AD253" s="79"/>
    </row>
    <row r="254" spans="1:30" customFormat="1" ht="1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568"/>
      <c r="O254" s="413"/>
      <c r="P254" s="413"/>
      <c r="Q254" s="413"/>
      <c r="R254" s="452"/>
      <c r="S254" s="443"/>
      <c r="T254" s="42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ca="1" si="47"/>
        <v/>
      </c>
      <c r="Z254" s="427" t="str">
        <f t="shared" ca="1" si="48"/>
        <v/>
      </c>
      <c r="AA254" s="426" t="str">
        <f t="shared" ca="1" si="49"/>
        <v/>
      </c>
      <c r="AB254" s="428" t="str">
        <f t="shared" ca="1" si="50"/>
        <v/>
      </c>
      <c r="AC254" s="427" t="str">
        <f t="shared" ca="1" si="51"/>
        <v/>
      </c>
      <c r="AD254" s="79"/>
    </row>
    <row r="255" spans="1:30" customFormat="1" ht="1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568"/>
      <c r="O255" s="413"/>
      <c r="P255" s="413"/>
      <c r="Q255" s="413"/>
      <c r="R255" s="452"/>
      <c r="S255" s="443"/>
      <c r="T255" s="42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ca="1" si="47"/>
        <v/>
      </c>
      <c r="Z255" s="427" t="str">
        <f t="shared" ca="1" si="48"/>
        <v/>
      </c>
      <c r="AA255" s="426" t="str">
        <f t="shared" ca="1" si="49"/>
        <v/>
      </c>
      <c r="AB255" s="428" t="str">
        <f t="shared" ca="1" si="50"/>
        <v/>
      </c>
      <c r="AC255" s="427" t="str">
        <f t="shared" ca="1" si="51"/>
        <v/>
      </c>
      <c r="AD255" s="79"/>
    </row>
    <row r="256" spans="1:30" customFormat="1" ht="1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568"/>
      <c r="O256" s="413"/>
      <c r="P256" s="413"/>
      <c r="Q256" s="413"/>
      <c r="R256" s="452"/>
      <c r="S256" s="443"/>
      <c r="T256" s="42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ca="1" si="47"/>
        <v/>
      </c>
      <c r="Z256" s="427" t="str">
        <f t="shared" ca="1" si="48"/>
        <v/>
      </c>
      <c r="AA256" s="426" t="str">
        <f t="shared" ca="1" si="49"/>
        <v/>
      </c>
      <c r="AB256" s="428" t="str">
        <f t="shared" ca="1" si="50"/>
        <v/>
      </c>
      <c r="AC256" s="427" t="str">
        <f t="shared" ca="1" si="51"/>
        <v/>
      </c>
      <c r="AD256" s="79"/>
    </row>
    <row r="257" spans="1:30" customFormat="1" ht="1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568"/>
      <c r="O257" s="413"/>
      <c r="P257" s="413"/>
      <c r="Q257" s="413"/>
      <c r="R257" s="452"/>
      <c r="S257" s="443"/>
      <c r="T257" s="42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ca="1" si="47"/>
        <v/>
      </c>
      <c r="Z257" s="427" t="str">
        <f t="shared" ca="1" si="48"/>
        <v/>
      </c>
      <c r="AA257" s="426" t="str">
        <f t="shared" ca="1" si="49"/>
        <v/>
      </c>
      <c r="AB257" s="428" t="str">
        <f t="shared" ca="1" si="50"/>
        <v/>
      </c>
      <c r="AC257" s="427" t="str">
        <f t="shared" ca="1" si="51"/>
        <v/>
      </c>
      <c r="AD257" s="79"/>
    </row>
    <row r="258" spans="1:30" customFormat="1" ht="1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568"/>
      <c r="O258" s="413"/>
      <c r="P258" s="413"/>
      <c r="Q258" s="413"/>
      <c r="R258" s="452"/>
      <c r="S258" s="443"/>
      <c r="T258" s="42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ca="1" si="47"/>
        <v/>
      </c>
      <c r="Z258" s="427" t="str">
        <f t="shared" ca="1" si="48"/>
        <v/>
      </c>
      <c r="AA258" s="426" t="str">
        <f t="shared" ca="1" si="49"/>
        <v/>
      </c>
      <c r="AB258" s="428" t="str">
        <f t="shared" ca="1" si="50"/>
        <v/>
      </c>
      <c r="AC258" s="427" t="str">
        <f t="shared" ca="1" si="51"/>
        <v/>
      </c>
      <c r="AD258" s="79"/>
    </row>
    <row r="259" spans="1:30" customFormat="1" ht="1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568"/>
      <c r="O259" s="413"/>
      <c r="P259" s="413"/>
      <c r="Q259" s="413"/>
      <c r="R259" s="452"/>
      <c r="S259" s="443"/>
      <c r="T259" s="42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ca="1" si="47"/>
        <v/>
      </c>
      <c r="Z259" s="427" t="str">
        <f t="shared" ca="1" si="48"/>
        <v/>
      </c>
      <c r="AA259" s="426" t="str">
        <f t="shared" ca="1" si="49"/>
        <v/>
      </c>
      <c r="AB259" s="428" t="str">
        <f t="shared" ca="1" si="50"/>
        <v/>
      </c>
      <c r="AC259" s="427" t="str">
        <f t="shared" ca="1" si="51"/>
        <v/>
      </c>
      <c r="AD259" s="79"/>
    </row>
    <row r="260" spans="1:30" customFormat="1" ht="1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568"/>
      <c r="O260" s="413"/>
      <c r="P260" s="413"/>
      <c r="Q260" s="413"/>
      <c r="R260" s="452"/>
      <c r="S260" s="443"/>
      <c r="T260" s="42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ca="1" si="47"/>
        <v/>
      </c>
      <c r="Z260" s="427" t="str">
        <f t="shared" ca="1" si="48"/>
        <v/>
      </c>
      <c r="AA260" s="426" t="str">
        <f t="shared" ca="1" si="49"/>
        <v/>
      </c>
      <c r="AB260" s="428" t="str">
        <f t="shared" ca="1" si="50"/>
        <v/>
      </c>
      <c r="AC260" s="427" t="str">
        <f t="shared" ca="1" si="51"/>
        <v/>
      </c>
      <c r="AD260" s="79"/>
    </row>
    <row r="261" spans="1:30" customFormat="1" ht="1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568"/>
      <c r="O261" s="413"/>
      <c r="P261" s="413"/>
      <c r="Q261" s="413"/>
      <c r="R261" s="452"/>
      <c r="S261" s="443"/>
      <c r="T261" s="42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ca="1" si="47"/>
        <v/>
      </c>
      <c r="Z261" s="427" t="str">
        <f t="shared" ca="1" si="48"/>
        <v/>
      </c>
      <c r="AA261" s="426" t="str">
        <f t="shared" ca="1" si="49"/>
        <v/>
      </c>
      <c r="AB261" s="428" t="str">
        <f t="shared" ca="1" si="50"/>
        <v/>
      </c>
      <c r="AC261" s="427" t="str">
        <f t="shared" ca="1" si="51"/>
        <v/>
      </c>
      <c r="AD261" s="79"/>
    </row>
    <row r="262" spans="1:30" customFormat="1" ht="1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568"/>
      <c r="O262" s="413"/>
      <c r="P262" s="413"/>
      <c r="Q262" s="413"/>
      <c r="R262" s="452"/>
      <c r="S262" s="443"/>
      <c r="T262" s="42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ca="1" si="47"/>
        <v/>
      </c>
      <c r="Z262" s="427" t="str">
        <f t="shared" ca="1" si="48"/>
        <v/>
      </c>
      <c r="AA262" s="426" t="str">
        <f t="shared" ca="1" si="49"/>
        <v/>
      </c>
      <c r="AB262" s="428" t="str">
        <f t="shared" ca="1" si="50"/>
        <v/>
      </c>
      <c r="AC262" s="427" t="str">
        <f t="shared" ca="1" si="51"/>
        <v/>
      </c>
      <c r="AD262" s="79"/>
    </row>
    <row r="263" spans="1:30" customFormat="1" ht="1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568"/>
      <c r="O263" s="413"/>
      <c r="P263" s="413"/>
      <c r="Q263" s="413"/>
      <c r="R263" s="452"/>
      <c r="S263" s="443"/>
      <c r="T263" s="42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ca="1" si="47"/>
        <v/>
      </c>
      <c r="Z263" s="427" t="str">
        <f t="shared" ca="1" si="48"/>
        <v/>
      </c>
      <c r="AA263" s="426" t="str">
        <f t="shared" ca="1" si="49"/>
        <v/>
      </c>
      <c r="AB263" s="428" t="str">
        <f t="shared" ca="1" si="50"/>
        <v/>
      </c>
      <c r="AC263" s="427" t="str">
        <f t="shared" ca="1" si="51"/>
        <v/>
      </c>
      <c r="AD263" s="79"/>
    </row>
    <row r="264" spans="1:30" customFormat="1" ht="1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568"/>
      <c r="O264" s="413"/>
      <c r="P264" s="413"/>
      <c r="Q264" s="413"/>
      <c r="R264" s="452"/>
      <c r="S264" s="443"/>
      <c r="T264" s="42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ca="1" si="47"/>
        <v/>
      </c>
      <c r="Z264" s="427" t="str">
        <f t="shared" ca="1" si="48"/>
        <v/>
      </c>
      <c r="AA264" s="426" t="str">
        <f t="shared" ca="1" si="49"/>
        <v/>
      </c>
      <c r="AB264" s="428" t="str">
        <f t="shared" ca="1" si="50"/>
        <v/>
      </c>
      <c r="AC264" s="427" t="str">
        <f t="shared" ca="1" si="51"/>
        <v/>
      </c>
      <c r="AD264" s="79"/>
    </row>
    <row r="265" spans="1:30" customFormat="1" ht="1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568"/>
      <c r="O265" s="413"/>
      <c r="P265" s="413"/>
      <c r="Q265" s="413"/>
      <c r="R265" s="452"/>
      <c r="S265" s="443"/>
      <c r="T265" s="42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ca="1" si="47"/>
        <v/>
      </c>
      <c r="Z265" s="427" t="str">
        <f t="shared" ca="1" si="48"/>
        <v/>
      </c>
      <c r="AA265" s="426" t="str">
        <f t="shared" ca="1" si="49"/>
        <v/>
      </c>
      <c r="AB265" s="428" t="str">
        <f t="shared" ca="1" si="50"/>
        <v/>
      </c>
      <c r="AC265" s="427" t="str">
        <f t="shared" ca="1" si="51"/>
        <v/>
      </c>
      <c r="AD265" s="79"/>
    </row>
    <row r="266" spans="1:30" customFormat="1" ht="1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568"/>
      <c r="O266" s="413"/>
      <c r="P266" s="413"/>
      <c r="Q266" s="413"/>
      <c r="R266" s="452"/>
      <c r="S266" s="443"/>
      <c r="T266" s="42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ca="1" si="47"/>
        <v/>
      </c>
      <c r="Z266" s="427" t="str">
        <f t="shared" ca="1" si="48"/>
        <v/>
      </c>
      <c r="AA266" s="426" t="str">
        <f t="shared" ca="1" si="49"/>
        <v/>
      </c>
      <c r="AB266" s="428" t="str">
        <f t="shared" ca="1" si="50"/>
        <v/>
      </c>
      <c r="AC266" s="427" t="str">
        <f t="shared" ca="1" si="51"/>
        <v/>
      </c>
      <c r="AD266" s="79"/>
    </row>
    <row r="267" spans="1:30" customFormat="1" ht="1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568"/>
      <c r="O267" s="413"/>
      <c r="P267" s="413"/>
      <c r="Q267" s="413"/>
      <c r="R267" s="452"/>
      <c r="S267" s="443"/>
      <c r="T267" s="42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ca="1" si="47"/>
        <v/>
      </c>
      <c r="Z267" s="427" t="str">
        <f t="shared" ca="1" si="48"/>
        <v/>
      </c>
      <c r="AA267" s="426" t="str">
        <f t="shared" ca="1" si="49"/>
        <v/>
      </c>
      <c r="AB267" s="428" t="str">
        <f t="shared" ca="1" si="50"/>
        <v/>
      </c>
      <c r="AC267" s="427" t="str">
        <f t="shared" ca="1" si="51"/>
        <v/>
      </c>
      <c r="AD267" s="79"/>
    </row>
    <row r="268" spans="1:30" customFormat="1" ht="1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568"/>
      <c r="O268" s="413"/>
      <c r="P268" s="413"/>
      <c r="Q268" s="413"/>
      <c r="R268" s="452"/>
      <c r="S268" s="443"/>
      <c r="T268" s="42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ca="1" si="47"/>
        <v/>
      </c>
      <c r="Z268" s="427" t="str">
        <f t="shared" ca="1" si="48"/>
        <v/>
      </c>
      <c r="AA268" s="426" t="str">
        <f t="shared" ca="1" si="49"/>
        <v/>
      </c>
      <c r="AB268" s="428" t="str">
        <f t="shared" ca="1" si="50"/>
        <v/>
      </c>
      <c r="AC268" s="427" t="str">
        <f t="shared" ca="1" si="51"/>
        <v/>
      </c>
      <c r="AD268" s="79"/>
    </row>
    <row r="269" spans="1:30" customFormat="1" ht="1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568"/>
      <c r="O269" s="413"/>
      <c r="P269" s="413"/>
      <c r="Q269" s="413"/>
      <c r="R269" s="452"/>
      <c r="S269" s="443"/>
      <c r="T269" s="42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ca="1" si="47"/>
        <v/>
      </c>
      <c r="Z269" s="427" t="str">
        <f t="shared" ca="1" si="48"/>
        <v/>
      </c>
      <c r="AA269" s="426" t="str">
        <f t="shared" ca="1" si="49"/>
        <v/>
      </c>
      <c r="AB269" s="428" t="str">
        <f t="shared" ca="1" si="50"/>
        <v/>
      </c>
      <c r="AC269" s="427" t="str">
        <f t="shared" ca="1" si="51"/>
        <v/>
      </c>
      <c r="AD269" s="79"/>
    </row>
    <row r="270" spans="1:30" customFormat="1" ht="1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568"/>
      <c r="O270" s="413"/>
      <c r="P270" s="413"/>
      <c r="Q270" s="413"/>
      <c r="R270" s="452"/>
      <c r="S270" s="443"/>
      <c r="T270" s="42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ca="1" si="47"/>
        <v/>
      </c>
      <c r="Z270" s="427" t="str">
        <f t="shared" ca="1" si="48"/>
        <v/>
      </c>
      <c r="AA270" s="426" t="str">
        <f t="shared" ca="1" si="49"/>
        <v/>
      </c>
      <c r="AB270" s="428" t="str">
        <f t="shared" ca="1" si="50"/>
        <v/>
      </c>
      <c r="AC270" s="427" t="str">
        <f t="shared" ca="1" si="51"/>
        <v/>
      </c>
      <c r="AD270" s="79"/>
    </row>
    <row r="271" spans="1:30" customFormat="1" ht="1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568"/>
      <c r="O271" s="413"/>
      <c r="P271" s="413"/>
      <c r="Q271" s="413"/>
      <c r="R271" s="452"/>
      <c r="S271" s="443"/>
      <c r="T271" s="42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ca="1" si="47"/>
        <v/>
      </c>
      <c r="Z271" s="427" t="str">
        <f t="shared" ca="1" si="48"/>
        <v/>
      </c>
      <c r="AA271" s="426" t="str">
        <f t="shared" ca="1" si="49"/>
        <v/>
      </c>
      <c r="AB271" s="428" t="str">
        <f t="shared" ca="1" si="50"/>
        <v/>
      </c>
      <c r="AC271" s="427" t="str">
        <f t="shared" ca="1" si="51"/>
        <v/>
      </c>
      <c r="AD271" s="79"/>
    </row>
    <row r="272" spans="1:30" customFormat="1" ht="1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568"/>
      <c r="O272" s="413"/>
      <c r="P272" s="413"/>
      <c r="Q272" s="413"/>
      <c r="R272" s="452"/>
      <c r="S272" s="443"/>
      <c r="T272" s="42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ca="1" si="52">IF($U$12,IF(T272="","",$U$13*D296/$C$18),"")</f>
        <v/>
      </c>
      <c r="Z272" s="427" t="str">
        <f t="shared" ref="Z272:Z314" ca="1" si="53">IF($U$12,IF(Y272="","",Y272*($Z$10-W272)*X272),"")</f>
        <v/>
      </c>
      <c r="AA272" s="426" t="str">
        <f t="shared" ref="AA272:AA313" ca="1" si="54">IF($U$12,IF(OR(T272="",L272=""),"",L272/($C$20-$C$19)),"")</f>
        <v/>
      </c>
      <c r="AB272" s="428" t="str">
        <f t="shared" ref="AB272:AB313" ca="1" si="55">IF($U$12,IF(W272="","",W272*$AC$10),"")</f>
        <v/>
      </c>
      <c r="AC272" s="427" t="str">
        <f t="shared" ref="AC272:AC313" ca="1" si="56">IF($U$12,IF(AA272="","",AA272*(AB272-W272)*X272),"")</f>
        <v/>
      </c>
      <c r="AD272" s="79"/>
    </row>
    <row r="273" spans="1:30" customFormat="1" ht="1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568"/>
      <c r="O273" s="413"/>
      <c r="P273" s="413"/>
      <c r="Q273" s="413"/>
      <c r="R273" s="452"/>
      <c r="S273" s="443"/>
      <c r="T273" s="42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ca="1" si="52"/>
        <v/>
      </c>
      <c r="Z273" s="427" t="str">
        <f t="shared" ca="1" si="53"/>
        <v/>
      </c>
      <c r="AA273" s="426" t="str">
        <f t="shared" ca="1" si="54"/>
        <v/>
      </c>
      <c r="AB273" s="428" t="str">
        <f t="shared" ca="1" si="55"/>
        <v/>
      </c>
      <c r="AC273" s="427" t="str">
        <f t="shared" ca="1" si="56"/>
        <v/>
      </c>
      <c r="AD273" s="79"/>
    </row>
    <row r="274" spans="1:30" customFormat="1" ht="1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568"/>
      <c r="O274" s="413"/>
      <c r="P274" s="413"/>
      <c r="Q274" s="413"/>
      <c r="R274" s="452"/>
      <c r="S274" s="443"/>
      <c r="T274" s="42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ca="1" si="52"/>
        <v/>
      </c>
      <c r="Z274" s="427" t="str">
        <f t="shared" ca="1" si="53"/>
        <v/>
      </c>
      <c r="AA274" s="426" t="str">
        <f t="shared" ca="1" si="54"/>
        <v/>
      </c>
      <c r="AB274" s="428" t="str">
        <f t="shared" ca="1" si="55"/>
        <v/>
      </c>
      <c r="AC274" s="427" t="str">
        <f t="shared" ca="1" si="56"/>
        <v/>
      </c>
      <c r="AD274" s="79"/>
    </row>
    <row r="275" spans="1:30" customFormat="1" ht="1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568"/>
      <c r="O275" s="413"/>
      <c r="P275" s="413"/>
      <c r="Q275" s="413"/>
      <c r="R275" s="452"/>
      <c r="S275" s="443"/>
      <c r="T275" s="42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ca="1" si="52"/>
        <v/>
      </c>
      <c r="Z275" s="427" t="str">
        <f t="shared" ca="1" si="53"/>
        <v/>
      </c>
      <c r="AA275" s="426" t="str">
        <f t="shared" ca="1" si="54"/>
        <v/>
      </c>
      <c r="AB275" s="428" t="str">
        <f t="shared" ca="1" si="55"/>
        <v/>
      </c>
      <c r="AC275" s="427" t="str">
        <f t="shared" ca="1" si="56"/>
        <v/>
      </c>
      <c r="AD275" s="79"/>
    </row>
    <row r="276" spans="1:30" customFormat="1" ht="1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568"/>
      <c r="O276" s="413"/>
      <c r="P276" s="413"/>
      <c r="Q276" s="413"/>
      <c r="R276" s="452"/>
      <c r="S276" s="443"/>
      <c r="T276" s="42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ca="1" si="52"/>
        <v/>
      </c>
      <c r="Z276" s="427" t="str">
        <f t="shared" ca="1" si="53"/>
        <v/>
      </c>
      <c r="AA276" s="426" t="str">
        <f t="shared" ca="1" si="54"/>
        <v/>
      </c>
      <c r="AB276" s="428" t="str">
        <f t="shared" ca="1" si="55"/>
        <v/>
      </c>
      <c r="AC276" s="427" t="str">
        <f t="shared" ca="1" si="56"/>
        <v/>
      </c>
      <c r="AD276" s="79"/>
    </row>
    <row r="277" spans="1:30" customFormat="1" ht="1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568"/>
      <c r="O277" s="413"/>
      <c r="P277" s="413"/>
      <c r="Q277" s="413"/>
      <c r="R277" s="452"/>
      <c r="S277" s="443"/>
      <c r="T277" s="42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ca="1" si="52"/>
        <v/>
      </c>
      <c r="Z277" s="427" t="str">
        <f t="shared" ca="1" si="53"/>
        <v/>
      </c>
      <c r="AA277" s="426" t="str">
        <f t="shared" ca="1" si="54"/>
        <v/>
      </c>
      <c r="AB277" s="428" t="str">
        <f t="shared" ca="1" si="55"/>
        <v/>
      </c>
      <c r="AC277" s="427" t="str">
        <f t="shared" ca="1" si="56"/>
        <v/>
      </c>
      <c r="AD277" s="79"/>
    </row>
    <row r="278" spans="1:30" customFormat="1" ht="1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568"/>
      <c r="O278" s="413"/>
      <c r="P278" s="413"/>
      <c r="Q278" s="413"/>
      <c r="R278" s="452"/>
      <c r="S278" s="443"/>
      <c r="T278" s="42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ca="1" si="52"/>
        <v/>
      </c>
      <c r="Z278" s="427" t="str">
        <f t="shared" ca="1" si="53"/>
        <v/>
      </c>
      <c r="AA278" s="426" t="str">
        <f t="shared" ca="1" si="54"/>
        <v/>
      </c>
      <c r="AB278" s="428" t="str">
        <f t="shared" ca="1" si="55"/>
        <v/>
      </c>
      <c r="AC278" s="427" t="str">
        <f t="shared" ca="1" si="56"/>
        <v/>
      </c>
      <c r="AD278" s="79"/>
    </row>
    <row r="279" spans="1:30" customFormat="1" ht="1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568"/>
      <c r="O279" s="413"/>
      <c r="P279" s="413"/>
      <c r="Q279" s="413"/>
      <c r="R279" s="452"/>
      <c r="S279" s="443"/>
      <c r="T279" s="42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ca="1" si="52"/>
        <v/>
      </c>
      <c r="Z279" s="427" t="str">
        <f t="shared" ca="1" si="53"/>
        <v/>
      </c>
      <c r="AA279" s="426" t="str">
        <f t="shared" ca="1" si="54"/>
        <v/>
      </c>
      <c r="AB279" s="428" t="str">
        <f t="shared" ca="1" si="55"/>
        <v/>
      </c>
      <c r="AC279" s="427" t="str">
        <f t="shared" ca="1" si="56"/>
        <v/>
      </c>
      <c r="AD279" s="79"/>
    </row>
    <row r="280" spans="1:30" customFormat="1" ht="1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568"/>
      <c r="O280" s="413"/>
      <c r="P280" s="413"/>
      <c r="Q280" s="413"/>
      <c r="R280" s="452"/>
      <c r="S280" s="443"/>
      <c r="T280" s="42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ca="1" si="52"/>
        <v/>
      </c>
      <c r="Z280" s="427" t="str">
        <f t="shared" ca="1" si="53"/>
        <v/>
      </c>
      <c r="AA280" s="426" t="str">
        <f t="shared" ca="1" si="54"/>
        <v/>
      </c>
      <c r="AB280" s="428" t="str">
        <f t="shared" ca="1" si="55"/>
        <v/>
      </c>
      <c r="AC280" s="427" t="str">
        <f t="shared" ca="1" si="56"/>
        <v/>
      </c>
      <c r="AD280" s="79"/>
    </row>
    <row r="281" spans="1:30" customFormat="1" ht="1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568"/>
      <c r="O281" s="413"/>
      <c r="P281" s="413"/>
      <c r="Q281" s="413"/>
      <c r="R281" s="452"/>
      <c r="S281" s="443"/>
      <c r="T281" s="42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ca="1" si="52"/>
        <v/>
      </c>
      <c r="Z281" s="427" t="str">
        <f t="shared" ca="1" si="53"/>
        <v/>
      </c>
      <c r="AA281" s="426" t="str">
        <f t="shared" ca="1" si="54"/>
        <v/>
      </c>
      <c r="AB281" s="428" t="str">
        <f t="shared" ca="1" si="55"/>
        <v/>
      </c>
      <c r="AC281" s="427" t="str">
        <f t="shared" ca="1" si="56"/>
        <v/>
      </c>
      <c r="AD281" s="79"/>
    </row>
    <row r="282" spans="1:30" customFormat="1" ht="1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568"/>
      <c r="O282" s="413"/>
      <c r="P282" s="413"/>
      <c r="Q282" s="413"/>
      <c r="R282" s="452"/>
      <c r="S282" s="443"/>
      <c r="T282" s="42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ca="1" si="52"/>
        <v/>
      </c>
      <c r="Z282" s="427" t="str">
        <f t="shared" ca="1" si="53"/>
        <v/>
      </c>
      <c r="AA282" s="426" t="str">
        <f t="shared" ca="1" si="54"/>
        <v/>
      </c>
      <c r="AB282" s="428" t="str">
        <f t="shared" ca="1" si="55"/>
        <v/>
      </c>
      <c r="AC282" s="427" t="str">
        <f t="shared" ca="1" si="56"/>
        <v/>
      </c>
      <c r="AD282" s="79"/>
    </row>
    <row r="283" spans="1:30" customFormat="1" ht="1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568"/>
      <c r="O283" s="413"/>
      <c r="P283" s="413"/>
      <c r="Q283" s="413"/>
      <c r="R283" s="452"/>
      <c r="S283" s="443"/>
      <c r="T283" s="42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ca="1" si="52"/>
        <v/>
      </c>
      <c r="Z283" s="427" t="str">
        <f t="shared" ca="1" si="53"/>
        <v/>
      </c>
      <c r="AA283" s="426" t="str">
        <f t="shared" ca="1" si="54"/>
        <v/>
      </c>
      <c r="AB283" s="428" t="str">
        <f t="shared" ca="1" si="55"/>
        <v/>
      </c>
      <c r="AC283" s="427" t="str">
        <f t="shared" ca="1" si="56"/>
        <v/>
      </c>
      <c r="AD283" s="79"/>
    </row>
    <row r="284" spans="1:30" customFormat="1" ht="1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568"/>
      <c r="O284" s="413"/>
      <c r="P284" s="413"/>
      <c r="Q284" s="413"/>
      <c r="R284" s="452"/>
      <c r="S284" s="443"/>
      <c r="T284" s="42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ca="1" si="52"/>
        <v/>
      </c>
      <c r="Z284" s="427" t="str">
        <f t="shared" ca="1" si="53"/>
        <v/>
      </c>
      <c r="AA284" s="426" t="str">
        <f t="shared" ca="1" si="54"/>
        <v/>
      </c>
      <c r="AB284" s="428" t="str">
        <f t="shared" ca="1" si="55"/>
        <v/>
      </c>
      <c r="AC284" s="427" t="str">
        <f t="shared" ca="1" si="56"/>
        <v/>
      </c>
      <c r="AD284" s="79"/>
    </row>
    <row r="285" spans="1:30" customFormat="1" ht="1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568"/>
      <c r="O285" s="413"/>
      <c r="P285" s="413"/>
      <c r="Q285" s="413"/>
      <c r="R285" s="452"/>
      <c r="S285" s="443"/>
      <c r="T285" s="42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ca="1" si="52"/>
        <v/>
      </c>
      <c r="Z285" s="427" t="str">
        <f t="shared" ca="1" si="53"/>
        <v/>
      </c>
      <c r="AA285" s="426" t="str">
        <f t="shared" ca="1" si="54"/>
        <v/>
      </c>
      <c r="AB285" s="428" t="str">
        <f t="shared" ca="1" si="55"/>
        <v/>
      </c>
      <c r="AC285" s="427" t="str">
        <f t="shared" ca="1" si="56"/>
        <v/>
      </c>
      <c r="AD285" s="79"/>
    </row>
    <row r="286" spans="1:30" customFormat="1" ht="1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568"/>
      <c r="O286" s="413"/>
      <c r="P286" s="413"/>
      <c r="Q286" s="413"/>
      <c r="R286" s="452"/>
      <c r="S286" s="443"/>
      <c r="T286" s="42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ca="1" si="52"/>
        <v/>
      </c>
      <c r="Z286" s="427" t="str">
        <f t="shared" ca="1" si="53"/>
        <v/>
      </c>
      <c r="AA286" s="426" t="str">
        <f t="shared" ca="1" si="54"/>
        <v/>
      </c>
      <c r="AB286" s="428" t="str">
        <f t="shared" ca="1" si="55"/>
        <v/>
      </c>
      <c r="AC286" s="427" t="str">
        <f t="shared" ca="1" si="56"/>
        <v/>
      </c>
      <c r="AD286" s="79"/>
    </row>
    <row r="287" spans="1:30" customFormat="1" ht="1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568"/>
      <c r="O287" s="413"/>
      <c r="P287" s="413"/>
      <c r="Q287" s="413"/>
      <c r="R287" s="452"/>
      <c r="S287" s="443"/>
      <c r="T287" s="42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ca="1" si="52"/>
        <v/>
      </c>
      <c r="Z287" s="427" t="str">
        <f t="shared" ca="1" si="53"/>
        <v/>
      </c>
      <c r="AA287" s="426" t="str">
        <f t="shared" ca="1" si="54"/>
        <v/>
      </c>
      <c r="AB287" s="428" t="str">
        <f t="shared" ca="1" si="55"/>
        <v/>
      </c>
      <c r="AC287" s="427" t="str">
        <f t="shared" ca="1" si="56"/>
        <v/>
      </c>
      <c r="AD287" s="79"/>
    </row>
    <row r="288" spans="1:30" customFormat="1" ht="1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568"/>
      <c r="O288" s="413"/>
      <c r="P288" s="413"/>
      <c r="Q288" s="413"/>
      <c r="R288" s="452"/>
      <c r="S288" s="443"/>
      <c r="T288" s="42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ca="1" si="52"/>
        <v/>
      </c>
      <c r="Z288" s="427" t="str">
        <f t="shared" ca="1" si="53"/>
        <v/>
      </c>
      <c r="AA288" s="426" t="str">
        <f t="shared" ca="1" si="54"/>
        <v/>
      </c>
      <c r="AB288" s="428" t="str">
        <f t="shared" ca="1" si="55"/>
        <v/>
      </c>
      <c r="AC288" s="427" t="str">
        <f t="shared" ca="1" si="56"/>
        <v/>
      </c>
      <c r="AD288" s="79"/>
    </row>
    <row r="289" spans="1:30" customFormat="1" ht="1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568"/>
      <c r="O289" s="413"/>
      <c r="P289" s="413"/>
      <c r="Q289" s="413"/>
      <c r="R289" s="452"/>
      <c r="S289" s="443"/>
      <c r="T289" s="42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ca="1" si="52"/>
        <v/>
      </c>
      <c r="Z289" s="427" t="str">
        <f t="shared" ca="1" si="53"/>
        <v/>
      </c>
      <c r="AA289" s="426" t="str">
        <f t="shared" ca="1" si="54"/>
        <v/>
      </c>
      <c r="AB289" s="428" t="str">
        <f t="shared" ca="1" si="55"/>
        <v/>
      </c>
      <c r="AC289" s="427" t="str">
        <f t="shared" ca="1" si="56"/>
        <v/>
      </c>
      <c r="AD289" s="79"/>
    </row>
    <row r="290" spans="1:30" customFormat="1" ht="1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568"/>
      <c r="O290" s="413"/>
      <c r="P290" s="413"/>
      <c r="Q290" s="413"/>
      <c r="R290" s="452"/>
      <c r="S290" s="443"/>
      <c r="T290" s="42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ca="1" si="52"/>
        <v/>
      </c>
      <c r="Z290" s="427" t="str">
        <f t="shared" ca="1" si="53"/>
        <v/>
      </c>
      <c r="AA290" s="426" t="str">
        <f t="shared" ca="1" si="54"/>
        <v/>
      </c>
      <c r="AB290" s="428" t="str">
        <f t="shared" ca="1" si="55"/>
        <v/>
      </c>
      <c r="AC290" s="427" t="str">
        <f t="shared" ca="1" si="56"/>
        <v/>
      </c>
      <c r="AD290" s="79"/>
    </row>
    <row r="291" spans="1:30" customFormat="1" ht="1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568"/>
      <c r="O291" s="413"/>
      <c r="P291" s="413"/>
      <c r="Q291" s="413"/>
      <c r="R291" s="452"/>
      <c r="S291" s="443"/>
      <c r="T291" s="42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ca="1" si="52"/>
        <v/>
      </c>
      <c r="Z291" s="427" t="str">
        <f t="shared" ca="1" si="53"/>
        <v/>
      </c>
      <c r="AA291" s="426" t="str">
        <f t="shared" ca="1" si="54"/>
        <v/>
      </c>
      <c r="AB291" s="428" t="str">
        <f t="shared" ca="1" si="55"/>
        <v/>
      </c>
      <c r="AC291" s="427" t="str">
        <f t="shared" ca="1" si="56"/>
        <v/>
      </c>
      <c r="AD291" s="79"/>
    </row>
    <row r="292" spans="1:30" customFormat="1" ht="1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568"/>
      <c r="O292" s="413"/>
      <c r="P292" s="413"/>
      <c r="Q292" s="413"/>
      <c r="R292" s="452"/>
      <c r="S292" s="443"/>
      <c r="T292" s="42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ca="1" si="52"/>
        <v/>
      </c>
      <c r="Z292" s="427" t="str">
        <f t="shared" ca="1" si="53"/>
        <v/>
      </c>
      <c r="AA292" s="426" t="str">
        <f t="shared" ca="1" si="54"/>
        <v/>
      </c>
      <c r="AB292" s="428" t="str">
        <f t="shared" ca="1" si="55"/>
        <v/>
      </c>
      <c r="AC292" s="427" t="str">
        <f t="shared" ca="1" si="56"/>
        <v/>
      </c>
      <c r="AD292" s="79"/>
    </row>
    <row r="293" spans="1:30" customFormat="1" ht="1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568"/>
      <c r="O293" s="413"/>
      <c r="P293" s="413"/>
      <c r="Q293" s="413"/>
      <c r="R293" s="452"/>
      <c r="S293" s="443"/>
      <c r="T293" s="42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ca="1" si="52"/>
        <v/>
      </c>
      <c r="Z293" s="427" t="str">
        <f t="shared" ca="1" si="53"/>
        <v/>
      </c>
      <c r="AA293" s="426" t="str">
        <f t="shared" ca="1" si="54"/>
        <v/>
      </c>
      <c r="AB293" s="428" t="str">
        <f t="shared" ca="1" si="55"/>
        <v/>
      </c>
      <c r="AC293" s="427" t="str">
        <f t="shared" ca="1" si="56"/>
        <v/>
      </c>
      <c r="AD293" s="79"/>
    </row>
    <row r="294" spans="1:30" customFormat="1" ht="1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568"/>
      <c r="O294" s="413"/>
      <c r="P294" s="413"/>
      <c r="Q294" s="413"/>
      <c r="R294" s="452"/>
      <c r="S294" s="443"/>
      <c r="T294" s="42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ca="1" si="52"/>
        <v/>
      </c>
      <c r="Z294" s="427" t="str">
        <f t="shared" ca="1" si="53"/>
        <v/>
      </c>
      <c r="AA294" s="426" t="str">
        <f t="shared" ca="1" si="54"/>
        <v/>
      </c>
      <c r="AB294" s="428" t="str">
        <f t="shared" ca="1" si="55"/>
        <v/>
      </c>
      <c r="AC294" s="427" t="str">
        <f t="shared" ca="1" si="56"/>
        <v/>
      </c>
      <c r="AD294" s="79"/>
    </row>
    <row r="295" spans="1:30" customFormat="1" ht="1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568"/>
      <c r="O295" s="413"/>
      <c r="P295" s="413"/>
      <c r="Q295" s="413"/>
      <c r="R295" s="452"/>
      <c r="S295" s="443"/>
      <c r="T295" s="42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ca="1" si="52"/>
        <v/>
      </c>
      <c r="Z295" s="427" t="str">
        <f t="shared" ca="1" si="53"/>
        <v/>
      </c>
      <c r="AA295" s="426" t="str">
        <f t="shared" ca="1" si="54"/>
        <v/>
      </c>
      <c r="AB295" s="428" t="str">
        <f t="shared" ca="1" si="55"/>
        <v/>
      </c>
      <c r="AC295" s="427" t="str">
        <f t="shared" ca="1" si="56"/>
        <v/>
      </c>
      <c r="AD295" s="79"/>
    </row>
    <row r="296" spans="1:30" customFormat="1" ht="1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568"/>
      <c r="O296" s="413"/>
      <c r="P296" s="413"/>
      <c r="Q296" s="413"/>
      <c r="R296" s="452"/>
      <c r="S296" s="443"/>
      <c r="T296" s="42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ca="1" si="52"/>
        <v/>
      </c>
      <c r="Z296" s="427" t="str">
        <f t="shared" ca="1" si="53"/>
        <v/>
      </c>
      <c r="AA296" s="426" t="str">
        <f t="shared" ca="1" si="54"/>
        <v/>
      </c>
      <c r="AB296" s="428" t="str">
        <f t="shared" ca="1" si="55"/>
        <v/>
      </c>
      <c r="AC296" s="427" t="str">
        <f t="shared" ca="1" si="56"/>
        <v/>
      </c>
      <c r="AD296" s="79"/>
    </row>
    <row r="297" spans="1:30" customFormat="1" ht="1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568"/>
      <c r="O297" s="413"/>
      <c r="P297" s="413"/>
      <c r="Q297" s="413"/>
      <c r="R297" s="452"/>
      <c r="S297" s="443"/>
      <c r="T297" s="42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ca="1" si="52"/>
        <v/>
      </c>
      <c r="Z297" s="427" t="str">
        <f t="shared" ca="1" si="53"/>
        <v/>
      </c>
      <c r="AA297" s="426" t="str">
        <f t="shared" ca="1" si="54"/>
        <v/>
      </c>
      <c r="AB297" s="428" t="str">
        <f t="shared" ca="1" si="55"/>
        <v/>
      </c>
      <c r="AC297" s="427" t="str">
        <f t="shared" ca="1" si="56"/>
        <v/>
      </c>
      <c r="AD297" s="79"/>
    </row>
    <row r="298" spans="1:30" customFormat="1" ht="1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568"/>
      <c r="O298" s="413"/>
      <c r="P298" s="413"/>
      <c r="Q298" s="413"/>
      <c r="R298" s="452"/>
      <c r="S298" s="443"/>
      <c r="T298" s="42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ca="1" si="52"/>
        <v/>
      </c>
      <c r="Z298" s="427" t="str">
        <f t="shared" ca="1" si="53"/>
        <v/>
      </c>
      <c r="AA298" s="426" t="str">
        <f t="shared" ca="1" si="54"/>
        <v/>
      </c>
      <c r="AB298" s="428" t="str">
        <f t="shared" ca="1" si="55"/>
        <v/>
      </c>
      <c r="AC298" s="427" t="str">
        <f t="shared" ca="1" si="56"/>
        <v/>
      </c>
      <c r="AD298" s="79"/>
    </row>
    <row r="299" spans="1:30" customFormat="1" ht="1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568"/>
      <c r="O299" s="413"/>
      <c r="P299" s="413"/>
      <c r="Q299" s="413"/>
      <c r="R299" s="452"/>
      <c r="S299" s="443"/>
      <c r="T299" s="42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ca="1" si="52"/>
        <v/>
      </c>
      <c r="Z299" s="427" t="str">
        <f t="shared" ca="1" si="53"/>
        <v/>
      </c>
      <c r="AA299" s="426" t="str">
        <f t="shared" ca="1" si="54"/>
        <v/>
      </c>
      <c r="AB299" s="428" t="str">
        <f t="shared" ca="1" si="55"/>
        <v/>
      </c>
      <c r="AC299" s="427" t="str">
        <f t="shared" ca="1" si="56"/>
        <v/>
      </c>
      <c r="AD299" s="79"/>
    </row>
    <row r="300" spans="1:30" customFormat="1" ht="1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568"/>
      <c r="O300" s="413"/>
      <c r="P300" s="413"/>
      <c r="Q300" s="413"/>
      <c r="R300" s="452"/>
      <c r="S300" s="443"/>
      <c r="T300" s="42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ca="1" si="52"/>
        <v/>
      </c>
      <c r="Z300" s="427" t="str">
        <f t="shared" ca="1" si="53"/>
        <v/>
      </c>
      <c r="AA300" s="426" t="str">
        <f t="shared" ca="1" si="54"/>
        <v/>
      </c>
      <c r="AB300" s="428" t="str">
        <f t="shared" ca="1" si="55"/>
        <v/>
      </c>
      <c r="AC300" s="427" t="str">
        <f t="shared" ca="1" si="56"/>
        <v/>
      </c>
      <c r="AD300" s="79"/>
    </row>
    <row r="301" spans="1:30" customFormat="1" ht="1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568"/>
      <c r="O301" s="413"/>
      <c r="P301" s="413"/>
      <c r="Q301" s="413"/>
      <c r="R301" s="452"/>
      <c r="S301" s="443"/>
      <c r="T301" s="42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ca="1" si="52"/>
        <v/>
      </c>
      <c r="Z301" s="427" t="str">
        <f t="shared" ca="1" si="53"/>
        <v/>
      </c>
      <c r="AA301" s="426" t="str">
        <f t="shared" ca="1" si="54"/>
        <v/>
      </c>
      <c r="AB301" s="428" t="str">
        <f t="shared" ca="1" si="55"/>
        <v/>
      </c>
      <c r="AC301" s="427" t="str">
        <f t="shared" ca="1" si="56"/>
        <v/>
      </c>
      <c r="AD301" s="79"/>
    </row>
    <row r="302" spans="1:30" customFormat="1" ht="1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568"/>
      <c r="O302" s="413"/>
      <c r="P302" s="413"/>
      <c r="Q302" s="413"/>
      <c r="R302" s="452"/>
      <c r="S302" s="443"/>
      <c r="T302" s="42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ca="1" si="52"/>
        <v/>
      </c>
      <c r="Z302" s="427" t="str">
        <f t="shared" ca="1" si="53"/>
        <v/>
      </c>
      <c r="AA302" s="426" t="str">
        <f t="shared" ca="1" si="54"/>
        <v/>
      </c>
      <c r="AB302" s="428" t="str">
        <f t="shared" ca="1" si="55"/>
        <v/>
      </c>
      <c r="AC302" s="427" t="str">
        <f t="shared" ca="1" si="56"/>
        <v/>
      </c>
      <c r="AD302" s="79"/>
    </row>
    <row r="303" spans="1:30" customFormat="1" ht="1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568"/>
      <c r="O303" s="413"/>
      <c r="P303" s="413"/>
      <c r="Q303" s="413"/>
      <c r="R303" s="452"/>
      <c r="S303" s="443"/>
      <c r="T303" s="42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ca="1" si="52"/>
        <v/>
      </c>
      <c r="Z303" s="427" t="str">
        <f t="shared" ca="1" si="53"/>
        <v/>
      </c>
      <c r="AA303" s="426" t="str">
        <f t="shared" ca="1" si="54"/>
        <v/>
      </c>
      <c r="AB303" s="428" t="str">
        <f t="shared" ca="1" si="55"/>
        <v/>
      </c>
      <c r="AC303" s="427" t="str">
        <f t="shared" ca="1" si="56"/>
        <v/>
      </c>
      <c r="AD303" s="79"/>
    </row>
    <row r="304" spans="1:30" customFormat="1" ht="1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568"/>
      <c r="O304" s="413"/>
      <c r="P304" s="413"/>
      <c r="Q304" s="413"/>
      <c r="R304" s="452"/>
      <c r="S304" s="443"/>
      <c r="T304" s="42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ca="1" si="52"/>
        <v/>
      </c>
      <c r="Z304" s="427" t="str">
        <f t="shared" ca="1" si="53"/>
        <v/>
      </c>
      <c r="AA304" s="426" t="str">
        <f t="shared" ca="1" si="54"/>
        <v/>
      </c>
      <c r="AB304" s="428" t="str">
        <f t="shared" ca="1" si="55"/>
        <v/>
      </c>
      <c r="AC304" s="427" t="str">
        <f t="shared" ca="1" si="56"/>
        <v/>
      </c>
      <c r="AD304" s="79"/>
    </row>
    <row r="305" spans="1:30" customFormat="1" ht="1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568"/>
      <c r="O305" s="413"/>
      <c r="P305" s="413"/>
      <c r="Q305" s="413"/>
      <c r="R305" s="452"/>
      <c r="S305" s="443"/>
      <c r="T305" s="42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ca="1" si="52"/>
        <v/>
      </c>
      <c r="Z305" s="427" t="str">
        <f t="shared" ca="1" si="53"/>
        <v/>
      </c>
      <c r="AA305" s="426" t="str">
        <f t="shared" ca="1" si="54"/>
        <v/>
      </c>
      <c r="AB305" s="428" t="str">
        <f t="shared" ca="1" si="55"/>
        <v/>
      </c>
      <c r="AC305" s="427" t="str">
        <f t="shared" ca="1" si="56"/>
        <v/>
      </c>
      <c r="AD305" s="79"/>
    </row>
    <row r="306" spans="1:30" customFormat="1" ht="1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568"/>
      <c r="O306" s="413"/>
      <c r="P306" s="413"/>
      <c r="Q306" s="413"/>
      <c r="R306" s="452"/>
      <c r="S306" s="443"/>
      <c r="T306" s="42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ca="1" si="52"/>
        <v/>
      </c>
      <c r="Z306" s="427" t="str">
        <f t="shared" ca="1" si="53"/>
        <v/>
      </c>
      <c r="AA306" s="426" t="str">
        <f t="shared" ca="1" si="54"/>
        <v/>
      </c>
      <c r="AB306" s="428" t="str">
        <f t="shared" ca="1" si="55"/>
        <v/>
      </c>
      <c r="AC306" s="427" t="str">
        <f t="shared" ca="1" si="56"/>
        <v/>
      </c>
      <c r="AD306" s="79"/>
    </row>
    <row r="307" spans="1:30" customFormat="1" ht="1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568"/>
      <c r="O307" s="413"/>
      <c r="P307" s="413"/>
      <c r="Q307" s="413"/>
      <c r="R307" s="452"/>
      <c r="S307" s="443"/>
      <c r="T307" s="42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ca="1" si="52"/>
        <v/>
      </c>
      <c r="Z307" s="427" t="str">
        <f t="shared" ca="1" si="53"/>
        <v/>
      </c>
      <c r="AA307" s="426" t="str">
        <f t="shared" ca="1" si="54"/>
        <v/>
      </c>
      <c r="AB307" s="428" t="str">
        <f t="shared" ca="1" si="55"/>
        <v/>
      </c>
      <c r="AC307" s="427" t="str">
        <f t="shared" ca="1" si="56"/>
        <v/>
      </c>
      <c r="AD307" s="79"/>
    </row>
    <row r="308" spans="1:30" customFormat="1" ht="1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568"/>
      <c r="O308" s="413"/>
      <c r="P308" s="413"/>
      <c r="Q308" s="413"/>
      <c r="R308" s="452"/>
      <c r="S308" s="443"/>
      <c r="T308" s="42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ca="1" si="52"/>
        <v/>
      </c>
      <c r="Z308" s="427" t="str">
        <f t="shared" ca="1" si="53"/>
        <v/>
      </c>
      <c r="AA308" s="426" t="str">
        <f t="shared" ca="1" si="54"/>
        <v/>
      </c>
      <c r="AB308" s="428" t="str">
        <f t="shared" ca="1" si="55"/>
        <v/>
      </c>
      <c r="AC308" s="427" t="str">
        <f t="shared" ca="1" si="56"/>
        <v/>
      </c>
      <c r="AD308" s="79"/>
    </row>
    <row r="309" spans="1:30" customFormat="1" ht="1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568"/>
      <c r="O309" s="413"/>
      <c r="P309" s="413"/>
      <c r="Q309" s="413"/>
      <c r="R309" s="452"/>
      <c r="S309" s="443"/>
      <c r="T309" s="42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ca="1" si="52"/>
        <v/>
      </c>
      <c r="Z309" s="427" t="str">
        <f t="shared" ca="1" si="53"/>
        <v/>
      </c>
      <c r="AA309" s="426" t="str">
        <f t="shared" ca="1" si="54"/>
        <v/>
      </c>
      <c r="AB309" s="428" t="str">
        <f t="shared" ca="1" si="55"/>
        <v/>
      </c>
      <c r="AC309" s="427" t="str">
        <f t="shared" ca="1" si="56"/>
        <v/>
      </c>
      <c r="AD309" s="79"/>
    </row>
    <row r="310" spans="1:30" customFormat="1" ht="1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568"/>
      <c r="O310" s="413"/>
      <c r="P310" s="413"/>
      <c r="Q310" s="413"/>
      <c r="R310" s="452"/>
      <c r="S310" s="443"/>
      <c r="T310" s="42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ca="1" si="52"/>
        <v/>
      </c>
      <c r="Z310" s="427" t="str">
        <f t="shared" ca="1" si="53"/>
        <v/>
      </c>
      <c r="AA310" s="426" t="str">
        <f t="shared" ca="1" si="54"/>
        <v/>
      </c>
      <c r="AB310" s="428" t="str">
        <f t="shared" ca="1" si="55"/>
        <v/>
      </c>
      <c r="AC310" s="427" t="str">
        <f t="shared" ca="1" si="56"/>
        <v/>
      </c>
      <c r="AD310" s="79"/>
    </row>
    <row r="311" spans="1:30" customFormat="1" ht="1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568"/>
      <c r="O311" s="413"/>
      <c r="P311" s="413"/>
      <c r="Q311" s="413"/>
      <c r="R311" s="452"/>
      <c r="S311" s="443"/>
      <c r="T311" s="42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ca="1" si="52"/>
        <v/>
      </c>
      <c r="Z311" s="427" t="str">
        <f t="shared" ca="1" si="53"/>
        <v/>
      </c>
      <c r="AA311" s="426" t="str">
        <f t="shared" ca="1" si="54"/>
        <v/>
      </c>
      <c r="AB311" s="428" t="str">
        <f t="shared" ca="1" si="55"/>
        <v/>
      </c>
      <c r="AC311" s="427" t="str">
        <f t="shared" ca="1" si="56"/>
        <v/>
      </c>
      <c r="AD311" s="79"/>
    </row>
    <row r="312" spans="1:30" customFormat="1" ht="1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568"/>
      <c r="O312" s="413"/>
      <c r="P312" s="413"/>
      <c r="Q312" s="413"/>
      <c r="R312" s="452"/>
      <c r="S312" s="443"/>
      <c r="T312" s="42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ca="1" si="52"/>
        <v/>
      </c>
      <c r="Z312" s="427" t="str">
        <f t="shared" ca="1" si="53"/>
        <v/>
      </c>
      <c r="AA312" s="426" t="str">
        <f t="shared" ca="1" si="54"/>
        <v/>
      </c>
      <c r="AB312" s="428" t="str">
        <f t="shared" ca="1" si="55"/>
        <v/>
      </c>
      <c r="AC312" s="427" t="str">
        <f t="shared" ca="1" si="56"/>
        <v/>
      </c>
      <c r="AD312" s="79"/>
    </row>
    <row r="313" spans="1:30" customFormat="1" ht="15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568"/>
      <c r="O313" s="413"/>
      <c r="P313" s="413"/>
      <c r="Q313" s="413"/>
      <c r="R313" s="452"/>
      <c r="S313" s="443"/>
      <c r="T313" s="42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ca="1" si="52"/>
        <v/>
      </c>
      <c r="Z313" s="427" t="str">
        <f t="shared" ca="1" si="53"/>
        <v/>
      </c>
      <c r="AA313" s="426" t="str">
        <f t="shared" ca="1" si="54"/>
        <v/>
      </c>
      <c r="AB313" s="428" t="str">
        <f t="shared" ca="1" si="55"/>
        <v/>
      </c>
      <c r="AC313" s="427" t="str">
        <f t="shared" ca="1" si="56"/>
        <v/>
      </c>
      <c r="AD313" s="79"/>
    </row>
    <row r="314" spans="1:30" customFormat="1" ht="15.7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5"/>
      <c r="O314" s="415"/>
      <c r="P314" s="415"/>
      <c r="Q314" s="415"/>
      <c r="R314" s="416"/>
      <c r="S314" s="454"/>
      <c r="T314" s="43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ca="1" si="52"/>
        <v/>
      </c>
      <c r="Z314" s="427" t="str">
        <f t="shared" ca="1" si="53"/>
        <v/>
      </c>
      <c r="AA314" s="430"/>
      <c r="AB314" s="430"/>
      <c r="AC314" s="416"/>
      <c r="AD314" s="79"/>
    </row>
    <row r="315" spans="1:30" customFormat="1" ht="1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30" customFormat="1" ht="1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30" customFormat="1" ht="1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30" customFormat="1" ht="1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.7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 AH13 AL13 AF9 AH120 AL120 AF11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" name="Button 72">
              <controlPr defaultSize="0" print="0" autoFill="0" autoPict="0" macro="[0]!FRTBPricing">
                <anchor moveWithCells="1">
                  <from>
                    <xdr:col>30</xdr:col>
                    <xdr:colOff>9525</xdr:colOff>
                    <xdr:row>6</xdr:row>
                    <xdr:rowOff>95250</xdr:rowOff>
                  </from>
                  <to>
                    <xdr:col>30</xdr:col>
                    <xdr:colOff>609600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81" customWidth="1"/>
    <col min="2" max="2" width="17" style="281" bestFit="1" customWidth="1"/>
    <col min="3" max="3" width="26.5703125" style="281" bestFit="1" customWidth="1"/>
    <col min="4" max="4" width="10.5703125" style="282" customWidth="1"/>
    <col min="5" max="14" width="9.85546875" style="282" customWidth="1"/>
    <col min="15" max="31" width="9.140625" style="79"/>
    <col min="32" max="16384" width="9.14062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2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>
      <c r="B6" s="285" t="s">
        <v>475</v>
      </c>
      <c r="C6" s="286">
        <v>5000</v>
      </c>
      <c r="D6" s="281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2" thickBot="1">
      <c r="B7" s="287" t="s">
        <v>476</v>
      </c>
      <c r="C7" s="288" t="b">
        <v>0</v>
      </c>
      <c r="D7" s="281"/>
      <c r="E7" s="281"/>
      <c r="H7" s="289"/>
      <c r="O7" s="563"/>
      <c r="P7" s="563"/>
      <c r="Q7" s="563"/>
      <c r="R7" s="563"/>
      <c r="S7" s="563"/>
      <c r="T7" s="563"/>
      <c r="U7" s="563"/>
      <c r="V7" s="563"/>
      <c r="W7" s="563"/>
      <c r="X7" s="563"/>
      <c r="Y7" s="281"/>
      <c r="Z7" s="281"/>
      <c r="AA7" s="281"/>
      <c r="AB7" s="281"/>
      <c r="AC7" s="281"/>
      <c r="AD7" s="281"/>
      <c r="AE7" s="281"/>
    </row>
    <row r="8" spans="1:228" ht="12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2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2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2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2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2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2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2" thickBot="1">
      <c r="B19" s="295" t="s">
        <v>480</v>
      </c>
      <c r="C19" s="307"/>
      <c r="D19" s="308"/>
      <c r="E19" s="564" t="s">
        <v>481</v>
      </c>
      <c r="F19" s="564"/>
      <c r="G19" s="564"/>
      <c r="H19" s="564"/>
      <c r="I19" s="564"/>
      <c r="J19" s="564"/>
      <c r="K19" s="564"/>
      <c r="L19" s="564"/>
      <c r="M19" s="564"/>
      <c r="N19" s="565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2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2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2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2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2" thickBot="1">
      <c r="B25" s="283" t="s">
        <v>485</v>
      </c>
      <c r="C25" s="338">
        <v>8.3836702003960026E-2</v>
      </c>
      <c r="D25" s="339"/>
      <c r="E25" s="562" t="s">
        <v>486</v>
      </c>
      <c r="F25" s="562"/>
      <c r="G25" s="562"/>
      <c r="H25" s="562"/>
      <c r="I25" s="562"/>
      <c r="J25" s="562"/>
      <c r="K25" s="562"/>
      <c r="L25" s="562"/>
      <c r="M25" s="562"/>
      <c r="N25" s="56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2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2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2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2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2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60" t="s">
        <v>480</v>
      </c>
      <c r="D37" s="561"/>
      <c r="E37" s="562" t="s">
        <v>489</v>
      </c>
      <c r="F37" s="562"/>
      <c r="G37" s="562"/>
      <c r="H37" s="562"/>
      <c r="I37" s="562"/>
      <c r="J37" s="562"/>
      <c r="K37" s="562"/>
      <c r="L37" s="562"/>
      <c r="M37" s="562"/>
      <c r="N37" s="56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2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2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2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63"/>
      <c r="Q41" s="563"/>
      <c r="R41" s="563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2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2" thickBot="1">
      <c r="C44" s="332"/>
      <c r="D44" s="382"/>
      <c r="E44" s="560" t="s">
        <v>493</v>
      </c>
      <c r="F44" s="562"/>
      <c r="G44" s="562"/>
      <c r="H44" s="562"/>
      <c r="I44" s="562"/>
      <c r="J44" s="562"/>
      <c r="K44" s="562"/>
      <c r="L44" s="562"/>
      <c r="M44" s="562"/>
      <c r="N44" s="56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2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5">
      <c r="B46" s="386">
        <v>1</v>
      </c>
      <c r="C46" s="394" t="str" cm="1">
        <f t="array" aca="1" ref="C46" ca="1">IF(B46&lt;=$C$9,GetGetCDSName(B46),"")</f>
        <v>ABNAMRO_MMR.EUR.SU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5">
      <c r="B47" s="386">
        <f t="shared" ref="B47:B110" si="4">B46+1</f>
        <v>2</v>
      </c>
      <c r="C47" s="394" t="str" cm="1">
        <f t="array" aca="1" ref="C47" ca="1">IF(B47&lt;=$C$9,GetGetCDSName(B47),"")</f>
        <v>ACCOR_MMR.EUR.SU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5">
      <c r="B48" s="386">
        <f t="shared" si="4"/>
        <v>3</v>
      </c>
      <c r="C48" s="394" t="str" cm="1">
        <f t="array" aca="1" ref="C48" ca="1">IF(B48&lt;=$C$9,GetGetCDSName(B48),"")</f>
        <v>ADECCO_MMR.EUR.SU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5">
      <c r="B49" s="386">
        <f t="shared" si="4"/>
        <v>4</v>
      </c>
      <c r="C49" s="394" t="str" cm="1">
        <f t="array" aca="1" ref="C49" ca="1">IF(B49&lt;=$C$9,GetGetCDSName(B49),"")</f>
        <v>AEGON_MMR.EUR.SU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5">
      <c r="B50" s="386">
        <f t="shared" si="4"/>
        <v>5</v>
      </c>
      <c r="C50" s="394" t="str" cm="1">
        <f t="array" aca="1" ref="C50" ca="1">IF(B50&lt;=$C$9,GetGetCDSName(B50),"")</f>
        <v>AKZONOBEL_MMR.EUR.SU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5">
      <c r="B51" s="386">
        <f t="shared" si="4"/>
        <v>6</v>
      </c>
      <c r="C51" s="394" t="str" cm="1">
        <f t="array" aca="1" ref="C51" ca="1">IF(B51&lt;=$C$9,GetGetCDSName(B51),"")</f>
        <v>ALLIANZ_MMR.EUR.SU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5">
      <c r="B52" s="386">
        <f t="shared" si="4"/>
        <v>7</v>
      </c>
      <c r="C52" s="394" t="str" cm="1">
        <f t="array" aca="1" ref="C52" ca="1">IF(B52&lt;=$C$9,GetGetCDSName(B52),"")</f>
        <v>ALTADIS_MMR.EUR.SU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5">
      <c r="B53" s="386">
        <f t="shared" si="4"/>
        <v>8</v>
      </c>
      <c r="C53" s="394" t="str" cm="1">
        <f t="array" aca="1" ref="C53" ca="1">IF(B53&lt;=$C$9,GetGetCDSName(B53),"")</f>
        <v>ARCELORFINANCESCA_MMR.EUR.SU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5">
      <c r="B54" s="386">
        <f t="shared" si="4"/>
        <v>9</v>
      </c>
      <c r="C54" s="394" t="str" cm="1">
        <f t="array" aca="1" ref="C54" ca="1">IF(B54&lt;=$C$9,GetGetCDSName(B54),"")</f>
        <v>AUCHAN_MMR.EUR.SU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5">
      <c r="B55" s="386">
        <f t="shared" si="4"/>
        <v>10</v>
      </c>
      <c r="C55" s="394" t="str" cm="1">
        <f t="array" aca="1" ref="C55" ca="1">IF(B55&lt;=$C$9,GetGetCDSName(B55),"")</f>
        <v>AVIVA_MMR.EUR.SU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5">
      <c r="B56" s="386">
        <f t="shared" si="4"/>
        <v>11</v>
      </c>
      <c r="C56" s="394" t="str" cm="1">
        <f t="array" aca="1" ref="C56" ca="1">IF(B56&lt;=$C$9,GetGetCDSName(B56),"")</f>
        <v>AXA_MMR.EUR.SU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5">
      <c r="B57" s="386">
        <f t="shared" si="4"/>
        <v>12</v>
      </c>
      <c r="C57" s="394" t="str" cm="1">
        <f t="array" aca="1" ref="C57" ca="1">IF(B57&lt;=$C$9,GetGetCDSName(B57),"")</f>
        <v>BANCOESPIRITOSANTO_MMR.EUR.SU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5">
      <c r="B58" s="386">
        <f t="shared" si="4"/>
        <v>13</v>
      </c>
      <c r="C58" s="394" t="str" cm="1">
        <f t="array" aca="1" ref="C58" ca="1">IF(B58&lt;=$C$9,GetGetCDSName(B58),"")</f>
        <v>BARCLAYS_MMR.EUR.SU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5">
      <c r="B59" s="386">
        <f t="shared" si="4"/>
        <v>14</v>
      </c>
      <c r="C59" s="394" t="str" cm="1">
        <f t="array" aca="1" ref="C59" ca="1">IF(B59&lt;=$C$9,GetGetCDSName(B59),"")</f>
        <v>BASF_MMR.EUR.SU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5">
      <c r="B60" s="386">
        <f t="shared" si="4"/>
        <v>15</v>
      </c>
      <c r="C60" s="394" t="str" cm="1">
        <f t="array" aca="1" ref="C60" ca="1">IF(B60&lt;=$C$9,GetGetCDSName(B60),"")</f>
        <v>BAT_MMR.EUR.SU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5">
      <c r="B61" s="386">
        <f t="shared" si="4"/>
        <v>16</v>
      </c>
      <c r="C61" s="394" t="str" cm="1">
        <f t="array" aca="1" ref="C61" ca="1">IF(B61&lt;=$C$9,GetGetCDSName(B61),"")</f>
        <v>BAYER_MMR.EUR.SU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5">
      <c r="B62" s="386">
        <f t="shared" si="4"/>
        <v>17</v>
      </c>
      <c r="C62" s="394" t="str" cm="1">
        <f t="array" aca="1" ref="C62" ca="1">IF(B62&lt;=$C$9,GetGetCDSName(B62),"")</f>
        <v>BBVA_MMR.EUR.SU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5">
      <c r="B63" s="386">
        <f t="shared" si="4"/>
        <v>18</v>
      </c>
      <c r="C63" s="394" t="str" cm="1">
        <f t="array" aca="1" ref="C63" ca="1">IF(B63&lt;=$C$9,GetGetCDSName(B63),"")</f>
        <v>BERTELSMANNAG_MMR.EUR.SU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5">
      <c r="B64" s="386">
        <f t="shared" si="4"/>
        <v>19</v>
      </c>
      <c r="C64" s="394" t="str" cm="1">
        <f t="array" aca="1" ref="C64" ca="1">IF(B64&lt;=$C$9,GetGetCDSName(B64),"")</f>
        <v>BMW_MMR.EUR.SU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5">
      <c r="B65" s="386">
        <f t="shared" si="4"/>
        <v>20</v>
      </c>
      <c r="C65" s="394" t="str" cm="1">
        <f t="array" aca="1" ref="C65" ca="1">IF(B65&lt;=$C$9,GetGetCDSName(B65),"")</f>
        <v>BNPPARIBAS_MMR.EUR.SU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5">
      <c r="B66" s="386">
        <f t="shared" si="4"/>
        <v>21</v>
      </c>
      <c r="C66" s="394" t="str" cm="1">
        <f t="array" aca="1" ref="C66" ca="1">IF(B66&lt;=$C$9,GetGetCDSName(B66),"")</f>
        <v>BRITISHTELECOM_MMR.EUR.SU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5">
      <c r="B67" s="386">
        <f t="shared" si="4"/>
        <v>22</v>
      </c>
      <c r="C67" s="394" t="str" cm="1">
        <f t="array" aca="1" ref="C67" ca="1">IF(B67&lt;=$C$9,GetGetCDSName(B67),"")</f>
        <v>BSCH_MMR.EUR.SU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5">
      <c r="B68" s="386">
        <f t="shared" si="4"/>
        <v>23</v>
      </c>
      <c r="C68" s="394" t="str" cm="1">
        <f t="array" aca="1" ref="C68" ca="1">IF(B68&lt;=$C$9,GetGetCDSName(B68),"")</f>
        <v>CADBURYSCHWEPPES_MMR.EUR.SU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5">
      <c r="B69" s="386">
        <f t="shared" si="4"/>
        <v>24</v>
      </c>
      <c r="C69" s="394" t="str" cm="1">
        <f t="array" aca="1" ref="C69" ca="1">IF(B69&lt;=$C$9,GetGetCDSName(B69),"")</f>
        <v>CAPITALIA_MMR.EUR.SU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5">
      <c r="B70" s="386">
        <f t="shared" si="4"/>
        <v>25</v>
      </c>
      <c r="C70" s="394" t="str" cm="1">
        <f t="array" aca="1" ref="C70" ca="1">IF(B70&lt;=$C$9,GetGetCDSName(B70),"")</f>
        <v>CARREFOUR_MMR.EUR.SU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5">
      <c r="B71" s="386">
        <f t="shared" si="4"/>
        <v>26</v>
      </c>
      <c r="C71" s="394" t="str" cm="1">
        <f t="array" aca="1" ref="C71" ca="1">IF(B71&lt;=$C$9,GetGetCDSName(B71),"")</f>
        <v>CASINOGUICHARD_MMR.EUR.SU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5">
      <c r="B72" s="386">
        <f t="shared" si="4"/>
        <v>27</v>
      </c>
      <c r="C72" s="394" t="str" cm="1">
        <f t="array" aca="1" ref="C72" ca="1">IF(B72&lt;=$C$9,GetGetCDSName(B72),"")</f>
        <v>CENTRICA_MMR.EUR.SU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5">
      <c r="B73" s="386">
        <f t="shared" si="4"/>
        <v>28</v>
      </c>
      <c r="C73" s="394" t="str" cm="1">
        <f t="array" aca="1" ref="C73" ca="1">IF(B73&lt;=$C$9,GetGetCDSName(B73),"")</f>
        <v>CIBASC_MMR.EUR.SU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5">
      <c r="B74" s="386">
        <f t="shared" si="4"/>
        <v>29</v>
      </c>
      <c r="C74" s="394" t="str" cm="1">
        <f t="array" aca="1" ref="C74" ca="1">IF(B74&lt;=$C$9,GetGetCDSName(B74),"")</f>
        <v>COMMERZBANK_MMR.EUR.SU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5">
      <c r="B75" s="386">
        <f t="shared" si="4"/>
        <v>30</v>
      </c>
      <c r="C75" s="394" t="str" cm="1">
        <f t="array" aca="1" ref="C75" ca="1">IF(B75&lt;=$C$9,GetGetCDSName(B75),"")</f>
        <v>COMPASS_MMR.EUR.SU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5">
      <c r="B76" s="386">
        <f t="shared" si="4"/>
        <v>31</v>
      </c>
      <c r="C76" s="394" t="str" cm="1">
        <f t="array" aca="1" ref="C76" ca="1">IF(B76&lt;=$C$9,GetGetCDSName(B76),"")</f>
        <v>CONTINENTAL_MMR.EUR.SU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5">
      <c r="B77" s="386">
        <f t="shared" si="4"/>
        <v>32</v>
      </c>
      <c r="C77" s="394" t="str" cm="1">
        <f t="array" aca="1" ref="C77" ca="1">IF(B77&lt;=$C$9,GetGetCDSName(B77),"")</f>
        <v>CREDITAGRICOLE_MMR.EUR.SU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5">
      <c r="B78" s="386">
        <f t="shared" si="4"/>
        <v>33</v>
      </c>
      <c r="C78" s="394" t="str" cm="1">
        <f t="array" aca="1" ref="C78" ca="1">IF(B78&lt;=$C$9,GetGetCDSName(B78),"")</f>
        <v>CREDITSUISSEGROUP_MMR.EUR.SU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5">
      <c r="B79" s="386">
        <f t="shared" si="4"/>
        <v>34</v>
      </c>
      <c r="C79" s="394" t="str" cm="1">
        <f t="array" aca="1" ref="C79" ca="1">IF(B79&lt;=$C$9,GetGetCDSName(B79),"")</f>
        <v>DAIMLERCHRYSLER_MMR.EUR.SU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5">
      <c r="B80" s="386">
        <f t="shared" si="4"/>
        <v>35</v>
      </c>
      <c r="C80" s="394" t="str" cm="1">
        <f t="array" aca="1" ref="C80" ca="1">IF(B80&lt;=$C$9,GetGetCDSName(B80),"")</f>
        <v>DANONE_MMR.EUR.SU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5">
      <c r="B81" s="386">
        <f t="shared" si="4"/>
        <v>36</v>
      </c>
      <c r="C81" s="394" t="str" cm="1">
        <f t="array" aca="1" ref="C81" ca="1">IF(B81&lt;=$C$9,GetGetCDSName(B81),"")</f>
        <v>DEUTSCHEBANK_MMR.EUR.SU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5">
      <c r="B82" s="386">
        <f t="shared" si="4"/>
        <v>37</v>
      </c>
      <c r="C82" s="394" t="str" cm="1">
        <f t="array" aca="1" ref="C82" ca="1">IF(B82&lt;=$C$9,GetGetCDSName(B82),"")</f>
        <v>DEUTSCHEPOSTAG_MMR.EUR.SU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5">
      <c r="B83" s="386">
        <f t="shared" si="4"/>
        <v>38</v>
      </c>
      <c r="C83" s="394" t="str" cm="1">
        <f t="array" aca="1" ref="C83" ca="1">IF(B83&lt;=$C$9,GetGetCDSName(B83),"")</f>
        <v>DEUTSCHETELEKOM_MMR.EUR.SU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5">
      <c r="B84" s="386">
        <f t="shared" si="4"/>
        <v>39</v>
      </c>
      <c r="C84" s="394" t="str" cm="1">
        <f t="array" aca="1" ref="C84" ca="1">IF(B84&lt;=$C$9,GetGetCDSName(B84),"")</f>
        <v>DIAGEO_MMR.EUR.SU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5">
      <c r="B85" s="386">
        <f t="shared" si="4"/>
        <v>40</v>
      </c>
      <c r="C85" s="394" t="str" cm="1">
        <f t="array" aca="1" ref="C85" ca="1">IF(B85&lt;=$C$9,GetGetCDSName(B85),"")</f>
        <v>DIXONSGROUPPLC_MMR.EUR.SU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5">
      <c r="B86" s="386">
        <f t="shared" si="4"/>
        <v>41</v>
      </c>
      <c r="C86" s="394" t="str" cm="1">
        <f t="array" aca="1" ref="C86" ca="1">IF(B86&lt;=$C$9,GetGetCDSName(B86),"")</f>
        <v>DSM_MMR.EUR.SU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5">
      <c r="B87" s="386">
        <f t="shared" si="4"/>
        <v>42</v>
      </c>
      <c r="C87" s="394" t="str" cm="1">
        <f t="array" aca="1" ref="C87" ca="1">IF(B87&lt;=$C$9,GetGetCDSName(B87),"")</f>
        <v>EADS_MMR.EUR.SU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5">
      <c r="B88" s="386">
        <f t="shared" si="4"/>
        <v>43</v>
      </c>
      <c r="C88" s="394" t="str" cm="1">
        <f t="array" aca="1" ref="C88" ca="1">IF(B88&lt;=$C$9,GetGetCDSName(B88),"")</f>
        <v>EDF_MMR.EUR.SU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5">
      <c r="B89" s="386">
        <f t="shared" si="4"/>
        <v>44</v>
      </c>
      <c r="C89" s="394" t="str" cm="1">
        <f t="array" aca="1" ref="C89" ca="1">IF(B89&lt;=$C$9,GetGetCDSName(B89),"")</f>
        <v>EDISON_MMR.EUR.SU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5">
      <c r="B90" s="386">
        <f t="shared" si="4"/>
        <v>45</v>
      </c>
      <c r="C90" s="394" t="str" cm="1">
        <f t="array" aca="1" ref="C90" ca="1">IF(B90&lt;=$C$9,GetGetCDSName(B90),"")</f>
        <v>ELECTRICITEDEPORTUGAL_MMR.EUR.SU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5">
      <c r="B91" s="386">
        <f t="shared" si="4"/>
        <v>46</v>
      </c>
      <c r="C91" s="394" t="str" cm="1">
        <f t="array" aca="1" ref="C91" ca="1">IF(B91&lt;=$C$9,GetGetCDSName(B91),"")</f>
        <v>ELECTROLUX_MMR.EUR.SU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5">
      <c r="B92" s="386">
        <f t="shared" si="4"/>
        <v>47</v>
      </c>
      <c r="C92" s="394" t="str" cm="1">
        <f t="array" aca="1" ref="C92" ca="1">IF(B92&lt;=$C$9,GetGetCDSName(B92),"")</f>
        <v>ENDESA_MMR.EUR.SU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5">
      <c r="B93" s="386">
        <f t="shared" si="4"/>
        <v>48</v>
      </c>
      <c r="C93" s="394" t="str" cm="1">
        <f t="array" aca="1" ref="C93" ca="1">IF(B93&lt;=$C$9,GetGetCDSName(B93),"")</f>
        <v>ENEL_MMR.EUR.SU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5">
      <c r="B94" s="386">
        <f t="shared" si="4"/>
        <v>49</v>
      </c>
      <c r="C94" s="394" t="str" cm="1">
        <f t="array" aca="1" ref="C94" ca="1">IF(B94&lt;=$C$9,GetGetCDSName(B94),"")</f>
        <v>ENERGIEBADENWUERTTEMBERG_MMR.EUR.SU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5">
      <c r="B95" s="386">
        <f t="shared" si="4"/>
        <v>50</v>
      </c>
      <c r="C95" s="394" t="str" cm="1">
        <f t="array" aca="1" ref="C95" ca="1">IF(B95&lt;=$C$9,GetGetCDSName(B95),"")</f>
        <v>EON_MMR.EUR.SU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5">
      <c r="B96" s="386">
        <f t="shared" si="4"/>
        <v>51</v>
      </c>
      <c r="C96" s="394" t="str" cm="1">
        <f t="array" aca="1" ref="C96" ca="1">IF(B96&lt;=$C$9,GetGetCDSName(B96),"")</f>
        <v>FORTUMOYJ_MMR.EUR.SU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5">
      <c r="B97" s="386">
        <f t="shared" si="4"/>
        <v>52</v>
      </c>
      <c r="C97" s="394" t="str" cm="1">
        <f t="array" aca="1" ref="C97" ca="1">IF(B97&lt;=$C$9,GetGetCDSName(B97),"")</f>
        <v>FRANCETELECOM_MMR.EUR.SU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5">
      <c r="B98" s="386">
        <f t="shared" si="4"/>
        <v>53</v>
      </c>
      <c r="C98" s="394" t="str" cm="1">
        <f t="array" aca="1" ref="C98" ca="1">IF(B98&lt;=$C$9,GetGetCDSName(B98),"")</f>
        <v>GALLAHERGROUPPLC_MMR.EUR.SU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5">
      <c r="B99" s="386">
        <f t="shared" si="4"/>
        <v>54</v>
      </c>
      <c r="C99" s="394" t="str" cm="1">
        <f t="array" aca="1" ref="C99" ca="1">IF(B99&lt;=$C$9,GetGetCDSName(B99),"")</f>
        <v>GASNATURALSDGSA_MMR.EUR.SU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5">
      <c r="B100" s="386">
        <f t="shared" si="4"/>
        <v>55</v>
      </c>
      <c r="C100" s="394" t="str" cm="1">
        <f t="array" aca="1" ref="C100" ca="1">IF(B100&lt;=$C$9,GetGetCDSName(B100),"")</f>
        <v>GAZDEFRANCE_MMR.EUR.SU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5">
      <c r="B101" s="386">
        <f t="shared" si="4"/>
        <v>56</v>
      </c>
      <c r="C101" s="394" t="str" cm="1">
        <f t="array" aca="1" ref="C101" ca="1">IF(B101&lt;=$C$9,GetGetCDSName(B101),"")</f>
        <v>GENERALI_MMR.EUR.SU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5">
      <c r="B102" s="386">
        <f t="shared" si="4"/>
        <v>57</v>
      </c>
      <c r="C102" s="394" t="str" cm="1">
        <f t="array" aca="1" ref="C102" ca="1">IF(B102&lt;=$C$9,GetGetCDSName(B102),"")</f>
        <v>GKN HOLDINGS  PLC_MMR.EUR.SU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5">
      <c r="B103" s="386">
        <f t="shared" si="4"/>
        <v>58</v>
      </c>
      <c r="C103" s="394" t="str" cm="1">
        <f t="array" aca="1" ref="C103" ca="1">IF(B103&lt;=$C$9,GetGetCDSName(B103),"")</f>
        <v>GLENCOREINTAG_MMR.EUR.SU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5">
      <c r="B104" s="386">
        <f t="shared" si="4"/>
        <v>59</v>
      </c>
      <c r="C104" s="394" t="str" cm="1">
        <f t="array" aca="1" ref="C104" ca="1">IF(B104&lt;=$C$9,GetGetCDSName(B104),"")</f>
        <v>GREATUNIVERSALSTORES_MMR.EUR.SU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5">
      <c r="B105" s="386">
        <f t="shared" si="4"/>
        <v>60</v>
      </c>
      <c r="C105" s="394" t="str" cm="1">
        <f t="array" aca="1" ref="C105" ca="1">IF(B105&lt;=$C$9,GetGetCDSName(B105),"")</f>
        <v>HANNOVERRUECK_MMR.EUR.SU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5">
      <c r="B106" s="386">
        <f t="shared" si="4"/>
        <v>61</v>
      </c>
      <c r="C106" s="394" t="str" cm="1">
        <f t="array" aca="1" ref="C106" ca="1">IF(B106&lt;=$C$9,GetGetCDSName(B106),"")</f>
        <v>HELLENIC TELCOM_MMR.EUR.SU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5">
      <c r="B107" s="386">
        <f t="shared" si="4"/>
        <v>62</v>
      </c>
      <c r="C107" s="394" t="str" cm="1">
        <f t="array" aca="1" ref="C107" ca="1">IF(B107&lt;=$C$9,GetGetCDSName(B107),"")</f>
        <v>HENKELKG_MMR.EUR.SU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5">
      <c r="B108" s="386">
        <f t="shared" si="4"/>
        <v>63</v>
      </c>
      <c r="C108" s="394" t="str" cm="1">
        <f t="array" aca="1" ref="C108" ca="1">IF(B108&lt;=$C$9,GetGetCDSName(B108),"")</f>
        <v>IBERDROLA_MMR.EUR.SU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5">
      <c r="B109" s="386">
        <f t="shared" si="4"/>
        <v>64</v>
      </c>
      <c r="C109" s="394" t="str" cm="1">
        <f t="array" aca="1" ref="C109" ca="1">IF(B109&lt;=$C$9,GetGetCDSName(B109),"")</f>
        <v>ICI_MMR.EUR.SU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5">
      <c r="B110" s="386">
        <f t="shared" si="4"/>
        <v>65</v>
      </c>
      <c r="C110" s="394" t="str" cm="1">
        <f t="array" aca="1" ref="C110" ca="1">IF(B110&lt;=$C$9,GetGetCDSName(B110),"")</f>
        <v>INTESA_MMR.EUR.SU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5">
      <c r="B111" s="386">
        <f t="shared" ref="B111:B174" si="5">B110+1</f>
        <v>66</v>
      </c>
      <c r="C111" s="394" t="str" cm="1">
        <f t="array" aca="1" ref="C111" ca="1">IF(B111&lt;=$C$9,GetGetCDSName(B111),"")</f>
        <v>KINGFISHER_MMR.EUR.SU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5">
      <c r="B112" s="386">
        <f t="shared" si="5"/>
        <v>67</v>
      </c>
      <c r="C112" s="394" t="str" cm="1">
        <f t="array" aca="1" ref="C112" ca="1">IF(B112&lt;=$C$9,GetGetCDSName(B112),"")</f>
        <v>KPN_MMR.EUR.SU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5">
      <c r="B113" s="386">
        <f t="shared" si="5"/>
        <v>68</v>
      </c>
      <c r="C113" s="394" t="str" cm="1">
        <f t="array" aca="1" ref="C113" ca="1">IF(B113&lt;=$C$9,GetGetCDSName(B113),"")</f>
        <v>LAFARGE_MMR.EUR.SU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5">
      <c r="B114" s="386">
        <f t="shared" si="5"/>
        <v>69</v>
      </c>
      <c r="C114" s="394" t="str" cm="1">
        <f t="array" aca="1" ref="C114" ca="1">IF(B114&lt;=$C$9,GetGetCDSName(B114),"")</f>
        <v>LINDE_MMR.EUR.SU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5">
      <c r="B115" s="386">
        <f t="shared" si="5"/>
        <v>70</v>
      </c>
      <c r="C115" s="394" t="str" cm="1">
        <f t="array" aca="1" ref="C115" ca="1">IF(B115&lt;=$C$9,GetGetCDSName(B115),"")</f>
        <v>LUFTHANSA_MMR.EUR.SU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5">
      <c r="B116" s="386">
        <f t="shared" si="5"/>
        <v>71</v>
      </c>
      <c r="C116" s="394" t="str" cm="1">
        <f t="array" aca="1" ref="C116" ca="1">IF(B116&lt;=$C$9,GetGetCDSName(B116),"")</f>
        <v>LVMH_MMR.EUR.SU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5">
      <c r="B117" s="386">
        <f t="shared" si="5"/>
        <v>72</v>
      </c>
      <c r="C117" s="394" t="str" cm="1">
        <f t="array" aca="1" ref="C117" ca="1">IF(B117&lt;=$C$9,GetGetCDSName(B117),"")</f>
        <v>MARKSANDSPENCERPLC_MMR.EUR.SU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5">
      <c r="B118" s="386">
        <f t="shared" si="5"/>
        <v>73</v>
      </c>
      <c r="C118" s="394" t="str" cm="1">
        <f t="array" aca="1" ref="C118" ca="1">IF(B118&lt;=$C$9,GetGetCDSName(B118),"")</f>
        <v>METRO_MMR.EUR.SU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5">
      <c r="B119" s="386">
        <f t="shared" si="5"/>
        <v>74</v>
      </c>
      <c r="C119" s="394" t="str" cm="1">
        <f t="array" aca="1" ref="C119" ca="1">IF(B119&lt;=$C$9,GetGetCDSName(B119),"")</f>
        <v>MICHELIN_MMR.EUR.SU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5">
      <c r="B120" s="386">
        <f t="shared" si="5"/>
        <v>75</v>
      </c>
      <c r="C120" s="394" t="str" cm="1">
        <f t="array" aca="1" ref="C120" ca="1">IF(B120&lt;=$C$9,GetGetCDSName(B120),"")</f>
        <v>MONTEDEIPASCHI_MMR.EUR.SU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5">
      <c r="B121" s="386">
        <f t="shared" si="5"/>
        <v>76</v>
      </c>
      <c r="C121" s="394" t="str" cm="1">
        <f t="array" aca="1" ref="C121" ca="1">IF(B121&lt;=$C$9,GetGetCDSName(B121),"")</f>
        <v>MUNICHRE_MMR.EUR.SU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5">
      <c r="B122" s="386">
        <f t="shared" si="5"/>
        <v>77</v>
      </c>
      <c r="C122" s="394" t="str" cm="1">
        <f t="array" aca="1" ref="C122" ca="1">IF(B122&lt;=$C$9,GetGetCDSName(B122),"")</f>
        <v>NATIONALGRIDTRANSCOPLC_MMR.EUR.SU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5">
      <c r="B123" s="386">
        <f t="shared" si="5"/>
        <v>78</v>
      </c>
      <c r="C123" s="394" t="str" cm="1">
        <f t="array" aca="1" ref="C123" ca="1">IF(B123&lt;=$C$9,GetGetCDSName(B123),"")</f>
        <v>NEXTPLC_MMR.EUR.SU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5">
      <c r="B124" s="386">
        <f t="shared" si="5"/>
        <v>79</v>
      </c>
      <c r="C124" s="394" t="str" cm="1">
        <f t="array" aca="1" ref="C124" ca="1">IF(B124&lt;=$C$9,GetGetCDSName(B124),"")</f>
        <v>PEARSON_MMR.EUR.SU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5">
      <c r="B125" s="386">
        <f t="shared" si="5"/>
        <v>80</v>
      </c>
      <c r="C125" s="394" t="str" cm="1">
        <f t="array" aca="1" ref="C125" ca="1">IF(B125&lt;=$C$9,GetGetCDSName(B125),"")</f>
        <v>PEUGEOT_MMR.EUR.SU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5">
      <c r="B126" s="386">
        <f t="shared" si="5"/>
        <v>81</v>
      </c>
      <c r="C126" s="394" t="str" cm="1">
        <f t="array" aca="1" ref="C126" ca="1">IF(B126&lt;=$C$9,GetGetCDSName(B126),"")</f>
        <v>PHILIPSELEC_MMR.EUR.SU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5">
      <c r="B127" s="386">
        <f t="shared" si="5"/>
        <v>82</v>
      </c>
      <c r="C127" s="394" t="str" cm="1">
        <f t="array" aca="1" ref="C127" ca="1">IF(B127&lt;=$C$9,GetGetCDSName(B127),"")</f>
        <v>PINAULTPRINTEMPS_MMR.EUR.SU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5">
      <c r="B128" s="386">
        <f t="shared" si="5"/>
        <v>83</v>
      </c>
      <c r="C128" s="394" t="str" cm="1">
        <f t="array" aca="1" ref="C128" ca="1">IF(B128&lt;=$C$9,GetGetCDSName(B128),"")</f>
        <v>PORTUGALTELECOM_MMR.EUR.SU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5">
      <c r="B129" s="386">
        <f t="shared" si="5"/>
        <v>84</v>
      </c>
      <c r="C129" s="394" t="str" cm="1">
        <f t="array" aca="1" ref="C129" ca="1">IF(B129&lt;=$C$9,GetGetCDSName(B129),"")</f>
        <v>REEDELSEVIER_MMR.EUR.SU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5">
      <c r="B130" s="386">
        <f t="shared" si="5"/>
        <v>85</v>
      </c>
      <c r="C130" s="394" t="str" cm="1">
        <f t="array" aca="1" ref="C130" ca="1">IF(B130&lt;=$C$9,GetGetCDSName(B130),"")</f>
        <v>RENAULT_MMR.EUR.SU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5">
      <c r="B131" s="386">
        <f t="shared" si="5"/>
        <v>86</v>
      </c>
      <c r="C131" s="394" t="str" cm="1">
        <f t="array" aca="1" ref="C131" ca="1">IF(B131&lt;=$C$9,GetGetCDSName(B131),"")</f>
        <v>REPSOL_MMR.EUR.SU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5">
      <c r="B132" s="386">
        <f t="shared" si="5"/>
        <v>87</v>
      </c>
      <c r="C132" s="394" t="str" cm="1">
        <f t="array" aca="1" ref="C132" ca="1">IF(B132&lt;=$C$9,GetGetCDSName(B132),"")</f>
        <v>REUTERS_MMR.EUR.SU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5">
      <c r="B133" s="386">
        <f t="shared" si="5"/>
        <v>88</v>
      </c>
      <c r="C133" s="394" t="str" cm="1">
        <f t="array" aca="1" ref="C133" ca="1">IF(B133&lt;=$C$9,GetGetCDSName(B133),"")</f>
        <v>ROYALBANKSCOTLAND_MMR.EUR.SU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5">
      <c r="B134" s="386">
        <f t="shared" si="5"/>
        <v>89</v>
      </c>
      <c r="C134" s="394" t="str" cm="1">
        <f t="array" aca="1" ref="C134" ca="1">IF(B134&lt;=$C$9,GetGetCDSName(B134),"")</f>
        <v>RWE_MMR.EUR.SU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5">
      <c r="B135" s="386">
        <f t="shared" si="5"/>
        <v>90</v>
      </c>
      <c r="C135" s="394" t="str" cm="1">
        <f t="array" aca="1" ref="C135" ca="1">IF(B135&lt;=$C$9,GetGetCDSName(B135),"")</f>
        <v>SAFEWAYPLC_MMR.EUR.SU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5">
      <c r="B136" s="386">
        <f t="shared" si="5"/>
        <v>91</v>
      </c>
      <c r="C136" s="394" t="str" cm="1">
        <f t="array" aca="1" ref="C136" ca="1">IF(B136&lt;=$C$9,GetGetCDSName(B136),"")</f>
        <v>SANOFIAVENTIS_MMR.EUR.SU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5">
      <c r="B137" s="386">
        <f t="shared" si="5"/>
        <v>92</v>
      </c>
      <c r="C137" s="394" t="str" cm="1">
        <f t="array" aca="1" ref="C137" ca="1">IF(B137&lt;=$C$9,GetGetCDSName(B137),"")</f>
        <v>SIEMENS_MMR.EUR.SU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5">
      <c r="B138" s="386">
        <f t="shared" si="5"/>
        <v>93</v>
      </c>
      <c r="C138" s="394" t="str" cm="1">
        <f t="array" aca="1" ref="C138" ca="1">IF(B138&lt;=$C$9,GetGetCDSName(B138),"")</f>
        <v>SODEXHOALLIANCE_MMR.EUR.SU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5">
      <c r="B139" s="386">
        <f t="shared" si="5"/>
        <v>94</v>
      </c>
      <c r="C139" s="394" t="str" cm="1">
        <f t="array" aca="1" ref="C139" ca="1">IF(B139&lt;=$C$9,GetGetCDSName(B139),"")</f>
        <v>SOLVAY_MMR.EUR.SU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5">
      <c r="B140" s="386">
        <f t="shared" si="5"/>
        <v>95</v>
      </c>
      <c r="C140" s="394" t="str" cm="1">
        <f t="array" aca="1" ref="C140" ca="1">IF(B140&lt;=$C$9,GetGetCDSName(B140),"")</f>
        <v>STGOBAIN_MMR.EUR.SU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5">
      <c r="B141" s="386">
        <f t="shared" si="5"/>
        <v>96</v>
      </c>
      <c r="C141" s="394" t="str" cm="1">
        <f t="array" aca="1" ref="C141" ca="1">IF(B141&lt;=$C$9,GetGetCDSName(B141),"")</f>
        <v>STMICRO_MMR.EUR.SU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5">
      <c r="B142" s="386">
        <f t="shared" si="5"/>
        <v>97</v>
      </c>
      <c r="C142" s="394" t="str" cm="1">
        <f t="array" aca="1" ref="C142" ca="1">IF(B142&lt;=$C$9,GetGetCDSName(B142),"")</f>
        <v>SUEDZUCKERAG_MMR.EUR.SU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5">
      <c r="B143" s="386">
        <f t="shared" si="5"/>
        <v>98</v>
      </c>
      <c r="C143" s="394" t="str" cm="1">
        <f t="array" aca="1" ref="C143" ca="1">IF(B143&lt;=$C$9,GetGetCDSName(B143),"")</f>
        <v>SUEZLYONNAISE_MMR.EUR.SU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5">
      <c r="B144" s="386">
        <f t="shared" si="5"/>
        <v>99</v>
      </c>
      <c r="C144" s="394" t="str" cm="1">
        <f t="array" aca="1" ref="C144" ca="1">IF(B144&lt;=$C$9,GetGetCDSName(B144),"")</f>
        <v>SVENSKACELLULOSAAB_MMR.EUR.SU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5">
      <c r="B145" s="386">
        <f t="shared" si="5"/>
        <v>100</v>
      </c>
      <c r="C145" s="394" t="str" cm="1">
        <f t="array" aca="1" ref="C145" ca="1">IF(B145&lt;=$C$9,GetGetCDSName(B145),"")</f>
        <v>SWISSRE_MMR.EUR.SU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5">
      <c r="B146" s="386">
        <f t="shared" si="5"/>
        <v>101</v>
      </c>
      <c r="C146" s="394" t="str" cm="1">
        <f t="array" aca="1" ref="C146" ca="1">IF(B146&lt;=$C$9,GetGetCDSName(B146),"")</f>
        <v>TATE&amp;LYLE_MMR.EUR.SU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5">
      <c r="B147" s="386">
        <f t="shared" si="5"/>
        <v>102</v>
      </c>
      <c r="C147" s="394" t="str" cm="1">
        <f t="array" aca="1" ref="C147" ca="1">IF(B147&lt;=$C$9,GetGetCDSName(B147),"")</f>
        <v>TELECOMITALIA_MMR.EUR.SU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5">
      <c r="B148" s="386">
        <f t="shared" si="5"/>
        <v>103</v>
      </c>
      <c r="C148" s="394" t="str" cm="1">
        <f t="array" aca="1" ref="C148" ca="1">IF(B148&lt;=$C$9,GetGetCDSName(B148),"")</f>
        <v>TELEFONICA_MMR.EUR.SU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5">
      <c r="B149" s="386">
        <f t="shared" si="5"/>
        <v>104</v>
      </c>
      <c r="C149" s="394" t="str" cm="1">
        <f t="array" aca="1" ref="C149" ca="1">IF(B149&lt;=$C$9,GetGetCDSName(B149),"")</f>
        <v>TELEKOMAUSTRIA_MMR.EUR.SU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5">
      <c r="B150" s="386">
        <f t="shared" si="5"/>
        <v>105</v>
      </c>
      <c r="C150" s="394" t="str" cm="1">
        <f t="array" aca="1" ref="C150" ca="1">IF(B150&lt;=$C$9,GetGetCDSName(B150),"")</f>
        <v>TELENOR_MMR.EUR.SU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5">
      <c r="B151" s="386">
        <f t="shared" si="5"/>
        <v>106</v>
      </c>
      <c r="C151" s="394" t="str" cm="1">
        <f t="array" aca="1" ref="C151" ca="1">IF(B151&lt;=$C$9,GetGetCDSName(B151),"")</f>
        <v>TELIA_MMR.EUR.SU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5">
      <c r="B152" s="386">
        <f t="shared" si="5"/>
        <v>107</v>
      </c>
      <c r="C152" s="394" t="str" cm="1">
        <f t="array" aca="1" ref="C152" ca="1">IF(B152&lt;=$C$9,GetGetCDSName(B152),"")</f>
        <v>TESCO_MMR.EUR.SU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5">
      <c r="B153" s="386">
        <f t="shared" si="5"/>
        <v>108</v>
      </c>
      <c r="C153" s="394" t="str" cm="1">
        <f t="array" aca="1" ref="C153" ca="1">IF(B153&lt;=$C$9,GetGetCDSName(B153),"")</f>
        <v>THYSSENKRUPPAG_MMR.EUR.SU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5">
      <c r="B154" s="386">
        <f t="shared" si="5"/>
        <v>109</v>
      </c>
      <c r="C154" s="394" t="str" cm="1">
        <f t="array" aca="1" ref="C154" ca="1">IF(B154&lt;=$C$9,GetGetCDSName(B154),"")</f>
        <v>UBS_MMR.EUR.SU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5">
      <c r="B155" s="386">
        <f t="shared" si="5"/>
        <v>110</v>
      </c>
      <c r="C155" s="394" t="str" cm="1">
        <f t="array" aca="1" ref="C155" ca="1">IF(B155&lt;=$C$9,GetGetCDSName(B155),"")</f>
        <v>UNICREDITOITALIANO_MMR.EUR.SU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5">
      <c r="B156" s="386">
        <f t="shared" si="5"/>
        <v>111</v>
      </c>
      <c r="C156" s="394" t="str" cm="1">
        <f t="array" aca="1" ref="C156" ca="1">IF(B156&lt;=$C$9,GetGetCDSName(B156),"")</f>
        <v>UNILEVER_MMR.EUR.SU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5">
      <c r="B157" s="386">
        <f t="shared" si="5"/>
        <v>112</v>
      </c>
      <c r="C157" s="394" t="str" cm="1">
        <f t="array" aca="1" ref="C157" ca="1">IF(B157&lt;=$C$9,GetGetCDSName(B157),"")</f>
        <v>UNIONFENOSA_MMR.EUR.SU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5">
      <c r="B158" s="386">
        <f t="shared" si="5"/>
        <v>113</v>
      </c>
      <c r="C158" s="394" t="str" cm="1">
        <f t="array" aca="1" ref="C158" ca="1">IF(B158&lt;=$C$9,GetGetCDSName(B158),"")</f>
        <v>UNITEDUTILITIES_MMR.EUR.SU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5">
      <c r="B159" s="386">
        <f t="shared" si="5"/>
        <v>114</v>
      </c>
      <c r="C159" s="394" t="str" cm="1">
        <f t="array" aca="1" ref="C159" ca="1">IF(B159&lt;=$C$9,GetGetCDSName(B159),"")</f>
        <v>UPMKYMMENE_MMR.EUR.SU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5">
      <c r="B160" s="386">
        <f t="shared" si="5"/>
        <v>115</v>
      </c>
      <c r="C160" s="394" t="str" cm="1">
        <f t="array" aca="1" ref="C160" ca="1">IF(B160&lt;=$C$9,GetGetCDSName(B160),"")</f>
        <v>VALEO_MMR.EUR.SU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5">
      <c r="B161" s="386">
        <f t="shared" si="5"/>
        <v>116</v>
      </c>
      <c r="C161" s="394" t="str" cm="1">
        <f t="array" aca="1" ref="C161" ca="1">IF(B161&lt;=$C$9,GetGetCDSName(B161),"")</f>
        <v>VATTENFALLAB_MMR.EUR.SU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5">
      <c r="B162" s="386">
        <f t="shared" si="5"/>
        <v>117</v>
      </c>
      <c r="C162" s="394" t="str" cm="1">
        <f t="array" aca="1" ref="C162" ca="1">IF(B162&lt;=$C$9,GetGetCDSName(B162),"")</f>
        <v>VEOLIAENVIRONNEMENT_MMR.EUR.SU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5">
      <c r="B163" s="386">
        <f t="shared" si="5"/>
        <v>118</v>
      </c>
      <c r="C163" s="394" t="str" cm="1">
        <f t="array" aca="1" ref="C163" ca="1">IF(B163&lt;=$C$9,GetGetCDSName(B163),"")</f>
        <v>VINCI_MMR.EUR.SU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5">
      <c r="B164" s="386">
        <f t="shared" si="5"/>
        <v>119</v>
      </c>
      <c r="C164" s="394" t="str" cm="1">
        <f t="array" aca="1" ref="C164" ca="1">IF(B164&lt;=$C$9,GetGetCDSName(B164),"")</f>
        <v>VIVENDI_MMR.EUR.SU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5">
      <c r="B165" s="386">
        <f t="shared" si="5"/>
        <v>120</v>
      </c>
      <c r="C165" s="394" t="str" cm="1">
        <f t="array" aca="1" ref="C165" ca="1">IF(B165&lt;=$C$9,GetGetCDSName(B165),"")</f>
        <v>VODAFONE_MMR.EUR.SU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5">
      <c r="B166" s="386">
        <f t="shared" si="5"/>
        <v>121</v>
      </c>
      <c r="C166" s="394" t="str" cm="1">
        <f t="array" aca="1" ref="C166" ca="1">IF(B166&lt;=$C$9,GetGetCDSName(B166),"")</f>
        <v>VOLVO_MMR.EUR.SU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5">
      <c r="B167" s="386">
        <f t="shared" si="5"/>
        <v>122</v>
      </c>
      <c r="C167" s="394" t="str" cm="1">
        <f t="array" aca="1" ref="C167" ca="1">IF(B167&lt;=$C$9,GetGetCDSName(B167),"")</f>
        <v>VW_MMR.EUR.SU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5">
      <c r="B168" s="386">
        <f t="shared" si="5"/>
        <v>123</v>
      </c>
      <c r="C168" s="394" t="str" cm="1">
        <f t="array" aca="1" ref="C168" ca="1">IF(B168&lt;=$C$9,GetGetCDSName(B168),"")</f>
        <v>WOLTERSKLUWERCVA_MMR.EUR.SU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5">
      <c r="B169" s="386">
        <f t="shared" si="5"/>
        <v>124</v>
      </c>
      <c r="C169" s="394" t="str" cm="1">
        <f t="array" aca="1" ref="C169" ca="1">IF(B169&lt;=$C$9,GetGetCDSName(B169),"")</f>
        <v>WPPGROUP_MMR.EUR.SU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5">
      <c r="B170" s="386">
        <f t="shared" si="5"/>
        <v>125</v>
      </c>
      <c r="C170" s="394" t="str" cm="1">
        <f t="array" aca="1" ref="C170" ca="1">IF(B170&lt;=$C$9,GetGetCDSName(B170),"")</f>
        <v>ZURICHINSURANCE_MMR.EUR.SU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5">
      <c r="B171" s="386">
        <f t="shared" si="5"/>
        <v>126</v>
      </c>
      <c r="C171" s="394" t="str" cm="1">
        <f t="array" aca="1" ref="C171" ca="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5">
      <c r="B172" s="386">
        <f t="shared" si="5"/>
        <v>127</v>
      </c>
      <c r="C172" s="394" t="str" cm="1">
        <f t="array" aca="1" ref="C172" ca="1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5">
      <c r="B173" s="386">
        <f t="shared" si="5"/>
        <v>128</v>
      </c>
      <c r="C173" s="394" t="str" cm="1">
        <f t="array" aca="1" ref="C173" ca="1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5">
      <c r="B174" s="386">
        <f t="shared" si="5"/>
        <v>129</v>
      </c>
      <c r="C174" s="394" t="str" cm="1">
        <f t="array" aca="1" ref="C174" ca="1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5">
      <c r="B175" s="386">
        <f t="shared" ref="B175:B238" si="6">B174+1</f>
        <v>130</v>
      </c>
      <c r="C175" s="394" t="str" cm="1">
        <f t="array" aca="1" ref="C175" ca="1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5">
      <c r="B176" s="386">
        <f t="shared" si="6"/>
        <v>131</v>
      </c>
      <c r="C176" s="394" t="str" cm="1">
        <f t="array" aca="1" ref="C176" ca="1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5">
      <c r="B177" s="386">
        <f t="shared" si="6"/>
        <v>132</v>
      </c>
      <c r="C177" s="394" t="str" cm="1">
        <f t="array" aca="1" ref="C177" ca="1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5">
      <c r="B178" s="386">
        <f t="shared" si="6"/>
        <v>133</v>
      </c>
      <c r="C178" s="394" t="str" cm="1">
        <f t="array" aca="1" ref="C178" ca="1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5">
      <c r="B179" s="386">
        <f t="shared" si="6"/>
        <v>134</v>
      </c>
      <c r="C179" s="394" t="str" cm="1">
        <f t="array" aca="1" ref="C179" ca="1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5">
      <c r="B180" s="386">
        <f t="shared" si="6"/>
        <v>135</v>
      </c>
      <c r="C180" s="394" t="str" cm="1">
        <f t="array" aca="1" ref="C180" ca="1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5">
      <c r="B181" s="386">
        <f t="shared" si="6"/>
        <v>136</v>
      </c>
      <c r="C181" s="394" t="str" cm="1">
        <f t="array" aca="1" ref="C181" ca="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5">
      <c r="B182" s="386">
        <f t="shared" si="6"/>
        <v>137</v>
      </c>
      <c r="C182" s="394" t="str" cm="1">
        <f t="array" aca="1" ref="C182" ca="1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5">
      <c r="B183" s="386">
        <f t="shared" si="6"/>
        <v>138</v>
      </c>
      <c r="C183" s="394" t="str" cm="1">
        <f t="array" aca="1" ref="C183" ca="1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5">
      <c r="B184" s="386">
        <f t="shared" si="6"/>
        <v>139</v>
      </c>
      <c r="C184" s="394" t="str" cm="1">
        <f t="array" aca="1" ref="C184" ca="1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5">
      <c r="B185" s="386">
        <f t="shared" si="6"/>
        <v>140</v>
      </c>
      <c r="C185" s="394" t="str" cm="1">
        <f t="array" aca="1" ref="C185" ca="1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5">
      <c r="B186" s="386">
        <f t="shared" si="6"/>
        <v>141</v>
      </c>
      <c r="C186" s="394" t="str" cm="1">
        <f t="array" aca="1" ref="C186" ca="1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5">
      <c r="B187" s="386">
        <f t="shared" si="6"/>
        <v>142</v>
      </c>
      <c r="C187" s="394" t="str" cm="1">
        <f t="array" aca="1" ref="C187" ca="1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5">
      <c r="B188" s="386">
        <f t="shared" si="6"/>
        <v>143</v>
      </c>
      <c r="C188" s="394" t="str" cm="1">
        <f t="array" aca="1" ref="C188" ca="1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5">
      <c r="B189" s="386">
        <f t="shared" si="6"/>
        <v>144</v>
      </c>
      <c r="C189" s="394" t="str" cm="1">
        <f t="array" aca="1" ref="C189" ca="1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5">
      <c r="B190" s="386">
        <f t="shared" si="6"/>
        <v>145</v>
      </c>
      <c r="C190" s="394" t="str" cm="1">
        <f t="array" aca="1" ref="C190" ca="1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5">
      <c r="B191" s="386">
        <f t="shared" si="6"/>
        <v>146</v>
      </c>
      <c r="C191" s="394" t="str" cm="1">
        <f t="array" aca="1" ref="C191" ca="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5">
      <c r="B192" s="386">
        <f t="shared" si="6"/>
        <v>147</v>
      </c>
      <c r="C192" s="394" t="str" cm="1">
        <f t="array" aca="1" ref="C192" ca="1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5">
      <c r="B193" s="386">
        <f t="shared" si="6"/>
        <v>148</v>
      </c>
      <c r="C193" s="394" t="str" cm="1">
        <f t="array" aca="1" ref="C193" ca="1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5">
      <c r="B194" s="386">
        <f t="shared" si="6"/>
        <v>149</v>
      </c>
      <c r="C194" s="394" t="str" cm="1">
        <f t="array" aca="1" ref="C194" ca="1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5">
      <c r="B195" s="386">
        <f t="shared" si="6"/>
        <v>150</v>
      </c>
      <c r="C195" s="394" t="str" cm="1">
        <f t="array" aca="1" ref="C195" ca="1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5">
      <c r="B196" s="386">
        <f t="shared" si="6"/>
        <v>151</v>
      </c>
      <c r="C196" s="394" t="str" cm="1">
        <f t="array" aca="1" ref="C196" ca="1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5">
      <c r="B197" s="386">
        <f t="shared" si="6"/>
        <v>152</v>
      </c>
      <c r="C197" s="394" t="str" cm="1">
        <f t="array" aca="1" ref="C197" ca="1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5">
      <c r="B198" s="386">
        <f t="shared" si="6"/>
        <v>153</v>
      </c>
      <c r="C198" s="394" t="str" cm="1">
        <f t="array" aca="1" ref="C198" ca="1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5">
      <c r="B199" s="386">
        <f t="shared" si="6"/>
        <v>154</v>
      </c>
      <c r="C199" s="394" t="str" cm="1">
        <f t="array" aca="1" ref="C199" ca="1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5">
      <c r="B200" s="386">
        <f t="shared" si="6"/>
        <v>155</v>
      </c>
      <c r="C200" s="394" t="str" cm="1">
        <f t="array" aca="1" ref="C200" ca="1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5">
      <c r="B201" s="386">
        <f t="shared" si="6"/>
        <v>156</v>
      </c>
      <c r="C201" s="394" t="str" cm="1">
        <f t="array" aca="1" ref="C201" ca="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5">
      <c r="B202" s="386">
        <f t="shared" si="6"/>
        <v>157</v>
      </c>
      <c r="C202" s="394" t="str" cm="1">
        <f t="array" aca="1" ref="C202" ca="1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5">
      <c r="B203" s="386">
        <f t="shared" si="6"/>
        <v>158</v>
      </c>
      <c r="C203" s="394" t="str" cm="1">
        <f t="array" aca="1" ref="C203" ca="1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5">
      <c r="B204" s="386">
        <f t="shared" si="6"/>
        <v>159</v>
      </c>
      <c r="C204" s="394" t="str" cm="1">
        <f t="array" aca="1" ref="C204" ca="1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5">
      <c r="B205" s="386">
        <f t="shared" si="6"/>
        <v>160</v>
      </c>
      <c r="C205" s="394" t="str" cm="1">
        <f t="array" aca="1" ref="C205" ca="1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5">
      <c r="B206" s="386">
        <f t="shared" si="6"/>
        <v>161</v>
      </c>
      <c r="C206" s="394" t="str" cm="1">
        <f t="array" aca="1" ref="C206" ca="1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5">
      <c r="B207" s="386">
        <f t="shared" si="6"/>
        <v>162</v>
      </c>
      <c r="C207" s="394" t="str" cm="1">
        <f t="array" aca="1" ref="C207" ca="1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5">
      <c r="B208" s="386">
        <f t="shared" si="6"/>
        <v>163</v>
      </c>
      <c r="C208" s="394" t="str" cm="1">
        <f t="array" aca="1" ref="C208" ca="1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5">
      <c r="B209" s="386">
        <f t="shared" si="6"/>
        <v>164</v>
      </c>
      <c r="C209" s="394" t="str" cm="1">
        <f t="array" aca="1" ref="C209" ca="1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5">
      <c r="B210" s="386">
        <f t="shared" si="6"/>
        <v>165</v>
      </c>
      <c r="C210" s="394" t="str" cm="1">
        <f t="array" aca="1" ref="C210" ca="1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5">
      <c r="B211" s="386">
        <f t="shared" si="6"/>
        <v>166</v>
      </c>
      <c r="C211" s="394" t="str" cm="1">
        <f t="array" aca="1" ref="C211" ca="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5">
      <c r="B212" s="386">
        <f t="shared" si="6"/>
        <v>167</v>
      </c>
      <c r="C212" s="394" t="str" cm="1">
        <f t="array" aca="1" ref="C212" ca="1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5">
      <c r="B213" s="386">
        <f t="shared" si="6"/>
        <v>168</v>
      </c>
      <c r="C213" s="394" t="str" cm="1">
        <f t="array" aca="1" ref="C213" ca="1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5">
      <c r="B214" s="386">
        <f t="shared" si="6"/>
        <v>169</v>
      </c>
      <c r="C214" s="394" t="str" cm="1">
        <f t="array" aca="1" ref="C214" ca="1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5">
      <c r="B215" s="386">
        <f t="shared" si="6"/>
        <v>170</v>
      </c>
      <c r="C215" s="394" t="str" cm="1">
        <f t="array" aca="1" ref="C215" ca="1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5">
      <c r="B216" s="386">
        <f t="shared" si="6"/>
        <v>171</v>
      </c>
      <c r="C216" s="394" t="str" cm="1">
        <f t="array" aca="1" ref="C216" ca="1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5">
      <c r="B217" s="386">
        <f t="shared" si="6"/>
        <v>172</v>
      </c>
      <c r="C217" s="394" t="str" cm="1">
        <f t="array" aca="1" ref="C217" ca="1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5">
      <c r="B218" s="386">
        <f t="shared" si="6"/>
        <v>173</v>
      </c>
      <c r="C218" s="394" t="str" cm="1">
        <f t="array" aca="1" ref="C218" ca="1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5">
      <c r="B219" s="386">
        <f t="shared" si="6"/>
        <v>174</v>
      </c>
      <c r="C219" s="394" t="str" cm="1">
        <f t="array" aca="1" ref="C219" ca="1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5">
      <c r="B220" s="386">
        <f t="shared" si="6"/>
        <v>175</v>
      </c>
      <c r="C220" s="394" t="str" cm="1">
        <f t="array" aca="1" ref="C220" ca="1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5">
      <c r="B221" s="386">
        <f t="shared" si="6"/>
        <v>176</v>
      </c>
      <c r="C221" s="394" t="str" cm="1">
        <f t="array" aca="1" ref="C221" ca="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5">
      <c r="B222" s="386">
        <f t="shared" si="6"/>
        <v>177</v>
      </c>
      <c r="C222" s="394" t="str" cm="1">
        <f t="array" aca="1" ref="C222" ca="1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5">
      <c r="B223" s="386">
        <f t="shared" si="6"/>
        <v>178</v>
      </c>
      <c r="C223" s="394" t="str" cm="1">
        <f t="array" aca="1" ref="C223" ca="1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5">
      <c r="B224" s="386">
        <f t="shared" si="6"/>
        <v>179</v>
      </c>
      <c r="C224" s="394" t="str" cm="1">
        <f t="array" aca="1" ref="C224" ca="1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5">
      <c r="B225" s="386">
        <f t="shared" si="6"/>
        <v>180</v>
      </c>
      <c r="C225" s="394" t="str" cm="1">
        <f t="array" aca="1" ref="C225" ca="1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5">
      <c r="B226" s="386">
        <f t="shared" si="6"/>
        <v>181</v>
      </c>
      <c r="C226" s="394" t="str" cm="1">
        <f t="array" aca="1" ref="C226" ca="1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5">
      <c r="B227" s="386">
        <f t="shared" si="6"/>
        <v>182</v>
      </c>
      <c r="C227" s="394" t="str" cm="1">
        <f t="array" aca="1" ref="C227" ca="1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5">
      <c r="B228" s="386">
        <f t="shared" si="6"/>
        <v>183</v>
      </c>
      <c r="C228" s="394" t="str" cm="1">
        <f t="array" aca="1" ref="C228" ca="1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5">
      <c r="B229" s="386">
        <f t="shared" si="6"/>
        <v>184</v>
      </c>
      <c r="C229" s="394" t="str" cm="1">
        <f t="array" aca="1" ref="C229" ca="1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5">
      <c r="B230" s="386">
        <f t="shared" si="6"/>
        <v>185</v>
      </c>
      <c r="C230" s="394" t="str" cm="1">
        <f t="array" aca="1" ref="C230" ca="1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5">
      <c r="B231" s="386">
        <f t="shared" si="6"/>
        <v>186</v>
      </c>
      <c r="C231" s="394" t="str" cm="1">
        <f t="array" aca="1" ref="C231" ca="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5">
      <c r="B232" s="386">
        <f t="shared" si="6"/>
        <v>187</v>
      </c>
      <c r="C232" s="394" t="str" cm="1">
        <f t="array" aca="1" ref="C232" ca="1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5">
      <c r="B233" s="386">
        <f t="shared" si="6"/>
        <v>188</v>
      </c>
      <c r="C233" s="394" t="str" cm="1">
        <f t="array" aca="1" ref="C233" ca="1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5">
      <c r="B234" s="386">
        <f t="shared" si="6"/>
        <v>189</v>
      </c>
      <c r="C234" s="394" t="str" cm="1">
        <f t="array" aca="1" ref="C234" ca="1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5">
      <c r="B235" s="386">
        <f t="shared" si="6"/>
        <v>190</v>
      </c>
      <c r="C235" s="394" t="str" cm="1">
        <f t="array" aca="1" ref="C235" ca="1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5">
      <c r="B236" s="386">
        <f t="shared" si="6"/>
        <v>191</v>
      </c>
      <c r="C236" s="394" t="str" cm="1">
        <f t="array" aca="1" ref="C236" ca="1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5">
      <c r="B237" s="386">
        <f t="shared" si="6"/>
        <v>192</v>
      </c>
      <c r="C237" s="394" t="str" cm="1">
        <f t="array" aca="1" ref="C237" ca="1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5">
      <c r="B238" s="386">
        <f t="shared" si="6"/>
        <v>193</v>
      </c>
      <c r="C238" s="394" t="str" cm="1">
        <f t="array" aca="1" ref="C238" ca="1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5">
      <c r="B239" s="386">
        <f t="shared" ref="B239:B302" si="7">B238+1</f>
        <v>194</v>
      </c>
      <c r="C239" s="394" t="str" cm="1">
        <f t="array" aca="1" ref="C239" ca="1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5">
      <c r="B240" s="386">
        <f t="shared" si="7"/>
        <v>195</v>
      </c>
      <c r="C240" s="394" t="str" cm="1">
        <f t="array" aca="1" ref="C240" ca="1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5">
      <c r="B241" s="386">
        <f t="shared" si="7"/>
        <v>196</v>
      </c>
      <c r="C241" s="394" t="str" cm="1">
        <f t="array" aca="1" ref="C241" ca="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5">
      <c r="B242" s="386">
        <f t="shared" si="7"/>
        <v>197</v>
      </c>
      <c r="C242" s="394" t="str" cm="1">
        <f t="array" aca="1" ref="C242" ca="1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5">
      <c r="B243" s="386">
        <f t="shared" si="7"/>
        <v>198</v>
      </c>
      <c r="C243" s="394" t="str" cm="1">
        <f t="array" aca="1" ref="C243" ca="1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5">
      <c r="B244" s="386">
        <f t="shared" si="7"/>
        <v>199</v>
      </c>
      <c r="C244" s="394" t="str" cm="1">
        <f t="array" aca="1" ref="C244" ca="1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5">
      <c r="B245" s="386">
        <f t="shared" si="7"/>
        <v>200</v>
      </c>
      <c r="C245" s="394" t="str" cm="1">
        <f t="array" aca="1" ref="C245" ca="1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5">
      <c r="B246" s="386">
        <f t="shared" si="7"/>
        <v>201</v>
      </c>
      <c r="C246" s="394" t="str" cm="1">
        <f t="array" aca="1" ref="C246" ca="1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5">
      <c r="B247" s="386">
        <f t="shared" si="7"/>
        <v>202</v>
      </c>
      <c r="C247" s="394" t="str" cm="1">
        <f t="array" aca="1" ref="C247" ca="1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5">
      <c r="B248" s="386">
        <f t="shared" si="7"/>
        <v>203</v>
      </c>
      <c r="C248" s="394" t="str" cm="1">
        <f t="array" aca="1" ref="C248" ca="1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5">
      <c r="B249" s="386">
        <f t="shared" si="7"/>
        <v>204</v>
      </c>
      <c r="C249" s="394" t="str" cm="1">
        <f t="array" aca="1" ref="C249" ca="1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5">
      <c r="B250" s="386">
        <f t="shared" si="7"/>
        <v>205</v>
      </c>
      <c r="C250" s="394" t="str" cm="1">
        <f t="array" aca="1" ref="C250" ca="1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5">
      <c r="B251" s="386">
        <f t="shared" si="7"/>
        <v>206</v>
      </c>
      <c r="C251" s="394" t="str" cm="1">
        <f t="array" aca="1" ref="C251" ca="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5">
      <c r="B252" s="386">
        <f t="shared" si="7"/>
        <v>207</v>
      </c>
      <c r="C252" s="394" t="str" cm="1">
        <f t="array" aca="1" ref="C252" ca="1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5">
      <c r="B253" s="386">
        <f t="shared" si="7"/>
        <v>208</v>
      </c>
      <c r="C253" s="394" t="str" cm="1">
        <f t="array" aca="1" ref="C253" ca="1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5">
      <c r="B254" s="386">
        <f t="shared" si="7"/>
        <v>209</v>
      </c>
      <c r="C254" s="394" t="str" cm="1">
        <f t="array" aca="1" ref="C254" ca="1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5">
      <c r="B255" s="386">
        <f t="shared" si="7"/>
        <v>210</v>
      </c>
      <c r="C255" s="394" t="str" cm="1">
        <f t="array" aca="1" ref="C255" ca="1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5">
      <c r="B256" s="386">
        <f t="shared" si="7"/>
        <v>211</v>
      </c>
      <c r="C256" s="394" t="str" cm="1">
        <f t="array" aca="1" ref="C256" ca="1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5">
      <c r="B257" s="386">
        <f t="shared" si="7"/>
        <v>212</v>
      </c>
      <c r="C257" s="394" t="str" cm="1">
        <f t="array" aca="1" ref="C257" ca="1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5">
      <c r="B258" s="386">
        <f t="shared" si="7"/>
        <v>213</v>
      </c>
      <c r="C258" s="394" t="str" cm="1">
        <f t="array" aca="1" ref="C258" ca="1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5">
      <c r="B259" s="386">
        <f t="shared" si="7"/>
        <v>214</v>
      </c>
      <c r="C259" s="394" t="str" cm="1">
        <f t="array" aca="1" ref="C259" ca="1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5">
      <c r="B260" s="386">
        <f t="shared" si="7"/>
        <v>215</v>
      </c>
      <c r="C260" s="394" t="str" cm="1">
        <f t="array" aca="1" ref="C260" ca="1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5">
      <c r="B261" s="386">
        <f t="shared" si="7"/>
        <v>216</v>
      </c>
      <c r="C261" s="394" t="str" cm="1">
        <f t="array" aca="1" ref="C261" ca="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5">
      <c r="B262" s="386">
        <f t="shared" si="7"/>
        <v>217</v>
      </c>
      <c r="C262" s="394" t="str" cm="1">
        <f t="array" aca="1" ref="C262" ca="1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5">
      <c r="B263" s="386">
        <f t="shared" si="7"/>
        <v>218</v>
      </c>
      <c r="C263" s="394" t="str" cm="1">
        <f t="array" aca="1" ref="C263" ca="1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5">
      <c r="B264" s="386">
        <f t="shared" si="7"/>
        <v>219</v>
      </c>
      <c r="C264" s="394" t="str" cm="1">
        <f t="array" aca="1" ref="C264" ca="1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5">
      <c r="B265" s="386">
        <f t="shared" si="7"/>
        <v>220</v>
      </c>
      <c r="C265" s="394" t="str" cm="1">
        <f t="array" aca="1" ref="C265" ca="1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5">
      <c r="B266" s="386">
        <f t="shared" si="7"/>
        <v>221</v>
      </c>
      <c r="C266" s="394" t="str" cm="1">
        <f t="array" aca="1" ref="C266" ca="1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5">
      <c r="B267" s="386">
        <f t="shared" si="7"/>
        <v>222</v>
      </c>
      <c r="C267" s="394" t="str" cm="1">
        <f t="array" aca="1" ref="C267" ca="1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5">
      <c r="B268" s="386">
        <f t="shared" si="7"/>
        <v>223</v>
      </c>
      <c r="C268" s="394" t="str" cm="1">
        <f t="array" aca="1" ref="C268" ca="1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5">
      <c r="B269" s="386">
        <f t="shared" si="7"/>
        <v>224</v>
      </c>
      <c r="C269" s="394" t="str" cm="1">
        <f t="array" aca="1" ref="C269" ca="1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5">
      <c r="B270" s="386">
        <f t="shared" si="7"/>
        <v>225</v>
      </c>
      <c r="C270" s="394" t="str" cm="1">
        <f t="array" aca="1" ref="C270" ca="1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5">
      <c r="B271" s="386">
        <f t="shared" si="7"/>
        <v>226</v>
      </c>
      <c r="C271" s="394" t="str" cm="1">
        <f t="array" aca="1" ref="C271" ca="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5">
      <c r="B272" s="386">
        <f t="shared" si="7"/>
        <v>227</v>
      </c>
      <c r="C272" s="394" t="str" cm="1">
        <f t="array" aca="1" ref="C272" ca="1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5">
      <c r="B273" s="386">
        <f t="shared" si="7"/>
        <v>228</v>
      </c>
      <c r="C273" s="394" t="str" cm="1">
        <f t="array" aca="1" ref="C273" ca="1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5">
      <c r="B274" s="386">
        <f t="shared" si="7"/>
        <v>229</v>
      </c>
      <c r="C274" s="394" t="str" cm="1">
        <f t="array" aca="1" ref="C274" ca="1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5">
      <c r="B275" s="386">
        <f t="shared" si="7"/>
        <v>230</v>
      </c>
      <c r="C275" s="394" t="str" cm="1">
        <f t="array" aca="1" ref="C275" ca="1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5">
      <c r="B276" s="386">
        <f t="shared" si="7"/>
        <v>231</v>
      </c>
      <c r="C276" s="394" t="str" cm="1">
        <f t="array" aca="1" ref="C276" ca="1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5">
      <c r="B277" s="386">
        <f t="shared" si="7"/>
        <v>232</v>
      </c>
      <c r="C277" s="394" t="str" cm="1">
        <f t="array" aca="1" ref="C277" ca="1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5">
      <c r="B278" s="386">
        <f t="shared" si="7"/>
        <v>233</v>
      </c>
      <c r="C278" s="394" t="str" cm="1">
        <f t="array" aca="1" ref="C278" ca="1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5">
      <c r="B279" s="386">
        <f t="shared" si="7"/>
        <v>234</v>
      </c>
      <c r="C279" s="394" t="str" cm="1">
        <f t="array" aca="1" ref="C279" ca="1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5">
      <c r="B280" s="386">
        <f t="shared" si="7"/>
        <v>235</v>
      </c>
      <c r="C280" s="394" t="str" cm="1">
        <f t="array" aca="1" ref="C280" ca="1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5">
      <c r="B281" s="386">
        <f t="shared" si="7"/>
        <v>236</v>
      </c>
      <c r="C281" s="394" t="str" cm="1">
        <f t="array" aca="1" ref="C281" ca="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5">
      <c r="B282" s="386">
        <f t="shared" si="7"/>
        <v>237</v>
      </c>
      <c r="C282" s="394" t="str" cm="1">
        <f t="array" aca="1" ref="C282" ca="1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5">
      <c r="B283" s="386">
        <f t="shared" si="7"/>
        <v>238</v>
      </c>
      <c r="C283" s="394" t="str" cm="1">
        <f t="array" aca="1" ref="C283" ca="1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5">
      <c r="B284" s="386">
        <f t="shared" si="7"/>
        <v>239</v>
      </c>
      <c r="C284" s="394" t="str" cm="1">
        <f t="array" aca="1" ref="C284" ca="1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5">
      <c r="B285" s="386">
        <f t="shared" si="7"/>
        <v>240</v>
      </c>
      <c r="C285" s="394" t="str" cm="1">
        <f t="array" aca="1" ref="C285" ca="1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5">
      <c r="B286" s="386">
        <f t="shared" si="7"/>
        <v>241</v>
      </c>
      <c r="C286" s="394" t="str" cm="1">
        <f t="array" aca="1" ref="C286" ca="1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5">
      <c r="B287" s="386">
        <f t="shared" si="7"/>
        <v>242</v>
      </c>
      <c r="C287" s="394" t="str" cm="1">
        <f t="array" aca="1" ref="C287" ca="1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5">
      <c r="B288" s="386">
        <f t="shared" si="7"/>
        <v>243</v>
      </c>
      <c r="C288" s="394" t="str" cm="1">
        <f t="array" aca="1" ref="C288" ca="1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5">
      <c r="B289" s="386">
        <f t="shared" si="7"/>
        <v>244</v>
      </c>
      <c r="C289" s="394" t="str" cm="1">
        <f t="array" aca="1" ref="C289" ca="1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5">
      <c r="B290" s="386">
        <f t="shared" si="7"/>
        <v>245</v>
      </c>
      <c r="C290" s="394" t="str" cm="1">
        <f t="array" aca="1" ref="C290" ca="1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5">
      <c r="B291" s="386">
        <f t="shared" si="7"/>
        <v>246</v>
      </c>
      <c r="C291" s="394" t="str" cm="1">
        <f t="array" aca="1" ref="C291" ca="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5">
      <c r="B292" s="386">
        <f t="shared" si="7"/>
        <v>247</v>
      </c>
      <c r="C292" s="394" t="str" cm="1">
        <f t="array" aca="1" ref="C292" ca="1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5">
      <c r="B293" s="386">
        <f t="shared" si="7"/>
        <v>248</v>
      </c>
      <c r="C293" s="394" t="str" cm="1">
        <f t="array" aca="1" ref="C293" ca="1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5">
      <c r="B294" s="386">
        <f t="shared" si="7"/>
        <v>249</v>
      </c>
      <c r="C294" s="394" t="str" cm="1">
        <f t="array" aca="1" ref="C294" ca="1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5">
      <c r="B295" s="386">
        <f t="shared" si="7"/>
        <v>250</v>
      </c>
      <c r="C295" s="394" t="str" cm="1">
        <f t="array" aca="1" ref="C295" ca="1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5">
      <c r="B296" s="386">
        <f t="shared" si="7"/>
        <v>251</v>
      </c>
      <c r="C296" s="394" t="str" cm="1">
        <f t="array" aca="1" ref="C296" ca="1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5">
      <c r="B297" s="386">
        <f t="shared" si="7"/>
        <v>252</v>
      </c>
      <c r="C297" s="394" t="str" cm="1">
        <f t="array" aca="1" ref="C297" ca="1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5">
      <c r="B298" s="386">
        <f t="shared" si="7"/>
        <v>253</v>
      </c>
      <c r="C298" s="394" t="str" cm="1">
        <f t="array" aca="1" ref="C298" ca="1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5">
      <c r="B299" s="386">
        <f t="shared" si="7"/>
        <v>254</v>
      </c>
      <c r="C299" s="394" t="str" cm="1">
        <f t="array" aca="1" ref="C299" ca="1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5">
      <c r="B300" s="386">
        <f t="shared" si="7"/>
        <v>255</v>
      </c>
      <c r="C300" s="394" t="str" cm="1">
        <f t="array" aca="1" ref="C300" ca="1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5">
      <c r="B301" s="386">
        <f t="shared" si="7"/>
        <v>256</v>
      </c>
      <c r="C301" s="394" t="str" cm="1">
        <f t="array" aca="1" ref="C301" ca="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5">
      <c r="B302" s="386">
        <f t="shared" si="7"/>
        <v>257</v>
      </c>
      <c r="C302" s="394" t="str" cm="1">
        <f t="array" aca="1" ref="C302" ca="1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5">
      <c r="B303" s="386">
        <f t="shared" ref="B303:B345" si="8">B302+1</f>
        <v>258</v>
      </c>
      <c r="C303" s="394" t="str" cm="1">
        <f t="array" aca="1" ref="C303" ca="1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5">
      <c r="B304" s="386">
        <f t="shared" si="8"/>
        <v>259</v>
      </c>
      <c r="C304" s="394" t="str" cm="1">
        <f t="array" aca="1" ref="C304" ca="1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5">
      <c r="B305" s="386">
        <f t="shared" si="8"/>
        <v>260</v>
      </c>
      <c r="C305" s="394" t="str" cm="1">
        <f t="array" aca="1" ref="C305" ca="1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5">
      <c r="B306" s="386">
        <f t="shared" si="8"/>
        <v>261</v>
      </c>
      <c r="C306" s="394" t="str" cm="1">
        <f t="array" aca="1" ref="C306" ca="1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5">
      <c r="B307" s="386">
        <f t="shared" si="8"/>
        <v>262</v>
      </c>
      <c r="C307" s="394" t="str" cm="1">
        <f t="array" aca="1" ref="C307" ca="1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5">
      <c r="B308" s="386">
        <f t="shared" si="8"/>
        <v>263</v>
      </c>
      <c r="C308" s="394" t="str" cm="1">
        <f t="array" aca="1" ref="C308" ca="1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5">
      <c r="B309" s="386">
        <f t="shared" si="8"/>
        <v>264</v>
      </c>
      <c r="C309" s="394" t="str" cm="1">
        <f t="array" aca="1" ref="C309" ca="1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5">
      <c r="B310" s="386">
        <f t="shared" si="8"/>
        <v>265</v>
      </c>
      <c r="C310" s="394" t="str" cm="1">
        <f t="array" aca="1" ref="C310" ca="1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5">
      <c r="B311" s="386">
        <f t="shared" si="8"/>
        <v>266</v>
      </c>
      <c r="C311" s="394" t="str" cm="1">
        <f t="array" aca="1" ref="C311" ca="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5">
      <c r="B312" s="386">
        <f t="shared" si="8"/>
        <v>267</v>
      </c>
      <c r="C312" s="394" t="str" cm="1">
        <f t="array" aca="1" ref="C312" ca="1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5">
      <c r="B313" s="386">
        <f t="shared" si="8"/>
        <v>268</v>
      </c>
      <c r="C313" s="394" t="str" cm="1">
        <f t="array" aca="1" ref="C313" ca="1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5">
      <c r="B314" s="386">
        <f t="shared" si="8"/>
        <v>269</v>
      </c>
      <c r="C314" s="394" t="str" cm="1">
        <f t="array" aca="1" ref="C314" ca="1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5">
      <c r="B315" s="386">
        <f t="shared" si="8"/>
        <v>270</v>
      </c>
      <c r="C315" s="394" t="str" cm="1">
        <f t="array" aca="1" ref="C315" ca="1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5">
      <c r="B316" s="386">
        <f t="shared" si="8"/>
        <v>271</v>
      </c>
      <c r="C316" s="394" t="str" cm="1">
        <f t="array" aca="1" ref="C316" ca="1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5">
      <c r="B317" s="386">
        <f t="shared" si="8"/>
        <v>272</v>
      </c>
      <c r="C317" s="394" t="str" cm="1">
        <f t="array" aca="1" ref="C317" ca="1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5">
      <c r="B318" s="386">
        <f t="shared" si="8"/>
        <v>273</v>
      </c>
      <c r="C318" s="394" t="str" cm="1">
        <f t="array" aca="1" ref="C318" ca="1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5">
      <c r="B319" s="386">
        <f t="shared" si="8"/>
        <v>274</v>
      </c>
      <c r="C319" s="394" t="str" cm="1">
        <f t="array" aca="1" ref="C319" ca="1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5">
      <c r="B320" s="386">
        <f t="shared" si="8"/>
        <v>275</v>
      </c>
      <c r="C320" s="394" t="str" cm="1">
        <f t="array" aca="1" ref="C320" ca="1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5">
      <c r="B321" s="386">
        <f t="shared" si="8"/>
        <v>276</v>
      </c>
      <c r="C321" s="394" t="str" cm="1">
        <f t="array" aca="1" ref="C321" ca="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5">
      <c r="B322" s="386">
        <f t="shared" si="8"/>
        <v>277</v>
      </c>
      <c r="C322" s="394" t="str" cm="1">
        <f t="array" aca="1" ref="C322" ca="1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5">
      <c r="B323" s="386">
        <f t="shared" si="8"/>
        <v>278</v>
      </c>
      <c r="C323" s="394" t="str" cm="1">
        <f t="array" aca="1" ref="C323" ca="1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5">
      <c r="B324" s="386">
        <f t="shared" si="8"/>
        <v>279</v>
      </c>
      <c r="C324" s="394" t="str" cm="1">
        <f t="array" aca="1" ref="C324" ca="1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5">
      <c r="B325" s="386">
        <f t="shared" si="8"/>
        <v>280</v>
      </c>
      <c r="C325" s="394" t="str" cm="1">
        <f t="array" aca="1" ref="C325" ca="1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5">
      <c r="B326" s="386">
        <f t="shared" si="8"/>
        <v>281</v>
      </c>
      <c r="C326" s="394" t="str" cm="1">
        <f t="array" aca="1" ref="C326" ca="1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5">
      <c r="B327" s="386">
        <f t="shared" si="8"/>
        <v>282</v>
      </c>
      <c r="C327" s="394" t="str" cm="1">
        <f t="array" aca="1" ref="C327" ca="1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5">
      <c r="B328" s="386">
        <f t="shared" si="8"/>
        <v>283</v>
      </c>
      <c r="C328" s="394" t="str" cm="1">
        <f t="array" aca="1" ref="C328" ca="1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5">
      <c r="B329" s="386">
        <f t="shared" si="8"/>
        <v>284</v>
      </c>
      <c r="C329" s="394" t="str" cm="1">
        <f t="array" aca="1" ref="C329" ca="1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5">
      <c r="B330" s="386">
        <f t="shared" si="8"/>
        <v>285</v>
      </c>
      <c r="C330" s="394" t="str" cm="1">
        <f t="array" aca="1" ref="C330" ca="1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5">
      <c r="B331" s="386">
        <f t="shared" si="8"/>
        <v>286</v>
      </c>
      <c r="C331" s="394" t="str" cm="1">
        <f t="array" aca="1" ref="C331" ca="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5">
      <c r="B332" s="386">
        <f t="shared" si="8"/>
        <v>287</v>
      </c>
      <c r="C332" s="394" t="str" cm="1">
        <f t="array" aca="1" ref="C332" ca="1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5">
      <c r="B333" s="386">
        <f t="shared" si="8"/>
        <v>288</v>
      </c>
      <c r="C333" s="394" t="str" cm="1">
        <f t="array" aca="1" ref="C333" ca="1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5">
      <c r="B334" s="386">
        <f t="shared" si="8"/>
        <v>289</v>
      </c>
      <c r="C334" s="394" t="str" cm="1">
        <f t="array" aca="1" ref="C334" ca="1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5">
      <c r="B335" s="386">
        <f t="shared" si="8"/>
        <v>290</v>
      </c>
      <c r="C335" s="394" t="str" cm="1">
        <f t="array" aca="1" ref="C335" ca="1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5">
      <c r="B336" s="386">
        <f t="shared" si="8"/>
        <v>291</v>
      </c>
      <c r="C336" s="394" t="str" cm="1">
        <f t="array" aca="1" ref="C336" ca="1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5">
      <c r="B337" s="386">
        <f t="shared" si="8"/>
        <v>292</v>
      </c>
      <c r="C337" s="394" t="str" cm="1">
        <f t="array" aca="1" ref="C337" ca="1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5">
      <c r="B338" s="386">
        <f t="shared" si="8"/>
        <v>293</v>
      </c>
      <c r="C338" s="394" t="str" cm="1">
        <f t="array" aca="1" ref="C338" ca="1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5">
      <c r="B339" s="386">
        <f t="shared" si="8"/>
        <v>294</v>
      </c>
      <c r="C339" s="394" t="str" cm="1">
        <f t="array" aca="1" ref="C339" ca="1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5">
      <c r="B340" s="386">
        <f t="shared" si="8"/>
        <v>295</v>
      </c>
      <c r="C340" s="394" t="str" cm="1">
        <f t="array" aca="1" ref="C340" ca="1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5">
      <c r="B341" s="386">
        <f t="shared" si="8"/>
        <v>296</v>
      </c>
      <c r="C341" s="394" t="str" cm="1">
        <f t="array" aca="1" ref="C341" ca="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5">
      <c r="B342" s="386">
        <f t="shared" si="8"/>
        <v>297</v>
      </c>
      <c r="C342" s="394" t="str" cm="1">
        <f t="array" aca="1" ref="C342" ca="1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5">
      <c r="B343" s="386">
        <f t="shared" si="8"/>
        <v>298</v>
      </c>
      <c r="C343" s="394" t="str" cm="1">
        <f t="array" aca="1" ref="C343" ca="1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5">
      <c r="B344" s="386">
        <f t="shared" si="8"/>
        <v>299</v>
      </c>
      <c r="C344" s="394" t="str" cm="1">
        <f t="array" aca="1" ref="C344" ca="1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.75" thickBot="1">
      <c r="B345" s="389">
        <f t="shared" si="8"/>
        <v>300</v>
      </c>
      <c r="C345" s="394" t="str" cm="1">
        <f t="array" aca="1" ref="C345" ca="1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2024-06-26T22:50:52Z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